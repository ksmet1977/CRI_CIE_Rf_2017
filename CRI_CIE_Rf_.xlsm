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Kevin\Downloads\"/>
    </mc:Choice>
  </mc:AlternateContent>
  <bookViews>
    <workbookView xWindow="120" yWindow="130" windowWidth="19150" windowHeight="8760" activeTab="2"/>
  </bookViews>
  <sheets>
    <sheet name="Color metric" sheetId="7" r:id="rId1"/>
    <sheet name="Calculator" sheetId="6" r:id="rId2"/>
    <sheet name="CMFs" sheetId="1" r:id="rId3"/>
    <sheet name="99set" sheetId="2" r:id="rId4"/>
    <sheet name="Reference" sheetId="5" r:id="rId5"/>
    <sheet name="CCT_calc" sheetId="8" r:id="rId6"/>
  </sheets>
  <externalReferences>
    <externalReference r:id="rId7"/>
    <externalReference r:id="rId8"/>
  </externalReferences>
  <definedNames>
    <definedName name="CAM_UCS_xyY">[1]CAM_UCS!$A$1</definedName>
    <definedName name="CCT" localSheetId="5">#REF!</definedName>
    <definedName name="CCT" localSheetId="4">#REF!</definedName>
    <definedName name="CCT">#REF!</definedName>
    <definedName name="CMCCAT" localSheetId="5">#REF!</definedName>
    <definedName name="CMCCAT">[2]CMCCAT!$A$1</definedName>
    <definedName name="CMCCATv" localSheetId="5">#REF!</definedName>
    <definedName name="CMCCATv">[2]CMCCAT!$B$1</definedName>
    <definedName name="DOMIN" function="1" xlm="1">#REF!</definedName>
    <definedName name="DOMIN_V" localSheetId="5">#REF!</definedName>
    <definedName name="DOMIN_V">#REF!</definedName>
    <definedName name="Duvtoxy" localSheetId="5">#REF!</definedName>
    <definedName name="Duvtoxy">[2]Duvtoxy!$A$1</definedName>
    <definedName name="LAB" localSheetId="5">#REF!</definedName>
    <definedName name="LAB">[2]CIELAB!$A$1</definedName>
    <definedName name="Monochromator" function="1" xlm="1">#REF!</definedName>
    <definedName name="obs" localSheetId="5">#REF!</definedName>
    <definedName name="obs">#REF!</definedName>
    <definedName name="RUNMACRO" localSheetId="5">#REF!</definedName>
    <definedName name="RUNMACRO">#REF!</definedName>
  </definedNames>
  <calcPr calcId="152511"/>
</workbook>
</file>

<file path=xl/calcChain.xml><?xml version="1.0" encoding="utf-8"?>
<calcChain xmlns="http://schemas.openxmlformats.org/spreadsheetml/2006/main">
  <c r="EJ22" i="6" l="1"/>
  <c r="EK22" i="6" s="1"/>
  <c r="EL22" i="6" s="1"/>
  <c r="EM22" i="6" s="1"/>
  <c r="EN22" i="6" s="1"/>
  <c r="EO22" i="6" s="1"/>
  <c r="EP22" i="6" s="1"/>
  <c r="EQ22" i="6" s="1"/>
  <c r="ER22" i="6" s="1"/>
  <c r="ES22" i="6" s="1"/>
  <c r="ET22" i="6" s="1"/>
  <c r="EU22" i="6" s="1"/>
  <c r="EV22" i="6" s="1"/>
  <c r="EW22" i="6" s="1"/>
  <c r="EX22" i="6" s="1"/>
  <c r="EY22" i="6" s="1"/>
  <c r="EZ22" i="6" s="1"/>
  <c r="FA22" i="6" s="1"/>
  <c r="FB22" i="6" s="1"/>
  <c r="FC22" i="6" s="1"/>
  <c r="FD22" i="6" s="1"/>
  <c r="FE22" i="6" s="1"/>
  <c r="FF22" i="6" s="1"/>
  <c r="FG22" i="6" s="1"/>
  <c r="FH22" i="6" s="1"/>
  <c r="FI22" i="6" s="1"/>
  <c r="FJ22" i="6" s="1"/>
  <c r="FK22" i="6" s="1"/>
  <c r="FL22" i="6" s="1"/>
  <c r="FM22" i="6" s="1"/>
  <c r="FN22" i="6" s="1"/>
  <c r="FO22" i="6" s="1"/>
  <c r="FP22" i="6" s="1"/>
  <c r="FQ22" i="6" s="1"/>
  <c r="FR22" i="6" s="1"/>
  <c r="FS22" i="6" s="1"/>
  <c r="FT22" i="6" s="1"/>
  <c r="FU22" i="6" s="1"/>
  <c r="FV22" i="6" s="1"/>
  <c r="FW22" i="6" s="1"/>
  <c r="FX22" i="6" s="1"/>
  <c r="FY22" i="6" s="1"/>
  <c r="FZ22" i="6" s="1"/>
  <c r="GA22" i="6" s="1"/>
  <c r="GB22" i="6" s="1"/>
  <c r="GC22" i="6" s="1"/>
  <c r="GD22" i="6" s="1"/>
  <c r="GE22" i="6" s="1"/>
  <c r="GF22" i="6" s="1"/>
  <c r="GG22" i="6" s="1"/>
  <c r="GH22" i="6" s="1"/>
  <c r="GI22" i="6" s="1"/>
  <c r="GJ22" i="6" s="1"/>
  <c r="GK22" i="6" s="1"/>
  <c r="GL22" i="6" s="1"/>
  <c r="GM22" i="6" s="1"/>
  <c r="GN22" i="6" s="1"/>
  <c r="GO22" i="6" s="1"/>
  <c r="GP22" i="6" s="1"/>
  <c r="GQ22" i="6" s="1"/>
  <c r="GR22" i="6" s="1"/>
  <c r="GS22" i="6" s="1"/>
  <c r="GT22" i="6" s="1"/>
  <c r="GU22" i="6" s="1"/>
  <c r="GV22" i="6" s="1"/>
  <c r="GW22" i="6" s="1"/>
  <c r="GX22" i="6" s="1"/>
  <c r="GY22" i="6" s="1"/>
  <c r="GZ22" i="6" s="1"/>
  <c r="HA22" i="6" s="1"/>
  <c r="HB22" i="6" s="1"/>
  <c r="HC22" i="6" s="1"/>
  <c r="HD22" i="6" s="1"/>
  <c r="HE22" i="6" s="1"/>
  <c r="HF22" i="6" s="1"/>
  <c r="HG22" i="6" s="1"/>
  <c r="HH22" i="6" s="1"/>
  <c r="HI22" i="6" s="1"/>
  <c r="HJ22" i="6" s="1"/>
  <c r="HK22" i="6" s="1"/>
  <c r="HL22" i="6" s="1"/>
  <c r="HM22" i="6" s="1"/>
  <c r="HN22" i="6" s="1"/>
  <c r="HO22" i="6" s="1"/>
  <c r="HP22" i="6" s="1"/>
  <c r="HQ22" i="6" s="1"/>
  <c r="HR22" i="6" s="1"/>
  <c r="HS22" i="6" s="1"/>
  <c r="HT22" i="6" s="1"/>
  <c r="HU22" i="6" s="1"/>
  <c r="HV22" i="6" s="1"/>
  <c r="HW22" i="6" s="1"/>
  <c r="HX22" i="6" s="1"/>
  <c r="HY22" i="6" s="1"/>
  <c r="HZ22" i="6" s="1"/>
  <c r="IA22" i="6" s="1"/>
  <c r="IB22" i="6" s="1"/>
  <c r="EI22" i="6"/>
  <c r="DV46" i="6"/>
  <c r="DV43" i="6"/>
  <c r="DW43" i="6"/>
  <c r="DX43" i="6"/>
  <c r="DY43" i="6"/>
  <c r="DZ43" i="6"/>
  <c r="EA43" i="6"/>
  <c r="EB43" i="6"/>
  <c r="EC43" i="6"/>
  <c r="DV42" i="6"/>
  <c r="DW42" i="6"/>
  <c r="DX42" i="6"/>
  <c r="DY42" i="6"/>
  <c r="DZ42" i="6"/>
  <c r="EA42" i="6"/>
  <c r="EB42" i="6"/>
  <c r="EC42" i="6"/>
  <c r="DU42" i="6"/>
  <c r="DU43" i="6"/>
  <c r="EB41" i="6"/>
  <c r="EC41" i="6" s="1"/>
  <c r="DZ41" i="6"/>
  <c r="EA41" i="6" s="1"/>
  <c r="DY41" i="6"/>
  <c r="DX41" i="6"/>
  <c r="DW41" i="6"/>
  <c r="DV41" i="6"/>
  <c r="EH18" i="6"/>
  <c r="EF11" i="6"/>
  <c r="EH11" i="6" a="1"/>
  <c r="EH11" i="6" s="1"/>
  <c r="DP94" i="6"/>
  <c r="DP95" i="6"/>
  <c r="DP96" i="6"/>
  <c r="DP97" i="6"/>
  <c r="DP98" i="6"/>
  <c r="DP99" i="6"/>
  <c r="DP100" i="6"/>
  <c r="DP101" i="6"/>
  <c r="DP102" i="6"/>
  <c r="DP103" i="6"/>
  <c r="DP86" i="6"/>
  <c r="DP87" i="6"/>
  <c r="DP88" i="6"/>
  <c r="DP89" i="6"/>
  <c r="DP90" i="6"/>
  <c r="DP91" i="6"/>
  <c r="DP92" i="6"/>
  <c r="DP93" i="6"/>
  <c r="DP85" i="6"/>
  <c r="DP75" i="6"/>
  <c r="DP76" i="6"/>
  <c r="DP77" i="6"/>
  <c r="DP78" i="6"/>
  <c r="DP79" i="6"/>
  <c r="DP80" i="6"/>
  <c r="DP81" i="6"/>
  <c r="DP82" i="6"/>
  <c r="DP83" i="6"/>
  <c r="DP84" i="6"/>
  <c r="DP53" i="6"/>
  <c r="DP54" i="6"/>
  <c r="DP55" i="6"/>
  <c r="DP56" i="6"/>
  <c r="DP57" i="6"/>
  <c r="DP58" i="6"/>
  <c r="DP59" i="6"/>
  <c r="DP60" i="6"/>
  <c r="DP61" i="6"/>
  <c r="DP62" i="6"/>
  <c r="DP63" i="6"/>
  <c r="DP64" i="6"/>
  <c r="DP65" i="6"/>
  <c r="DP66" i="6"/>
  <c r="DP67" i="6"/>
  <c r="DP68" i="6"/>
  <c r="DP69" i="6"/>
  <c r="DP70" i="6"/>
  <c r="DP71" i="6"/>
  <c r="DP72" i="6"/>
  <c r="DP73" i="6"/>
  <c r="DP74" i="6"/>
  <c r="DP36" i="6"/>
  <c r="DP37" i="6"/>
  <c r="DP38" i="6"/>
  <c r="DP39" i="6"/>
  <c r="DP40" i="6"/>
  <c r="DP41" i="6"/>
  <c r="DP42" i="6"/>
  <c r="DP43" i="6"/>
  <c r="DP44" i="6"/>
  <c r="DP45" i="6"/>
  <c r="DP46" i="6"/>
  <c r="DP47" i="6"/>
  <c r="DP48" i="6"/>
  <c r="DP49" i="6"/>
  <c r="DP50" i="6"/>
  <c r="DP51" i="6"/>
  <c r="DP52" i="6"/>
  <c r="DP35" i="6"/>
  <c r="DP6" i="6"/>
  <c r="DP7" i="6"/>
  <c r="DP8" i="6"/>
  <c r="DP9" i="6"/>
  <c r="DP10" i="6"/>
  <c r="DP11" i="6"/>
  <c r="DP12" i="6"/>
  <c r="DP13" i="6"/>
  <c r="DP14" i="6"/>
  <c r="DP15" i="6"/>
  <c r="DP16" i="6"/>
  <c r="DP17" i="6"/>
  <c r="DP18" i="6"/>
  <c r="DP19" i="6"/>
  <c r="DP20" i="6"/>
  <c r="DP21" i="6"/>
  <c r="DP22" i="6"/>
  <c r="DP23" i="6"/>
  <c r="DP24" i="6"/>
  <c r="DP25" i="6"/>
  <c r="DP26" i="6"/>
  <c r="DP27" i="6"/>
  <c r="DP28" i="6"/>
  <c r="DP29" i="6"/>
  <c r="DP30" i="6"/>
  <c r="DP31" i="6"/>
  <c r="DP32" i="6"/>
  <c r="DP33" i="6"/>
  <c r="DP34" i="6"/>
  <c r="DP5" i="6"/>
  <c r="DW46" i="6" l="1"/>
  <c r="HY11" i="6"/>
  <c r="GS11" i="6"/>
  <c r="GC11" i="6"/>
  <c r="EO11" i="6"/>
  <c r="HX11" i="6"/>
  <c r="HP11" i="6"/>
  <c r="HH11" i="6"/>
  <c r="GZ11" i="6"/>
  <c r="GR11" i="6"/>
  <c r="GJ11" i="6"/>
  <c r="GB11" i="6"/>
  <c r="FT11" i="6"/>
  <c r="FL11" i="6"/>
  <c r="FD11" i="6"/>
  <c r="EV11" i="6"/>
  <c r="EN11" i="6"/>
  <c r="HA11" i="6"/>
  <c r="FE11" i="6"/>
  <c r="GY11" i="6"/>
  <c r="GA11" i="6"/>
  <c r="EU11" i="6"/>
  <c r="HV11" i="6"/>
  <c r="GX11" i="6"/>
  <c r="FR11" i="6"/>
  <c r="EL11" i="6"/>
  <c r="HU11" i="6"/>
  <c r="HM11" i="6"/>
  <c r="HE11" i="6"/>
  <c r="GW11" i="6"/>
  <c r="GO11" i="6"/>
  <c r="GG11" i="6"/>
  <c r="FY11" i="6"/>
  <c r="FQ11" i="6"/>
  <c r="FI11" i="6"/>
  <c r="FA11" i="6"/>
  <c r="ES11" i="6"/>
  <c r="EK11" i="6"/>
  <c r="GK11" i="6"/>
  <c r="EW11" i="6"/>
  <c r="HO11" i="6"/>
  <c r="GI11" i="6"/>
  <c r="FC11" i="6"/>
  <c r="GP11" i="6"/>
  <c r="FJ11" i="6"/>
  <c r="IB11" i="6"/>
  <c r="HT11" i="6"/>
  <c r="HL11" i="6"/>
  <c r="HD11" i="6"/>
  <c r="GV11" i="6"/>
  <c r="GN11" i="6"/>
  <c r="GF11" i="6"/>
  <c r="FX11" i="6"/>
  <c r="FP11" i="6"/>
  <c r="FH11" i="6"/>
  <c r="EZ11" i="6"/>
  <c r="ER11" i="6"/>
  <c r="EJ11" i="6"/>
  <c r="HI11" i="6"/>
  <c r="FU11" i="6"/>
  <c r="HG11" i="6"/>
  <c r="FS11" i="6"/>
  <c r="EM11" i="6"/>
  <c r="HN11" i="6"/>
  <c r="FZ11" i="6"/>
  <c r="ET11" i="6"/>
  <c r="IA11" i="6"/>
  <c r="HS11" i="6"/>
  <c r="HK11" i="6"/>
  <c r="HC11" i="6"/>
  <c r="GU11" i="6"/>
  <c r="GM11" i="6"/>
  <c r="GE11" i="6"/>
  <c r="FW11" i="6"/>
  <c r="FO11" i="6"/>
  <c r="FG11" i="6"/>
  <c r="EY11" i="6"/>
  <c r="EQ11" i="6"/>
  <c r="EI11" i="6"/>
  <c r="HQ11" i="6"/>
  <c r="FM11" i="6"/>
  <c r="HW11" i="6"/>
  <c r="GQ11" i="6"/>
  <c r="FK11" i="6"/>
  <c r="HF11" i="6"/>
  <c r="GH11" i="6"/>
  <c r="FB11" i="6"/>
  <c r="HZ11" i="6"/>
  <c r="HR11" i="6"/>
  <c r="HJ11" i="6"/>
  <c r="HB11" i="6"/>
  <c r="GT11" i="6"/>
  <c r="GL11" i="6"/>
  <c r="GD11" i="6"/>
  <c r="FV11" i="6"/>
  <c r="FN11" i="6"/>
  <c r="FF11" i="6"/>
  <c r="EX11" i="6"/>
  <c r="EP11" i="6"/>
  <c r="DX46" i="6" l="1"/>
  <c r="DY46" i="6" l="1"/>
  <c r="H17" i="5" a="1"/>
  <c r="I5" i="8"/>
  <c r="I4" i="8"/>
  <c r="H7" i="5"/>
  <c r="EF7" i="6"/>
  <c r="EF8" i="6"/>
  <c r="EF9" i="6"/>
  <c r="EF10" i="6"/>
  <c r="EF12" i="6"/>
  <c r="EF13" i="6"/>
  <c r="EF14" i="6"/>
  <c r="EF15" i="6"/>
  <c r="EF16" i="6"/>
  <c r="EF17" i="6"/>
  <c r="EF18" i="6"/>
  <c r="EF19" i="6"/>
  <c r="EF20" i="6"/>
  <c r="EF21" i="6"/>
  <c r="EF6" i="6"/>
  <c r="IB10" i="6"/>
  <c r="DV39" i="6"/>
  <c r="DW39" i="6"/>
  <c r="DX39" i="6"/>
  <c r="DY39" i="6"/>
  <c r="DZ39" i="6"/>
  <c r="EA39" i="6"/>
  <c r="EB39" i="6"/>
  <c r="EC39" i="6"/>
  <c r="ED39" i="6"/>
  <c r="EE39" i="6"/>
  <c r="EF39" i="6"/>
  <c r="EG39" i="6"/>
  <c r="EH39" i="6"/>
  <c r="EI39" i="6"/>
  <c r="EJ39" i="6"/>
  <c r="EK39" i="6"/>
  <c r="EL39" i="6"/>
  <c r="EM39" i="6"/>
  <c r="EN39" i="6"/>
  <c r="EO39" i="6"/>
  <c r="EP39" i="6"/>
  <c r="EQ39" i="6"/>
  <c r="ER39" i="6"/>
  <c r="ES39" i="6"/>
  <c r="ET39" i="6"/>
  <c r="EU39" i="6"/>
  <c r="EV39" i="6"/>
  <c r="EW39" i="6"/>
  <c r="EX39" i="6"/>
  <c r="EY39" i="6"/>
  <c r="EZ39" i="6"/>
  <c r="FA39" i="6"/>
  <c r="FB39" i="6"/>
  <c r="FC39" i="6"/>
  <c r="FD39" i="6"/>
  <c r="FE39" i="6"/>
  <c r="FF39" i="6"/>
  <c r="FG39" i="6"/>
  <c r="FH39" i="6"/>
  <c r="FI39" i="6"/>
  <c r="FJ39" i="6"/>
  <c r="FK39" i="6"/>
  <c r="FL39" i="6"/>
  <c r="FM39" i="6"/>
  <c r="FN39" i="6"/>
  <c r="FO39" i="6"/>
  <c r="FP39" i="6"/>
  <c r="FQ39" i="6"/>
  <c r="FR39" i="6"/>
  <c r="FS39" i="6"/>
  <c r="FT39" i="6"/>
  <c r="FU39" i="6"/>
  <c r="FV39" i="6"/>
  <c r="FW39" i="6"/>
  <c r="FX39" i="6"/>
  <c r="FY39" i="6"/>
  <c r="FZ39" i="6"/>
  <c r="GA39" i="6"/>
  <c r="GB39" i="6"/>
  <c r="GC39" i="6"/>
  <c r="GD39" i="6"/>
  <c r="GE39" i="6"/>
  <c r="GF39" i="6"/>
  <c r="GG39" i="6"/>
  <c r="GH39" i="6"/>
  <c r="GI39" i="6"/>
  <c r="GJ39" i="6"/>
  <c r="GK39" i="6"/>
  <c r="GL39" i="6"/>
  <c r="GM39" i="6"/>
  <c r="GN39" i="6"/>
  <c r="GO39" i="6"/>
  <c r="DV40" i="6"/>
  <c r="DW40" i="6"/>
  <c r="DX40" i="6"/>
  <c r="DY40" i="6"/>
  <c r="DZ40" i="6"/>
  <c r="EA40" i="6"/>
  <c r="EB40" i="6"/>
  <c r="EC40" i="6"/>
  <c r="ED40" i="6"/>
  <c r="EE40" i="6"/>
  <c r="EF40" i="6"/>
  <c r="EG40" i="6"/>
  <c r="EH40" i="6"/>
  <c r="EI40" i="6"/>
  <c r="EJ40" i="6"/>
  <c r="EK40" i="6"/>
  <c r="EL40" i="6"/>
  <c r="EM40" i="6"/>
  <c r="EN40" i="6"/>
  <c r="EO40" i="6"/>
  <c r="EP40" i="6"/>
  <c r="EQ40" i="6"/>
  <c r="ER40" i="6"/>
  <c r="ES40" i="6"/>
  <c r="ET40" i="6"/>
  <c r="EU40" i="6"/>
  <c r="EV40" i="6"/>
  <c r="EW40" i="6"/>
  <c r="EX40" i="6"/>
  <c r="EY40" i="6"/>
  <c r="EZ40" i="6"/>
  <c r="FA40" i="6"/>
  <c r="FB40" i="6"/>
  <c r="FC40" i="6"/>
  <c r="FD40" i="6"/>
  <c r="FE40" i="6"/>
  <c r="FF40" i="6"/>
  <c r="FG40" i="6"/>
  <c r="FH40" i="6"/>
  <c r="FI40" i="6"/>
  <c r="FJ40" i="6"/>
  <c r="FK40" i="6"/>
  <c r="FL40" i="6"/>
  <c r="FM40" i="6"/>
  <c r="FN40" i="6"/>
  <c r="FO40" i="6"/>
  <c r="FP40" i="6"/>
  <c r="FQ40" i="6"/>
  <c r="FR40" i="6"/>
  <c r="FS40" i="6"/>
  <c r="FT40" i="6"/>
  <c r="FU40" i="6"/>
  <c r="FV40" i="6"/>
  <c r="FW40" i="6"/>
  <c r="FX40" i="6"/>
  <c r="FY40" i="6"/>
  <c r="FZ40" i="6"/>
  <c r="GA40" i="6"/>
  <c r="GB40" i="6"/>
  <c r="GC40" i="6"/>
  <c r="GD40" i="6"/>
  <c r="GE40" i="6"/>
  <c r="GF40" i="6"/>
  <c r="GG40" i="6"/>
  <c r="GH40" i="6"/>
  <c r="GI40" i="6"/>
  <c r="GJ40" i="6"/>
  <c r="GK40" i="6"/>
  <c r="GL40" i="6"/>
  <c r="GM40" i="6"/>
  <c r="GN40" i="6"/>
  <c r="GO40" i="6"/>
  <c r="DU39" i="6"/>
  <c r="DU40" i="6"/>
  <c r="ED5" i="6"/>
  <c r="DZ46" i="6" l="1"/>
  <c r="L347" i="8"/>
  <c r="L229" i="8"/>
  <c r="A11" i="2"/>
  <c r="A12" i="2" s="1"/>
  <c r="A13" i="2" s="1"/>
  <c r="A15" i="2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EA46" i="6" l="1"/>
  <c r="B91" i="6"/>
  <c r="B92" i="6" s="1"/>
  <c r="B93" i="6" s="1"/>
  <c r="B94" i="6" s="1"/>
  <c r="B95" i="6" s="1"/>
  <c r="B96" i="6" s="1"/>
  <c r="B97" i="6" s="1"/>
  <c r="B98" i="6" s="1"/>
  <c r="B99" i="6" s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" i="6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1" i="5" s="1"/>
  <c r="B92" i="5" s="1"/>
  <c r="B93" i="5" s="1"/>
  <c r="B94" i="5" s="1"/>
  <c r="B95" i="5" s="1"/>
  <c r="B96" i="5" s="1"/>
  <c r="B97" i="5" s="1"/>
  <c r="B98" i="5" s="1"/>
  <c r="B99" i="5" s="1"/>
  <c r="B9" i="5"/>
  <c r="T83" i="7"/>
  <c r="T82" i="7"/>
  <c r="T81" i="7"/>
  <c r="T80" i="7"/>
  <c r="T79" i="7"/>
  <c r="T78" i="7"/>
  <c r="T77" i="7"/>
  <c r="T76" i="7"/>
  <c r="T75" i="7"/>
  <c r="T74" i="7"/>
  <c r="T73" i="7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  <c r="T3" i="7"/>
  <c r="DO5" i="6" a="1"/>
  <c r="DO5" i="6" s="1"/>
  <c r="A95" i="2"/>
  <c r="A96" i="2" s="1"/>
  <c r="A97" i="2" s="1"/>
  <c r="A98" i="2" s="1"/>
  <c r="A99" i="2" s="1"/>
  <c r="A100" i="2" s="1"/>
  <c r="A101" i="2" s="1"/>
  <c r="A102" i="2" s="1"/>
  <c r="A103" i="2" s="1"/>
  <c r="A104" i="2" s="1"/>
  <c r="DA140" i="6"/>
  <c r="DA141" i="6" s="1"/>
  <c r="CZ140" i="6"/>
  <c r="CZ141" i="6" s="1"/>
  <c r="CY140" i="6"/>
  <c r="CY141" i="6" s="1"/>
  <c r="CX140" i="6"/>
  <c r="CX141" i="6" s="1"/>
  <c r="CW140" i="6"/>
  <c r="CW141" i="6" s="1"/>
  <c r="CV140" i="6"/>
  <c r="CV141" i="6" s="1"/>
  <c r="CU140" i="6"/>
  <c r="CU141" i="6" s="1"/>
  <c r="CT140" i="6"/>
  <c r="CT141" i="6" s="1"/>
  <c r="CS140" i="6"/>
  <c r="CS141" i="6" s="1"/>
  <c r="CR140" i="6"/>
  <c r="CR141" i="6" s="1"/>
  <c r="CQ140" i="6"/>
  <c r="CQ141" i="6" s="1"/>
  <c r="CP140" i="6"/>
  <c r="CP141" i="6" s="1"/>
  <c r="CO140" i="6"/>
  <c r="CO141" i="6" s="1"/>
  <c r="CN140" i="6"/>
  <c r="CN141" i="6" s="1"/>
  <c r="CM140" i="6"/>
  <c r="CM141" i="6" s="1"/>
  <c r="CL140" i="6"/>
  <c r="CL141" i="6" s="1"/>
  <c r="CK140" i="6"/>
  <c r="CK141" i="6" s="1"/>
  <c r="CJ140" i="6"/>
  <c r="CJ141" i="6" s="1"/>
  <c r="CI140" i="6"/>
  <c r="CI141" i="6" s="1"/>
  <c r="CH140" i="6"/>
  <c r="CH141" i="6" s="1"/>
  <c r="CG140" i="6"/>
  <c r="CG141" i="6" s="1"/>
  <c r="CF140" i="6"/>
  <c r="CF141" i="6" s="1"/>
  <c r="CE140" i="6"/>
  <c r="CE141" i="6" s="1"/>
  <c r="CD140" i="6"/>
  <c r="CD141" i="6" s="1"/>
  <c r="CC140" i="6"/>
  <c r="CC141" i="6" s="1"/>
  <c r="CB140" i="6"/>
  <c r="CB141" i="6" s="1"/>
  <c r="CA140" i="6"/>
  <c r="CA141" i="6" s="1"/>
  <c r="BZ140" i="6"/>
  <c r="BZ141" i="6" s="1"/>
  <c r="BY140" i="6"/>
  <c r="BY141" i="6" s="1"/>
  <c r="BX140" i="6"/>
  <c r="BX141" i="6" s="1"/>
  <c r="BW140" i="6"/>
  <c r="BW141" i="6" s="1"/>
  <c r="BV140" i="6"/>
  <c r="BV141" i="6" s="1"/>
  <c r="BU140" i="6"/>
  <c r="BU141" i="6" s="1"/>
  <c r="BT140" i="6"/>
  <c r="BT141" i="6" s="1"/>
  <c r="BS140" i="6"/>
  <c r="BS141" i="6" s="1"/>
  <c r="BR140" i="6"/>
  <c r="BR141" i="6" s="1"/>
  <c r="BQ140" i="6"/>
  <c r="BQ141" i="6" s="1"/>
  <c r="BP140" i="6"/>
  <c r="BP141" i="6" s="1"/>
  <c r="BO140" i="6"/>
  <c r="BO141" i="6" s="1"/>
  <c r="BN140" i="6"/>
  <c r="BN141" i="6" s="1"/>
  <c r="BM140" i="6"/>
  <c r="BM141" i="6" s="1"/>
  <c r="BL140" i="6"/>
  <c r="BL141" i="6" s="1"/>
  <c r="BK140" i="6"/>
  <c r="BK141" i="6" s="1"/>
  <c r="BJ140" i="6"/>
  <c r="BJ141" i="6" s="1"/>
  <c r="BI140" i="6"/>
  <c r="BI141" i="6" s="1"/>
  <c r="BH140" i="6"/>
  <c r="BH141" i="6" s="1"/>
  <c r="BG140" i="6"/>
  <c r="BG141" i="6" s="1"/>
  <c r="BF140" i="6"/>
  <c r="BF141" i="6" s="1"/>
  <c r="BE140" i="6"/>
  <c r="BE141" i="6" s="1"/>
  <c r="BD140" i="6"/>
  <c r="BD141" i="6" s="1"/>
  <c r="BC140" i="6"/>
  <c r="BC141" i="6" s="1"/>
  <c r="BB140" i="6"/>
  <c r="BB141" i="6" s="1"/>
  <c r="BA140" i="6"/>
  <c r="BA141" i="6" s="1"/>
  <c r="AZ140" i="6"/>
  <c r="AZ141" i="6" s="1"/>
  <c r="AY140" i="6"/>
  <c r="AY141" i="6" s="1"/>
  <c r="AX140" i="6"/>
  <c r="AX141" i="6" s="1"/>
  <c r="AW140" i="6"/>
  <c r="AW141" i="6" s="1"/>
  <c r="AV140" i="6"/>
  <c r="AV141" i="6" s="1"/>
  <c r="AU140" i="6"/>
  <c r="AU141" i="6" s="1"/>
  <c r="AT140" i="6"/>
  <c r="AT141" i="6" s="1"/>
  <c r="AS140" i="6"/>
  <c r="AS141" i="6" s="1"/>
  <c r="AR140" i="6"/>
  <c r="AR141" i="6" s="1"/>
  <c r="AQ140" i="6"/>
  <c r="AQ141" i="6" s="1"/>
  <c r="AP140" i="6"/>
  <c r="AP141" i="6" s="1"/>
  <c r="AO140" i="6"/>
  <c r="AO141" i="6" s="1"/>
  <c r="AN140" i="6"/>
  <c r="AN141" i="6" s="1"/>
  <c r="AM140" i="6"/>
  <c r="AM141" i="6" s="1"/>
  <c r="AL140" i="6"/>
  <c r="AL141" i="6" s="1"/>
  <c r="AK140" i="6"/>
  <c r="AK141" i="6" s="1"/>
  <c r="AJ140" i="6"/>
  <c r="AJ141" i="6" s="1"/>
  <c r="AI140" i="6"/>
  <c r="AI141" i="6" s="1"/>
  <c r="AH140" i="6"/>
  <c r="AH141" i="6" s="1"/>
  <c r="AG140" i="6"/>
  <c r="AG141" i="6" s="1"/>
  <c r="AF140" i="6"/>
  <c r="AF141" i="6" s="1"/>
  <c r="AE140" i="6"/>
  <c r="AE141" i="6" s="1"/>
  <c r="AD140" i="6"/>
  <c r="AD141" i="6" s="1"/>
  <c r="AC140" i="6"/>
  <c r="AC141" i="6" s="1"/>
  <c r="AB140" i="6"/>
  <c r="AB141" i="6" s="1"/>
  <c r="AA140" i="6"/>
  <c r="AA141" i="6" s="1"/>
  <c r="Z140" i="6"/>
  <c r="Z141" i="6" s="1"/>
  <c r="Y140" i="6"/>
  <c r="Y141" i="6" s="1"/>
  <c r="X140" i="6"/>
  <c r="X141" i="6" s="1"/>
  <c r="W140" i="6"/>
  <c r="W141" i="6" s="1"/>
  <c r="V140" i="6"/>
  <c r="V141" i="6" s="1"/>
  <c r="U140" i="6"/>
  <c r="U141" i="6" s="1"/>
  <c r="T140" i="6"/>
  <c r="T141" i="6" s="1"/>
  <c r="S140" i="6"/>
  <c r="S141" i="6" s="1"/>
  <c r="R140" i="6"/>
  <c r="R141" i="6" s="1"/>
  <c r="Q140" i="6"/>
  <c r="Q141" i="6" s="1"/>
  <c r="P140" i="6"/>
  <c r="P141" i="6" s="1"/>
  <c r="O140" i="6"/>
  <c r="O141" i="6" s="1"/>
  <c r="N140" i="6"/>
  <c r="N141" i="6" s="1"/>
  <c r="M140" i="6"/>
  <c r="M141" i="6" s="1"/>
  <c r="L140" i="6"/>
  <c r="L141" i="6" s="1"/>
  <c r="K140" i="6"/>
  <c r="K141" i="6" s="1"/>
  <c r="J140" i="6"/>
  <c r="J141" i="6" s="1"/>
  <c r="I140" i="6"/>
  <c r="I141" i="6" s="1"/>
  <c r="H140" i="6"/>
  <c r="H141" i="6" s="1"/>
  <c r="G140" i="6"/>
  <c r="G141" i="6" s="1"/>
  <c r="F140" i="6"/>
  <c r="F141" i="6" s="1"/>
  <c r="DA58" i="6"/>
  <c r="DA59" i="6" s="1"/>
  <c r="CZ58" i="6"/>
  <c r="CZ59" i="6" s="1"/>
  <c r="CY58" i="6"/>
  <c r="CY59" i="6" s="1"/>
  <c r="CX58" i="6"/>
  <c r="CX59" i="6" s="1"/>
  <c r="CW58" i="6"/>
  <c r="CW59" i="6" s="1"/>
  <c r="CV58" i="6"/>
  <c r="CV59" i="6" s="1"/>
  <c r="CU58" i="6"/>
  <c r="CU59" i="6" s="1"/>
  <c r="CT58" i="6"/>
  <c r="CT59" i="6" s="1"/>
  <c r="CS58" i="6"/>
  <c r="CS59" i="6" s="1"/>
  <c r="CR58" i="6"/>
  <c r="CR59" i="6" s="1"/>
  <c r="CQ58" i="6"/>
  <c r="CQ59" i="6" s="1"/>
  <c r="CP58" i="6"/>
  <c r="CP59" i="6" s="1"/>
  <c r="CO58" i="6"/>
  <c r="CO59" i="6" s="1"/>
  <c r="CN58" i="6"/>
  <c r="CN59" i="6" s="1"/>
  <c r="CM58" i="6"/>
  <c r="CM59" i="6" s="1"/>
  <c r="CL58" i="6"/>
  <c r="CL59" i="6" s="1"/>
  <c r="CK58" i="6"/>
  <c r="CK59" i="6" s="1"/>
  <c r="CJ58" i="6"/>
  <c r="CJ59" i="6" s="1"/>
  <c r="CI58" i="6"/>
  <c r="CI59" i="6" s="1"/>
  <c r="CH58" i="6"/>
  <c r="CH59" i="6" s="1"/>
  <c r="CG58" i="6"/>
  <c r="CG59" i="6" s="1"/>
  <c r="CF58" i="6"/>
  <c r="CF59" i="6" s="1"/>
  <c r="CE58" i="6"/>
  <c r="CE59" i="6" s="1"/>
  <c r="CD58" i="6"/>
  <c r="CD59" i="6" s="1"/>
  <c r="CC58" i="6"/>
  <c r="CC59" i="6" s="1"/>
  <c r="CB58" i="6"/>
  <c r="CB59" i="6" s="1"/>
  <c r="CA58" i="6"/>
  <c r="CA59" i="6" s="1"/>
  <c r="BZ58" i="6"/>
  <c r="BZ59" i="6" s="1"/>
  <c r="BY58" i="6"/>
  <c r="BY59" i="6" s="1"/>
  <c r="BX58" i="6"/>
  <c r="BX59" i="6" s="1"/>
  <c r="BW58" i="6"/>
  <c r="BW59" i="6" s="1"/>
  <c r="BV58" i="6"/>
  <c r="BV59" i="6" s="1"/>
  <c r="BU58" i="6"/>
  <c r="BU59" i="6" s="1"/>
  <c r="BT58" i="6"/>
  <c r="BT59" i="6" s="1"/>
  <c r="BS58" i="6"/>
  <c r="BS59" i="6" s="1"/>
  <c r="BR58" i="6"/>
  <c r="BR59" i="6" s="1"/>
  <c r="BQ58" i="6"/>
  <c r="BQ59" i="6" s="1"/>
  <c r="BP58" i="6"/>
  <c r="BP59" i="6" s="1"/>
  <c r="BO58" i="6"/>
  <c r="BO59" i="6" s="1"/>
  <c r="BN58" i="6"/>
  <c r="BN59" i="6" s="1"/>
  <c r="BM58" i="6"/>
  <c r="BM59" i="6" s="1"/>
  <c r="BL58" i="6"/>
  <c r="BL59" i="6" s="1"/>
  <c r="BK58" i="6"/>
  <c r="BK59" i="6" s="1"/>
  <c r="BJ58" i="6"/>
  <c r="BJ59" i="6" s="1"/>
  <c r="BI58" i="6"/>
  <c r="BI59" i="6" s="1"/>
  <c r="BH58" i="6"/>
  <c r="BH59" i="6" s="1"/>
  <c r="BG58" i="6"/>
  <c r="BG59" i="6" s="1"/>
  <c r="BF58" i="6"/>
  <c r="BF59" i="6" s="1"/>
  <c r="BE58" i="6"/>
  <c r="BE59" i="6" s="1"/>
  <c r="BD58" i="6"/>
  <c r="BD59" i="6" s="1"/>
  <c r="BC58" i="6"/>
  <c r="BC59" i="6" s="1"/>
  <c r="BB58" i="6"/>
  <c r="BB59" i="6" s="1"/>
  <c r="BA58" i="6"/>
  <c r="BA59" i="6" s="1"/>
  <c r="AZ58" i="6"/>
  <c r="AZ59" i="6" s="1"/>
  <c r="AY58" i="6"/>
  <c r="AY59" i="6" s="1"/>
  <c r="AX58" i="6"/>
  <c r="AX59" i="6" s="1"/>
  <c r="AW58" i="6"/>
  <c r="AW59" i="6" s="1"/>
  <c r="AV58" i="6"/>
  <c r="AV59" i="6" s="1"/>
  <c r="AU58" i="6"/>
  <c r="AU59" i="6" s="1"/>
  <c r="AT58" i="6"/>
  <c r="AT59" i="6" s="1"/>
  <c r="AS58" i="6"/>
  <c r="AS59" i="6" s="1"/>
  <c r="AR58" i="6"/>
  <c r="AR59" i="6" s="1"/>
  <c r="AQ58" i="6"/>
  <c r="AQ59" i="6" s="1"/>
  <c r="AP58" i="6"/>
  <c r="AP59" i="6" s="1"/>
  <c r="AO58" i="6"/>
  <c r="AO59" i="6" s="1"/>
  <c r="AN58" i="6"/>
  <c r="AN59" i="6" s="1"/>
  <c r="AM58" i="6"/>
  <c r="AM59" i="6" s="1"/>
  <c r="AL58" i="6"/>
  <c r="AL59" i="6" s="1"/>
  <c r="AK58" i="6"/>
  <c r="AK59" i="6" s="1"/>
  <c r="AJ58" i="6"/>
  <c r="AJ59" i="6" s="1"/>
  <c r="AI58" i="6"/>
  <c r="AI59" i="6" s="1"/>
  <c r="AH58" i="6"/>
  <c r="AH59" i="6" s="1"/>
  <c r="AG58" i="6"/>
  <c r="AG59" i="6" s="1"/>
  <c r="AF58" i="6"/>
  <c r="AF59" i="6" s="1"/>
  <c r="AE58" i="6"/>
  <c r="AE59" i="6" s="1"/>
  <c r="AD58" i="6"/>
  <c r="AD59" i="6" s="1"/>
  <c r="AC58" i="6"/>
  <c r="AC59" i="6" s="1"/>
  <c r="AB58" i="6"/>
  <c r="AB59" i="6" s="1"/>
  <c r="AA58" i="6"/>
  <c r="AA59" i="6" s="1"/>
  <c r="Z58" i="6"/>
  <c r="Z59" i="6" s="1"/>
  <c r="Y58" i="6"/>
  <c r="Y59" i="6" s="1"/>
  <c r="X58" i="6"/>
  <c r="X59" i="6" s="1"/>
  <c r="W58" i="6"/>
  <c r="W59" i="6" s="1"/>
  <c r="V58" i="6"/>
  <c r="V59" i="6" s="1"/>
  <c r="U58" i="6"/>
  <c r="U59" i="6" s="1"/>
  <c r="T58" i="6"/>
  <c r="T59" i="6" s="1"/>
  <c r="S58" i="6"/>
  <c r="S59" i="6" s="1"/>
  <c r="R58" i="6"/>
  <c r="R59" i="6" s="1"/>
  <c r="Q58" i="6"/>
  <c r="Q59" i="6" s="1"/>
  <c r="P58" i="6"/>
  <c r="P59" i="6" s="1"/>
  <c r="O58" i="6"/>
  <c r="O59" i="6" s="1"/>
  <c r="N58" i="6"/>
  <c r="N59" i="6" s="1"/>
  <c r="M58" i="6"/>
  <c r="M59" i="6" s="1"/>
  <c r="L58" i="6"/>
  <c r="L59" i="6" s="1"/>
  <c r="K58" i="6"/>
  <c r="K59" i="6" s="1"/>
  <c r="J58" i="6"/>
  <c r="J59" i="6" s="1"/>
  <c r="I58" i="6"/>
  <c r="I59" i="6" s="1"/>
  <c r="H58" i="6"/>
  <c r="H59" i="6" s="1"/>
  <c r="G58" i="6"/>
  <c r="G59" i="6" s="1"/>
  <c r="F58" i="6"/>
  <c r="F59" i="6" s="1"/>
  <c r="F49" i="6"/>
  <c r="U43" i="6" a="1"/>
  <c r="V45" i="6" s="1"/>
  <c r="M43" i="6" a="1"/>
  <c r="O45" i="6" s="1"/>
  <c r="DN3" i="6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5" i="5"/>
  <c r="C1" i="5" l="1"/>
  <c r="EB46" i="6"/>
  <c r="U44" i="6"/>
  <c r="DO57" i="6"/>
  <c r="DO55" i="6"/>
  <c r="W45" i="6"/>
  <c r="DO42" i="6"/>
  <c r="DO31" i="6"/>
  <c r="DO95" i="6"/>
  <c r="DO28" i="6"/>
  <c r="DO82" i="6"/>
  <c r="DO18" i="6"/>
  <c r="DO68" i="6"/>
  <c r="DO17" i="6"/>
  <c r="V44" i="6"/>
  <c r="DO43" i="6"/>
  <c r="V43" i="6"/>
  <c r="DO98" i="6"/>
  <c r="DO84" i="6"/>
  <c r="DO73" i="6"/>
  <c r="DO59" i="6"/>
  <c r="DO47" i="6"/>
  <c r="DO34" i="6"/>
  <c r="DO20" i="6"/>
  <c r="DO9" i="6"/>
  <c r="N43" i="6"/>
  <c r="DO97" i="6"/>
  <c r="DO83" i="6"/>
  <c r="DO71" i="6"/>
  <c r="DO58" i="6"/>
  <c r="DO44" i="6"/>
  <c r="DO33" i="6"/>
  <c r="DO19" i="6"/>
  <c r="DO7" i="6"/>
  <c r="O43" i="6"/>
  <c r="M44" i="6"/>
  <c r="DO92" i="6"/>
  <c r="DO81" i="6"/>
  <c r="DO67" i="6"/>
  <c r="O44" i="6"/>
  <c r="DO91" i="6"/>
  <c r="DO79" i="6"/>
  <c r="DO66" i="6"/>
  <c r="DO52" i="6"/>
  <c r="DO41" i="6"/>
  <c r="DO27" i="6"/>
  <c r="DO15" i="6"/>
  <c r="M45" i="6"/>
  <c r="DO103" i="6"/>
  <c r="DO90" i="6"/>
  <c r="DO76" i="6"/>
  <c r="DO65" i="6"/>
  <c r="DO51" i="6"/>
  <c r="DO39" i="6"/>
  <c r="DO26" i="6"/>
  <c r="DO12" i="6"/>
  <c r="DO100" i="6"/>
  <c r="DO89" i="6"/>
  <c r="DO75" i="6"/>
  <c r="DO63" i="6"/>
  <c r="DO50" i="6"/>
  <c r="DO36" i="6"/>
  <c r="DO25" i="6"/>
  <c r="DO11" i="6"/>
  <c r="U43" i="6"/>
  <c r="DO99" i="6"/>
  <c r="DO87" i="6"/>
  <c r="DO74" i="6"/>
  <c r="DO60" i="6"/>
  <c r="DO49" i="6"/>
  <c r="DO35" i="6"/>
  <c r="DO23" i="6"/>
  <c r="DO10" i="6"/>
  <c r="DO96" i="6"/>
  <c r="DO88" i="6"/>
  <c r="DO80" i="6"/>
  <c r="DO72" i="6"/>
  <c r="DO64" i="6"/>
  <c r="DO56" i="6"/>
  <c r="DO48" i="6"/>
  <c r="DO40" i="6"/>
  <c r="DO32" i="6"/>
  <c r="DO24" i="6"/>
  <c r="DO16" i="6"/>
  <c r="DO8" i="6"/>
  <c r="DO102" i="6"/>
  <c r="DO94" i="6"/>
  <c r="DO86" i="6"/>
  <c r="DO78" i="6"/>
  <c r="DO70" i="6"/>
  <c r="DO62" i="6"/>
  <c r="DO54" i="6"/>
  <c r="DO46" i="6"/>
  <c r="DO38" i="6"/>
  <c r="DO30" i="6"/>
  <c r="DO22" i="6"/>
  <c r="DO14" i="6"/>
  <c r="DO6" i="6"/>
  <c r="DO101" i="6"/>
  <c r="DO93" i="6"/>
  <c r="DO85" i="6"/>
  <c r="DO77" i="6"/>
  <c r="DO69" i="6"/>
  <c r="DO61" i="6"/>
  <c r="DO53" i="6"/>
  <c r="DO45" i="6"/>
  <c r="DO37" i="6"/>
  <c r="DO29" i="6"/>
  <c r="DO21" i="6"/>
  <c r="DO13" i="6"/>
  <c r="N44" i="6"/>
  <c r="W43" i="6"/>
  <c r="N45" i="6"/>
  <c r="W44" i="6"/>
  <c r="M43" i="6"/>
  <c r="U45" i="6"/>
  <c r="EC46" i="6" l="1"/>
  <c r="H20" i="5"/>
  <c r="E8" i="7" s="1"/>
  <c r="G36" i="6" a="1"/>
  <c r="B7" i="6"/>
  <c r="C8" i="5"/>
  <c r="CX36" i="6" l="1"/>
  <c r="CP36" i="6"/>
  <c r="CH36" i="6"/>
  <c r="BZ36" i="6"/>
  <c r="BR36" i="6"/>
  <c r="BJ36" i="6"/>
  <c r="BB36" i="6"/>
  <c r="AT36" i="6"/>
  <c r="AL36" i="6"/>
  <c r="AD36" i="6"/>
  <c r="V36" i="6"/>
  <c r="N36" i="6"/>
  <c r="CW36" i="6"/>
  <c r="CO36" i="6"/>
  <c r="CG36" i="6"/>
  <c r="BY36" i="6"/>
  <c r="BQ36" i="6"/>
  <c r="BI36" i="6"/>
  <c r="BA36" i="6"/>
  <c r="AS36" i="6"/>
  <c r="AK36" i="6"/>
  <c r="AC36" i="6"/>
  <c r="U36" i="6"/>
  <c r="M36" i="6"/>
  <c r="CV36" i="6"/>
  <c r="CN36" i="6"/>
  <c r="CF36" i="6"/>
  <c r="BX36" i="6"/>
  <c r="BP36" i="6"/>
  <c r="BH36" i="6"/>
  <c r="AZ36" i="6"/>
  <c r="AR36" i="6"/>
  <c r="AJ36" i="6"/>
  <c r="AB36" i="6"/>
  <c r="T36" i="6"/>
  <c r="L36" i="6"/>
  <c r="DA36" i="6"/>
  <c r="CS36" i="6"/>
  <c r="CK36" i="6"/>
  <c r="CC36" i="6"/>
  <c r="BU36" i="6"/>
  <c r="BM36" i="6"/>
  <c r="BE36" i="6"/>
  <c r="AW36" i="6"/>
  <c r="AO36" i="6"/>
  <c r="AG36" i="6"/>
  <c r="Y36" i="6"/>
  <c r="Q36" i="6"/>
  <c r="I36" i="6"/>
  <c r="CT36" i="6"/>
  <c r="CD36" i="6"/>
  <c r="BN36" i="6"/>
  <c r="AX36" i="6"/>
  <c r="AH36" i="6"/>
  <c r="R36" i="6"/>
  <c r="BW36" i="6"/>
  <c r="AQ36" i="6"/>
  <c r="K36" i="6"/>
  <c r="CR36" i="6"/>
  <c r="CB36" i="6"/>
  <c r="BL36" i="6"/>
  <c r="AV36" i="6"/>
  <c r="AF36" i="6"/>
  <c r="P36" i="6"/>
  <c r="BG36" i="6"/>
  <c r="AA36" i="6"/>
  <c r="CQ36" i="6"/>
  <c r="CA36" i="6"/>
  <c r="BK36" i="6"/>
  <c r="AU36" i="6"/>
  <c r="AE36" i="6"/>
  <c r="O36" i="6"/>
  <c r="CM36" i="6"/>
  <c r="CZ36" i="6"/>
  <c r="CJ36" i="6"/>
  <c r="BT36" i="6"/>
  <c r="BD36" i="6"/>
  <c r="AN36" i="6"/>
  <c r="X36" i="6"/>
  <c r="H36" i="6"/>
  <c r="CY36" i="6"/>
  <c r="CI36" i="6"/>
  <c r="BS36" i="6"/>
  <c r="BC36" i="6"/>
  <c r="AM36" i="6"/>
  <c r="W36" i="6"/>
  <c r="G36" i="6"/>
  <c r="BO36" i="6"/>
  <c r="CU36" i="6"/>
  <c r="AI36" i="6"/>
  <c r="BF36" i="6"/>
  <c r="AY36" i="6"/>
  <c r="AP36" i="6"/>
  <c r="CL36" i="6"/>
  <c r="Z36" i="6"/>
  <c r="CE36" i="6"/>
  <c r="S36" i="6"/>
  <c r="BV36" i="6"/>
  <c r="J36" i="6"/>
  <c r="B8" i="6"/>
  <c r="C94" i="5"/>
  <c r="C84" i="5"/>
  <c r="C76" i="5"/>
  <c r="C68" i="5"/>
  <c r="C60" i="5"/>
  <c r="C52" i="5"/>
  <c r="C44" i="5"/>
  <c r="C36" i="5"/>
  <c r="C28" i="5"/>
  <c r="C18" i="5"/>
  <c r="C13" i="5"/>
  <c r="C93" i="5"/>
  <c r="C89" i="5"/>
  <c r="C81" i="5"/>
  <c r="C73" i="5"/>
  <c r="C65" i="5"/>
  <c r="C57" i="5"/>
  <c r="C49" i="5"/>
  <c r="C41" i="5"/>
  <c r="C33" i="5"/>
  <c r="C25" i="5"/>
  <c r="C17" i="5"/>
  <c r="C98" i="5"/>
  <c r="C92" i="5"/>
  <c r="C99" i="5"/>
  <c r="C97" i="5"/>
  <c r="C96" i="5"/>
  <c r="C91" i="5"/>
  <c r="C95" i="5"/>
  <c r="C15" i="5"/>
  <c r="C7" i="5"/>
  <c r="C75" i="5"/>
  <c r="C69" i="5"/>
  <c r="C67" i="5"/>
  <c r="C61" i="5"/>
  <c r="C58" i="5"/>
  <c r="C50" i="5"/>
  <c r="C43" i="5"/>
  <c r="C35" i="5"/>
  <c r="C27" i="5"/>
  <c r="C21" i="5"/>
  <c r="C10" i="5"/>
  <c r="C16" i="5"/>
  <c r="C90" i="5"/>
  <c r="C79" i="5"/>
  <c r="C71" i="5"/>
  <c r="C63" i="5"/>
  <c r="C55" i="5"/>
  <c r="C47" i="5"/>
  <c r="C39" i="5"/>
  <c r="C31" i="5"/>
  <c r="C23" i="5"/>
  <c r="C83" i="5"/>
  <c r="C82" i="5"/>
  <c r="C77" i="5"/>
  <c r="C74" i="5"/>
  <c r="C66" i="5"/>
  <c r="C59" i="5"/>
  <c r="C53" i="5"/>
  <c r="C51" i="5"/>
  <c r="C45" i="5"/>
  <c r="C42" i="5"/>
  <c r="C37" i="5"/>
  <c r="C34" i="5"/>
  <c r="C29" i="5"/>
  <c r="C26" i="5"/>
  <c r="C19" i="5"/>
  <c r="C12" i="5"/>
  <c r="C5" i="5"/>
  <c r="C87" i="5"/>
  <c r="C20" i="5"/>
  <c r="C70" i="5"/>
  <c r="C46" i="5"/>
  <c r="C88" i="5"/>
  <c r="C80" i="5"/>
  <c r="C54" i="5"/>
  <c r="C22" i="5"/>
  <c r="C64" i="5"/>
  <c r="C30" i="5"/>
  <c r="C9" i="5"/>
  <c r="C72" i="5"/>
  <c r="C85" i="5"/>
  <c r="C40" i="5"/>
  <c r="C14" i="5"/>
  <c r="C78" i="5"/>
  <c r="C86" i="5"/>
  <c r="C48" i="5"/>
  <c r="C24" i="5"/>
  <c r="C6" i="5"/>
  <c r="C56" i="5"/>
  <c r="C32" i="5"/>
  <c r="C11" i="5"/>
  <c r="C62" i="5"/>
  <c r="C38" i="5"/>
  <c r="H11" i="5" l="1"/>
  <c r="H10" i="5"/>
  <c r="B101" i="5"/>
  <c r="H12" i="5"/>
  <c r="H15" i="5" l="1"/>
  <c r="H13" i="5"/>
  <c r="C4" i="8" s="1"/>
  <c r="C6" i="8" s="1"/>
  <c r="C8" i="8" s="1"/>
  <c r="H16" i="5"/>
  <c r="H14" i="5"/>
  <c r="C5" i="8" s="1"/>
  <c r="C7" i="8" l="1"/>
  <c r="C9" i="8" s="1"/>
  <c r="D307" i="8" s="1"/>
  <c r="D218" i="8"/>
  <c r="D311" i="8"/>
  <c r="D56" i="8"/>
  <c r="D308" i="8"/>
  <c r="D213" i="8"/>
  <c r="D54" i="8"/>
  <c r="D17" i="8"/>
  <c r="D71" i="8"/>
  <c r="D139" i="8"/>
  <c r="D273" i="8"/>
  <c r="D256" i="8"/>
  <c r="D239" i="8"/>
  <c r="D112" i="8"/>
  <c r="D183" i="8"/>
  <c r="D55" i="8"/>
  <c r="D174" i="8"/>
  <c r="D110" i="8"/>
  <c r="D199" i="8"/>
  <c r="D190" i="8"/>
  <c r="D131" i="8"/>
  <c r="D227" i="8"/>
  <c r="D202" i="8"/>
  <c r="D248" i="8"/>
  <c r="D177" i="8"/>
  <c r="D295" i="8"/>
  <c r="D231" i="8"/>
  <c r="D168" i="8"/>
  <c r="D260" i="8"/>
  <c r="D85" i="8"/>
  <c r="D238" i="8"/>
  <c r="D175" i="8"/>
  <c r="D111" i="8"/>
  <c r="D301" i="8"/>
  <c r="D237" i="8"/>
  <c r="D102" i="8"/>
  <c r="D39" i="8"/>
  <c r="D284" i="8"/>
  <c r="D219" i="8"/>
  <c r="D115" i="8"/>
  <c r="D21" i="8"/>
  <c r="D257" i="8"/>
  <c r="D194" i="8"/>
  <c r="D304" i="8"/>
  <c r="D240" i="8"/>
  <c r="D89" i="8"/>
  <c r="D193" i="8"/>
  <c r="D287" i="8"/>
  <c r="D96" i="8"/>
  <c r="D35" i="8"/>
  <c r="D69" i="8"/>
  <c r="D294" i="8"/>
  <c r="D230" i="8"/>
  <c r="D300" i="8"/>
  <c r="D141" i="8"/>
  <c r="D222" i="8"/>
  <c r="D158" i="8"/>
  <c r="D94" i="8"/>
  <c r="D91" i="8"/>
  <c r="D209" i="8"/>
  <c r="D135" i="8"/>
  <c r="D126" i="8"/>
  <c r="D196" i="8"/>
  <c r="D99" i="8"/>
  <c r="D171" i="8"/>
  <c r="D249" i="8"/>
  <c r="D186" i="8"/>
  <c r="D122" i="8"/>
  <c r="D232" i="8"/>
  <c r="D161" i="8"/>
  <c r="D121" i="8"/>
  <c r="D279" i="8"/>
  <c r="D216" i="8"/>
  <c r="D31" i="8"/>
  <c r="D229" i="8"/>
  <c r="D286" i="8"/>
  <c r="D223" i="8"/>
  <c r="D159" i="8"/>
  <c r="D125" i="8"/>
  <c r="D285" i="8"/>
  <c r="D150" i="8"/>
  <c r="D86" i="8"/>
  <c r="D30" i="8"/>
  <c r="D65" i="8"/>
  <c r="D75" i="8"/>
  <c r="D19" i="8"/>
  <c r="D172" i="8"/>
  <c r="D274" i="8"/>
  <c r="D147" i="8"/>
  <c r="D305" i="8"/>
  <c r="D178" i="8"/>
  <c r="D114" i="8"/>
  <c r="D50" i="8"/>
  <c r="D153" i="8"/>
  <c r="D57" i="8"/>
  <c r="D271" i="8"/>
  <c r="D208" i="8"/>
  <c r="D144" i="8"/>
  <c r="D205" i="8"/>
  <c r="D155" i="8"/>
  <c r="D215" i="8"/>
  <c r="D151" i="8"/>
  <c r="D87" i="8"/>
  <c r="D277" i="8"/>
  <c r="D206" i="8"/>
  <c r="D78" i="8"/>
  <c r="D26" i="8"/>
  <c r="D157" i="8"/>
  <c r="D162" i="8"/>
  <c r="D41" i="8"/>
  <c r="D128" i="8"/>
  <c r="D261" i="8"/>
  <c r="D124" i="8"/>
  <c r="D266" i="8"/>
  <c r="D67" i="8"/>
  <c r="D123" i="8"/>
  <c r="D297" i="8"/>
  <c r="D170" i="8"/>
  <c r="D106" i="8"/>
  <c r="D42" i="8"/>
  <c r="D217" i="8"/>
  <c r="D145" i="8"/>
  <c r="D49" i="8"/>
  <c r="D263" i="8"/>
  <c r="D200" i="8"/>
  <c r="D136" i="8"/>
  <c r="D20" i="8"/>
  <c r="D189" i="8"/>
  <c r="D107" i="8"/>
  <c r="D207" i="8"/>
  <c r="D143" i="8"/>
  <c r="D79" i="8"/>
  <c r="D252" i="8"/>
  <c r="D77" i="8"/>
  <c r="D269" i="8"/>
  <c r="D198" i="8"/>
  <c r="D134" i="8"/>
  <c r="D70" i="8"/>
  <c r="D22" i="8"/>
  <c r="D133" i="8"/>
  <c r="D60" i="8"/>
  <c r="D36" i="8"/>
  <c r="D15" i="8"/>
  <c r="D236" i="8"/>
  <c r="D117" i="8"/>
  <c r="D13" i="8"/>
  <c r="D76" i="8"/>
  <c r="D275" i="8"/>
  <c r="D164" i="8"/>
  <c r="D188" i="8"/>
  <c r="D140" i="8"/>
  <c r="D33" i="8"/>
  <c r="D228" i="8"/>
  <c r="D100" i="8"/>
  <c r="D235" i="8"/>
  <c r="D204" i="8"/>
  <c r="D92" i="8"/>
  <c r="D291" i="8"/>
  <c r="D68" i="8"/>
  <c r="D267" i="8"/>
  <c r="D156" i="8"/>
  <c r="D299" i="8"/>
  <c r="D251" i="8"/>
  <c r="D29" i="8"/>
  <c r="D220" i="8"/>
  <c r="D52" i="8"/>
  <c r="D212" i="8"/>
  <c r="D108" i="8"/>
  <c r="D84" i="8"/>
  <c r="D283" i="8"/>
  <c r="D116" i="8"/>
  <c r="D243" i="8"/>
  <c r="D259" i="8"/>
  <c r="D148" i="8"/>
  <c r="D38" i="8"/>
  <c r="D180" i="8"/>
  <c r="D132" i="8"/>
  <c r="D101" i="8" l="1"/>
  <c r="D27" i="8"/>
  <c r="D225" i="8"/>
  <c r="D83" i="8"/>
  <c r="D179" i="8"/>
  <c r="D292" i="8"/>
  <c r="D88" i="8"/>
  <c r="D296" i="8"/>
  <c r="D211" i="8"/>
  <c r="D221" i="8"/>
  <c r="D103" i="8"/>
  <c r="D160" i="8"/>
  <c r="D66" i="8"/>
  <c r="D298" i="8"/>
  <c r="D165" i="8"/>
  <c r="D40" i="8"/>
  <c r="D74" i="8"/>
  <c r="D289" i="8"/>
  <c r="D246" i="8"/>
  <c r="D28" i="8"/>
  <c r="D173" i="8"/>
  <c r="D127" i="8"/>
  <c r="D201" i="8"/>
  <c r="D72" i="8"/>
  <c r="D280" i="8"/>
  <c r="D187" i="8"/>
  <c r="D258" i="8"/>
  <c r="D268" i="8"/>
  <c r="D80" i="8"/>
  <c r="D288" i="8"/>
  <c r="D203" i="8"/>
  <c r="D181" i="8"/>
  <c r="D95" i="8"/>
  <c r="D152" i="8"/>
  <c r="D58" i="8"/>
  <c r="D282" i="8"/>
  <c r="D34" i="8"/>
  <c r="D167" i="8"/>
  <c r="D224" i="8"/>
  <c r="D130" i="8"/>
  <c r="D51" i="8"/>
  <c r="D47" i="8"/>
  <c r="D104" i="8"/>
  <c r="D138" i="8"/>
  <c r="D61" i="8"/>
  <c r="D310" i="8"/>
  <c r="D146" i="8"/>
  <c r="D98" i="8"/>
  <c r="D191" i="8"/>
  <c r="D264" i="8"/>
  <c r="D46" i="8"/>
  <c r="D48" i="8"/>
  <c r="D210" i="8"/>
  <c r="D226" i="8"/>
  <c r="D254" i="8"/>
  <c r="D90" i="8"/>
  <c r="D154" i="8"/>
  <c r="D270" i="8"/>
  <c r="D81" i="8"/>
  <c r="D233" i="8"/>
  <c r="D262" i="8"/>
  <c r="D142" i="8"/>
  <c r="D278" i="8"/>
  <c r="D97" i="8"/>
  <c r="D241" i="8"/>
  <c r="D53" i="8"/>
  <c r="D214" i="8"/>
  <c r="D45" i="8"/>
  <c r="D73" i="8"/>
  <c r="D313" i="8"/>
  <c r="D64" i="8"/>
  <c r="D293" i="8"/>
  <c r="D244" i="8"/>
  <c r="D169" i="8"/>
  <c r="D195" i="8"/>
  <c r="D166" i="8"/>
  <c r="D302" i="8"/>
  <c r="D105" i="8"/>
  <c r="D306" i="8"/>
  <c r="D197" i="8"/>
  <c r="D303" i="8"/>
  <c r="D242" i="8"/>
  <c r="D118" i="8"/>
  <c r="D184" i="8"/>
  <c r="D163" i="8"/>
  <c r="D18" i="8"/>
  <c r="D62" i="8"/>
  <c r="D25" i="8"/>
  <c r="D247" i="8"/>
  <c r="D44" i="8"/>
  <c r="D16" i="8"/>
  <c r="D265" i="8"/>
  <c r="D255" i="8"/>
  <c r="D245" i="8"/>
  <c r="D109" i="8"/>
  <c r="D113" i="8"/>
  <c r="D37" i="8"/>
  <c r="D192" i="8"/>
  <c r="D182" i="8"/>
  <c r="D43" i="8"/>
  <c r="D23" i="8"/>
  <c r="D281" i="8"/>
  <c r="D24" i="8"/>
  <c r="D272" i="8"/>
  <c r="D309" i="8"/>
  <c r="D276" i="8"/>
  <c r="D185" i="8"/>
  <c r="D290" i="8"/>
  <c r="D137" i="8"/>
  <c r="D253" i="8"/>
  <c r="D149" i="8"/>
  <c r="D129" i="8"/>
  <c r="D59" i="8"/>
  <c r="D12" i="8"/>
  <c r="D312" i="8"/>
  <c r="D234" i="8"/>
  <c r="D14" i="8"/>
  <c r="D119" i="8"/>
  <c r="D176" i="8"/>
  <c r="D82" i="8"/>
  <c r="D314" i="8"/>
  <c r="D93" i="8"/>
  <c r="D63" i="8"/>
  <c r="D120" i="8"/>
  <c r="D32" i="8"/>
  <c r="D250" i="8"/>
  <c r="G13" i="8" l="1"/>
  <c r="G14" i="8" l="1"/>
  <c r="G16" i="8" s="1"/>
  <c r="H16" i="8" l="1"/>
  <c r="J18" i="8"/>
  <c r="G17" i="8"/>
  <c r="H18" i="8"/>
  <c r="H17" i="8"/>
  <c r="J16" i="8"/>
  <c r="I18" i="8"/>
  <c r="G18" i="8"/>
  <c r="H26" i="8" s="1"/>
  <c r="I16" i="8"/>
  <c r="J19" i="8" s="1"/>
  <c r="H28" i="8"/>
  <c r="H27" i="8"/>
  <c r="H29" i="8" l="1"/>
  <c r="H20" i="8"/>
  <c r="J20" i="8" s="1"/>
  <c r="H31" i="8"/>
  <c r="H30" i="8"/>
  <c r="H32" i="8" s="1"/>
  <c r="H33" i="8" s="1"/>
  <c r="J21" i="8" l="1"/>
  <c r="J22" i="8" s="1"/>
  <c r="H24" i="8" s="1"/>
  <c r="H21" i="8"/>
  <c r="H22" i="8" s="1"/>
  <c r="H23" i="8"/>
  <c r="H34" i="8"/>
  <c r="H38" i="8"/>
  <c r="H35" i="8" l="1"/>
  <c r="H39" i="8" s="1"/>
  <c r="J4" i="8"/>
  <c r="H17" i="5" s="1"/>
  <c r="I1" i="5" s="1"/>
  <c r="J5" i="8"/>
  <c r="H18" i="5" s="1"/>
  <c r="E7" i="7" s="1"/>
  <c r="I11" i="5" l="1"/>
  <c r="I60" i="5"/>
  <c r="I68" i="5"/>
  <c r="I74" i="5"/>
  <c r="I55" i="5"/>
  <c r="I48" i="5"/>
  <c r="I53" i="5"/>
  <c r="I62" i="5"/>
  <c r="I67" i="5"/>
  <c r="I88" i="5"/>
  <c r="I83" i="5"/>
  <c r="I85" i="5"/>
  <c r="I41" i="5"/>
  <c r="I80" i="5"/>
  <c r="I51" i="5"/>
  <c r="I37" i="5"/>
  <c r="I38" i="5"/>
  <c r="I19" i="5"/>
  <c r="I43" i="5"/>
  <c r="I34" i="5"/>
  <c r="I36" i="5"/>
  <c r="I18" i="5"/>
  <c r="I9" i="5"/>
  <c r="I13" i="5"/>
  <c r="I49" i="5"/>
  <c r="I66" i="5"/>
  <c r="I75" i="5"/>
  <c r="I89" i="5"/>
  <c r="I22" i="5"/>
  <c r="I69" i="5"/>
  <c r="I72" i="5"/>
  <c r="I84" i="5"/>
  <c r="I52" i="5"/>
  <c r="I28" i="5"/>
  <c r="I26" i="5"/>
  <c r="I82" i="5"/>
  <c r="I46" i="5"/>
  <c r="I78" i="5"/>
  <c r="I42" i="5"/>
  <c r="I27" i="5"/>
  <c r="I65" i="5"/>
  <c r="I59" i="5"/>
  <c r="I45" i="5"/>
  <c r="I23" i="5"/>
  <c r="I10" i="5"/>
  <c r="I20" i="5"/>
  <c r="I33" i="5"/>
  <c r="I87" i="5"/>
  <c r="I21" i="5"/>
  <c r="I64" i="5"/>
  <c r="U3" i="5"/>
  <c r="U23" i="5" s="1"/>
  <c r="U24" i="5" s="1"/>
  <c r="I57" i="5"/>
  <c r="I29" i="5"/>
  <c r="I73" i="5"/>
  <c r="I14" i="5"/>
  <c r="I71" i="5"/>
  <c r="I47" i="5"/>
  <c r="I81" i="5"/>
  <c r="I24" i="5"/>
  <c r="I40" i="5"/>
  <c r="I63" i="5"/>
  <c r="I25" i="5"/>
  <c r="I58" i="5"/>
  <c r="I16" i="5"/>
  <c r="I35" i="5"/>
  <c r="I30" i="5"/>
  <c r="I31" i="5"/>
  <c r="I56" i="5"/>
  <c r="I15" i="5"/>
  <c r="I39" i="5"/>
  <c r="I32" i="5"/>
  <c r="I17" i="5"/>
  <c r="I76" i="5"/>
  <c r="I77" i="5"/>
  <c r="I86" i="5"/>
  <c r="I70" i="5"/>
  <c r="I50" i="5"/>
  <c r="I61" i="5"/>
  <c r="I79" i="5"/>
  <c r="I12" i="5"/>
  <c r="I44" i="5"/>
  <c r="I54" i="5"/>
  <c r="I101" i="5"/>
  <c r="J62" i="5" s="1"/>
  <c r="E6" i="7"/>
  <c r="U9" i="5" l="1"/>
  <c r="U6" i="5"/>
  <c r="U12" i="5" s="1"/>
  <c r="U13" i="5" s="1"/>
  <c r="U15" i="5" s="1"/>
  <c r="J91" i="5"/>
  <c r="J69" i="5"/>
  <c r="J76" i="5"/>
  <c r="J87" i="5"/>
  <c r="J79" i="5"/>
  <c r="J38" i="5"/>
  <c r="J42" i="5"/>
  <c r="J23" i="5"/>
  <c r="J95" i="5"/>
  <c r="J72" i="5"/>
  <c r="J57" i="5"/>
  <c r="J67" i="5"/>
  <c r="J65" i="5"/>
  <c r="J68" i="5"/>
  <c r="J5" i="5"/>
  <c r="J44" i="5"/>
  <c r="J82" i="5"/>
  <c r="J47" i="5"/>
  <c r="J29" i="5"/>
  <c r="J40" i="5"/>
  <c r="J30" i="5"/>
  <c r="J70" i="5"/>
  <c r="J73" i="5"/>
  <c r="J15" i="5"/>
  <c r="J86" i="5"/>
  <c r="J31" i="5"/>
  <c r="J93" i="5"/>
  <c r="J22" i="5"/>
  <c r="J56" i="5"/>
  <c r="J33" i="5"/>
  <c r="J49" i="5"/>
  <c r="J90" i="5"/>
  <c r="J71" i="5"/>
  <c r="J7" i="5"/>
  <c r="J13" i="5"/>
  <c r="J85" i="5"/>
  <c r="J74" i="5"/>
  <c r="J24" i="5"/>
  <c r="J8" i="5"/>
  <c r="J35" i="5"/>
  <c r="J77" i="5"/>
  <c r="J97" i="5"/>
  <c r="J6" i="5"/>
  <c r="J80" i="5"/>
  <c r="J43" i="5"/>
  <c r="J98" i="5"/>
  <c r="J34" i="5"/>
  <c r="J46" i="5"/>
  <c r="J53" i="5"/>
  <c r="J60" i="5"/>
  <c r="J39" i="5"/>
  <c r="J89" i="5"/>
  <c r="J54" i="5"/>
  <c r="J36" i="5"/>
  <c r="J50" i="5"/>
  <c r="J19" i="5"/>
  <c r="J45" i="5"/>
  <c r="J11" i="5"/>
  <c r="J63" i="5"/>
  <c r="J75" i="5"/>
  <c r="J9" i="5"/>
  <c r="J51" i="5"/>
  <c r="J37" i="5"/>
  <c r="J94" i="5"/>
  <c r="J81" i="5"/>
  <c r="J14" i="5"/>
  <c r="J48" i="5"/>
  <c r="J17" i="5"/>
  <c r="J59" i="5"/>
  <c r="J26" i="5"/>
  <c r="J52" i="5"/>
  <c r="J88" i="5"/>
  <c r="J64" i="5"/>
  <c r="J27" i="5"/>
  <c r="J10" i="5"/>
  <c r="J83" i="5"/>
  <c r="J66" i="5"/>
  <c r="J61" i="5"/>
  <c r="J18" i="5"/>
  <c r="J55" i="5"/>
  <c r="J78" i="5"/>
  <c r="J32" i="5"/>
  <c r="J12" i="5"/>
  <c r="J96" i="5"/>
  <c r="J99" i="5"/>
  <c r="J58" i="5"/>
  <c r="J41" i="5"/>
  <c r="J92" i="5"/>
  <c r="J84" i="5"/>
  <c r="J20" i="5"/>
  <c r="J21" i="5"/>
  <c r="J25" i="5"/>
  <c r="J28" i="5"/>
  <c r="J16" i="5"/>
  <c r="V56" i="5" l="1"/>
  <c r="U16" i="5"/>
  <c r="V74" i="5" s="1"/>
  <c r="V77" i="5"/>
  <c r="V78" i="5"/>
  <c r="V17" i="5"/>
  <c r="V18" i="5"/>
  <c r="V9" i="5"/>
  <c r="V39" i="5"/>
  <c r="V79" i="5"/>
  <c r="V28" i="5"/>
  <c r="V76" i="5"/>
  <c r="V10" i="5"/>
  <c r="V55" i="5"/>
  <c r="V32" i="5"/>
  <c r="V14" i="5"/>
  <c r="V84" i="5"/>
  <c r="V80" i="5"/>
  <c r="V16" i="5"/>
  <c r="V85" i="5"/>
  <c r="V36" i="5"/>
  <c r="V64" i="5"/>
  <c r="V50" i="5"/>
  <c r="V82" i="5"/>
  <c r="V67" i="5"/>
  <c r="V19" i="5"/>
  <c r="V13" i="5"/>
  <c r="V48" i="5"/>
  <c r="V11" i="5"/>
  <c r="V51" i="5"/>
  <c r="V83" i="5"/>
  <c r="V88" i="5"/>
  <c r="V41" i="5"/>
  <c r="V86" i="5"/>
  <c r="V33" i="5"/>
  <c r="V37" i="5"/>
  <c r="V27" i="5"/>
  <c r="V29" i="5"/>
  <c r="V21" i="5"/>
  <c r="V61" i="5"/>
  <c r="V71" i="5"/>
  <c r="V15" i="5"/>
  <c r="V40" i="5"/>
  <c r="V34" i="5"/>
  <c r="V69" i="5"/>
  <c r="V43" i="5"/>
  <c r="V58" i="5"/>
  <c r="V31" i="5"/>
  <c r="V20" i="5"/>
  <c r="V54" i="5"/>
  <c r="V46" i="5"/>
  <c r="V12" i="5"/>
  <c r="V30" i="5"/>
  <c r="V38" i="5"/>
  <c r="V53" i="5" l="1"/>
  <c r="V65" i="5"/>
  <c r="V75" i="5"/>
  <c r="V52" i="5"/>
  <c r="V60" i="5"/>
  <c r="V47" i="5"/>
  <c r="V25" i="5"/>
  <c r="V66" i="5"/>
  <c r="V45" i="5"/>
  <c r="V24" i="5"/>
  <c r="V59" i="5"/>
  <c r="V63" i="5"/>
  <c r="V62" i="5"/>
  <c r="V73" i="5"/>
  <c r="V49" i="5"/>
  <c r="V81" i="5"/>
  <c r="V87" i="5"/>
  <c r="V72" i="5"/>
  <c r="V42" i="5"/>
  <c r="V70" i="5"/>
  <c r="V26" i="5"/>
  <c r="V44" i="5"/>
  <c r="V23" i="5"/>
  <c r="V89" i="5"/>
  <c r="V57" i="5"/>
  <c r="V35" i="5"/>
  <c r="V68" i="5"/>
  <c r="V22" i="5"/>
  <c r="V1" i="5"/>
  <c r="W39" i="5" s="1"/>
  <c r="N39" i="5" s="1"/>
  <c r="C39" i="6" s="1"/>
  <c r="C33" i="7" s="1"/>
  <c r="X13" i="6"/>
  <c r="X135" i="6" s="1"/>
  <c r="AH11" i="6"/>
  <c r="AE11" i="6"/>
  <c r="AE133" i="6" s="1"/>
  <c r="CK12" i="6"/>
  <c r="CK134" i="6" s="1"/>
  <c r="CJ13" i="6"/>
  <c r="CJ135" i="6" s="1"/>
  <c r="CP12" i="6"/>
  <c r="CP134" i="6" s="1"/>
  <c r="CZ13" i="6"/>
  <c r="CZ135" i="6" s="1"/>
  <c r="AX12" i="6"/>
  <c r="AX134" i="6" s="1"/>
  <c r="Y12" i="6"/>
  <c r="Y134" i="6" s="1"/>
  <c r="CJ11" i="6"/>
  <c r="CJ133" i="6" s="1"/>
  <c r="AT12" i="6"/>
  <c r="BF12" i="6"/>
  <c r="G12" i="6"/>
  <c r="G134" i="6" s="1"/>
  <c r="I11" i="6"/>
  <c r="I133" i="6" s="1"/>
  <c r="BG12" i="6"/>
  <c r="J12" i="6"/>
  <c r="J134" i="6" s="1"/>
  <c r="J13" i="6"/>
  <c r="J135" i="6" s="1"/>
  <c r="J11" i="6"/>
  <c r="J133" i="6" s="1"/>
  <c r="Z12" i="6"/>
  <c r="AG13" i="6"/>
  <c r="AG135" i="6" s="1"/>
  <c r="AG11" i="6"/>
  <c r="S12" i="6"/>
  <c r="BK12" i="6"/>
  <c r="BK134" i="6" s="1"/>
  <c r="H11" i="6"/>
  <c r="CU11" i="6"/>
  <c r="CU133" i="6" s="1"/>
  <c r="AA12" i="6"/>
  <c r="U11" i="6"/>
  <c r="U133" i="6" s="1"/>
  <c r="P12" i="6"/>
  <c r="P134" i="6" s="1"/>
  <c r="P11" i="6"/>
  <c r="CP11" i="6"/>
  <c r="CP133" i="6" s="1"/>
  <c r="AW13" i="6"/>
  <c r="AW135" i="6" s="1"/>
  <c r="R12" i="6"/>
  <c r="R134" i="6" s="1"/>
  <c r="AP12" i="6"/>
  <c r="AP134" i="6" s="1"/>
  <c r="BA11" i="6"/>
  <c r="BA133" i="6" s="1"/>
  <c r="BS12" i="6"/>
  <c r="BS134" i="6" s="1"/>
  <c r="L12" i="6"/>
  <c r="L134" i="6" s="1"/>
  <c r="BW12" i="6"/>
  <c r="BW11" i="6"/>
  <c r="BW133" i="6" s="1"/>
  <c r="BJ11" i="6"/>
  <c r="BJ133" i="6" s="1"/>
  <c r="AF12" i="6"/>
  <c r="AF134" i="6" s="1"/>
  <c r="X11" i="6"/>
  <c r="AZ12" i="6"/>
  <c r="AZ134" i="6" s="1"/>
  <c r="AQ11" i="6"/>
  <c r="AQ133" i="6" s="1"/>
  <c r="BM11" i="6"/>
  <c r="CV12" i="6"/>
  <c r="CV134" i="6" s="1"/>
  <c r="CV11" i="6"/>
  <c r="O12" i="6"/>
  <c r="O134" i="6" s="1"/>
  <c r="BH12" i="6"/>
  <c r="CE11" i="6"/>
  <c r="AI11" i="6"/>
  <c r="BG11" i="6"/>
  <c r="BG133" i="6" s="1"/>
  <c r="CM11" i="6"/>
  <c r="Y11" i="6"/>
  <c r="Y133" i="6" s="1"/>
  <c r="CZ11" i="6"/>
  <c r="CZ133" i="6" s="1"/>
  <c r="CC12" i="6"/>
  <c r="CC134" i="6" s="1"/>
  <c r="M12" i="6"/>
  <c r="BD13" i="6"/>
  <c r="BD135" i="6" s="1"/>
  <c r="CS13" i="6"/>
  <c r="CS135" i="6" s="1"/>
  <c r="CI13" i="6"/>
  <c r="CI135" i="6" s="1"/>
  <c r="BZ11" i="6"/>
  <c r="BZ133" i="6" s="1"/>
  <c r="CN11" i="6"/>
  <c r="CN133" i="6" s="1"/>
  <c r="BH11" i="6"/>
  <c r="BH133" i="6" s="1"/>
  <c r="BV12" i="6"/>
  <c r="R11" i="6"/>
  <c r="R133" i="6" s="1"/>
  <c r="BJ12" i="6"/>
  <c r="K11" i="6"/>
  <c r="K133" i="6" s="1"/>
  <c r="BR12" i="6"/>
  <c r="BR134" i="6" s="1"/>
  <c r="CZ12" i="6"/>
  <c r="BD12" i="6"/>
  <c r="CS12" i="6"/>
  <c r="CS134" i="6" s="1"/>
  <c r="AR12" i="6"/>
  <c r="AR134" i="6" s="1"/>
  <c r="BT12" i="6"/>
  <c r="BT134" i="6" s="1"/>
  <c r="CT12" i="6"/>
  <c r="CT134" i="6" s="1"/>
  <c r="M11" i="6"/>
  <c r="M133" i="6" s="1"/>
  <c r="AT11" i="6"/>
  <c r="AT133" i="6" s="1"/>
  <c r="AW11" i="6"/>
  <c r="AW133" i="6" s="1"/>
  <c r="CF12" i="6"/>
  <c r="CF134" i="6" s="1"/>
  <c r="BB12" i="6"/>
  <c r="BB134" i="6" s="1"/>
  <c r="BO12" i="6"/>
  <c r="BO134" i="6" s="1"/>
  <c r="CJ12" i="6"/>
  <c r="CJ134" i="6" s="1"/>
  <c r="AL12" i="6"/>
  <c r="AL134" i="6" s="1"/>
  <c r="AL11" i="6"/>
  <c r="AL133" i="6" s="1"/>
  <c r="AD11" i="6"/>
  <c r="V12" i="6"/>
  <c r="BZ12" i="6"/>
  <c r="BZ134" i="6" s="1"/>
  <c r="BC12" i="6"/>
  <c r="CI11" i="6"/>
  <c r="CF11" i="6"/>
  <c r="CF133" i="6" s="1"/>
  <c r="AC11" i="6"/>
  <c r="AC133" i="6" s="1"/>
  <c r="BK11" i="6"/>
  <c r="BK133" i="6" s="1"/>
  <c r="BV11" i="6"/>
  <c r="BV133" i="6" s="1"/>
  <c r="Q12" i="6"/>
  <c r="Q134" i="6" s="1"/>
  <c r="Q11" i="6"/>
  <c r="Q133" i="6" s="1"/>
  <c r="BU11" i="6"/>
  <c r="DA12" i="6"/>
  <c r="DA134" i="6" s="1"/>
  <c r="DA11" i="6"/>
  <c r="DA133" i="6" s="1"/>
  <c r="CT13" i="6"/>
  <c r="CT135" i="6" s="1"/>
  <c r="AL13" i="6"/>
  <c r="AL135" i="6" s="1"/>
  <c r="AN12" i="6"/>
  <c r="AN134" i="6" s="1"/>
  <c r="CW11" i="6"/>
  <c r="BY11" i="6"/>
  <c r="BM12" i="6"/>
  <c r="BM134" i="6" s="1"/>
  <c r="AJ12" i="6"/>
  <c r="AJ134" i="6" s="1"/>
  <c r="BY12" i="6"/>
  <c r="AJ11" i="6"/>
  <c r="AI12" i="6"/>
  <c r="N12" i="6"/>
  <c r="N134" i="6" s="1"/>
  <c r="CX11" i="6"/>
  <c r="CX12" i="6"/>
  <c r="CX134" i="6" s="1"/>
  <c r="BL12" i="6"/>
  <c r="BL134" i="6" s="1"/>
  <c r="CI12" i="6"/>
  <c r="AB12" i="6"/>
  <c r="AB134" i="6" s="1"/>
  <c r="AU11" i="6"/>
  <c r="AU133" i="6" s="1"/>
  <c r="AY12" i="6"/>
  <c r="AY134" i="6" s="1"/>
  <c r="CS11" i="6"/>
  <c r="CS133" i="6" s="1"/>
  <c r="CB12" i="6"/>
  <c r="BE13" i="6"/>
  <c r="BE135" i="6" s="1"/>
  <c r="BE12" i="6"/>
  <c r="BE134" i="6" s="1"/>
  <c r="BE11" i="6"/>
  <c r="BE133" i="6" s="1"/>
  <c r="AI13" i="6"/>
  <c r="AI135" i="6" s="1"/>
  <c r="CK13" i="6"/>
  <c r="CK135" i="6" s="1"/>
  <c r="CE13" i="6"/>
  <c r="CE135" i="6" s="1"/>
  <c r="BK13" i="6"/>
  <c r="BK135" i="6" s="1"/>
  <c r="BT13" i="6"/>
  <c r="BT135" i="6" s="1"/>
  <c r="AK13" i="6"/>
  <c r="AK135" i="6" s="1"/>
  <c r="X12" i="6"/>
  <c r="X134" i="6" s="1"/>
  <c r="U12" i="6"/>
  <c r="AQ12" i="6"/>
  <c r="AQ134" i="6" s="1"/>
  <c r="BF11" i="6"/>
  <c r="BF133" i="6" s="1"/>
  <c r="AG12" i="6"/>
  <c r="AG134" i="6" s="1"/>
  <c r="CL11" i="6"/>
  <c r="CL133" i="6" s="1"/>
  <c r="BR11" i="6"/>
  <c r="BR133" i="6" s="1"/>
  <c r="BX11" i="6"/>
  <c r="CG12" i="6"/>
  <c r="CG134" i="6" s="1"/>
  <c r="CH12" i="6"/>
  <c r="CH134" i="6" s="1"/>
  <c r="AY11" i="6"/>
  <c r="BI12" i="6"/>
  <c r="CD11" i="6"/>
  <c r="F11" i="6"/>
  <c r="AX136" i="6" s="1"/>
  <c r="F13" i="6"/>
  <c r="AX138" i="6" s="1"/>
  <c r="F12" i="6"/>
  <c r="BZ137" i="6" s="1"/>
  <c r="AM13" i="6"/>
  <c r="AM135" i="6" s="1"/>
  <c r="BQ13" i="6"/>
  <c r="BQ135" i="6" s="1"/>
  <c r="G13" i="6"/>
  <c r="G135" i="6" s="1"/>
  <c r="CH13" i="6"/>
  <c r="CH135" i="6" s="1"/>
  <c r="BN13" i="6"/>
  <c r="BN135" i="6" s="1"/>
  <c r="AU13" i="6"/>
  <c r="AU135" i="6" s="1"/>
  <c r="BS13" i="6"/>
  <c r="BS135" i="6" s="1"/>
  <c r="CW13" i="6"/>
  <c r="CW135" i="6" s="1"/>
  <c r="BD11" i="6"/>
  <c r="BD133" i="6" s="1"/>
  <c r="O11" i="6"/>
  <c r="O133" i="6" s="1"/>
  <c r="CW12" i="6"/>
  <c r="CN12" i="6"/>
  <c r="CT11" i="6"/>
  <c r="BU12" i="6"/>
  <c r="BU134" i="6" s="1"/>
  <c r="CU12" i="6"/>
  <c r="CU134" i="6" s="1"/>
  <c r="AO12" i="6"/>
  <c r="AO134" i="6" s="1"/>
  <c r="AO11" i="6"/>
  <c r="CQ12" i="6"/>
  <c r="BC11" i="6"/>
  <c r="AV12" i="6"/>
  <c r="U13" i="6"/>
  <c r="U135" i="6" s="1"/>
  <c r="BU13" i="6"/>
  <c r="BU135" i="6" s="1"/>
  <c r="AY13" i="6"/>
  <c r="AY135" i="6" s="1"/>
  <c r="R13" i="6"/>
  <c r="R135" i="6" s="1"/>
  <c r="CM13" i="6"/>
  <c r="CM135" i="6" s="1"/>
  <c r="AS13" i="6"/>
  <c r="AS135" i="6" s="1"/>
  <c r="BI13" i="6"/>
  <c r="BI135" i="6" s="1"/>
  <c r="L13" i="6"/>
  <c r="L135" i="6" s="1"/>
  <c r="BL13" i="6"/>
  <c r="BL135" i="6" s="1"/>
  <c r="P13" i="6"/>
  <c r="P135" i="6" s="1"/>
  <c r="AR13" i="6"/>
  <c r="AR135" i="6" s="1"/>
  <c r="BZ13" i="6"/>
  <c r="BZ135" i="6" s="1"/>
  <c r="Q13" i="6"/>
  <c r="Q135" i="6" s="1"/>
  <c r="V13" i="6"/>
  <c r="V135" i="6" s="1"/>
  <c r="CB13" i="6"/>
  <c r="CB135" i="6" s="1"/>
  <c r="CA13" i="6"/>
  <c r="CA135" i="6" s="1"/>
  <c r="AM12" i="6"/>
  <c r="AE12" i="6"/>
  <c r="AE134" i="6" s="1"/>
  <c r="CY12" i="6"/>
  <c r="CY134" i="6" s="1"/>
  <c r="V11" i="6"/>
  <c r="BQ11" i="6"/>
  <c r="AR11" i="6"/>
  <c r="AR133" i="6" s="1"/>
  <c r="AP11" i="6"/>
  <c r="AP133" i="6" s="1"/>
  <c r="CQ11" i="6"/>
  <c r="W11" i="6"/>
  <c r="BX12" i="6"/>
  <c r="BX134" i="6" s="1"/>
  <c r="BY13" i="6"/>
  <c r="BY135" i="6" s="1"/>
  <c r="AA13" i="6"/>
  <c r="AA135" i="6" s="1"/>
  <c r="AB13" i="6"/>
  <c r="AB135" i="6" s="1"/>
  <c r="AV13" i="6"/>
  <c r="AV135" i="6" s="1"/>
  <c r="S11" i="6"/>
  <c r="S133" i="6" s="1"/>
  <c r="BN11" i="6"/>
  <c r="BN133" i="6" s="1"/>
  <c r="AK11" i="6"/>
  <c r="CC11" i="6"/>
  <c r="CC133" i="6" s="1"/>
  <c r="CH11" i="6"/>
  <c r="CH133" i="6" s="1"/>
  <c r="AM11" i="6"/>
  <c r="AM133" i="6" s="1"/>
  <c r="CD12" i="6"/>
  <c r="BI11" i="6"/>
  <c r="BI133" i="6" s="1"/>
  <c r="CC13" i="6"/>
  <c r="CC135" i="6" s="1"/>
  <c r="O13" i="6"/>
  <c r="O135" i="6" s="1"/>
  <c r="DA13" i="6"/>
  <c r="CL13" i="6"/>
  <c r="CL135" i="6" s="1"/>
  <c r="BH13" i="6"/>
  <c r="BH135" i="6" s="1"/>
  <c r="Y13" i="6"/>
  <c r="Y135" i="6" s="1"/>
  <c r="BA13" i="6"/>
  <c r="BA135" i="6" s="1"/>
  <c r="BR13" i="6"/>
  <c r="BR135" i="6" s="1"/>
  <c r="AH13" i="6"/>
  <c r="AH135" i="6" s="1"/>
  <c r="AD13" i="6"/>
  <c r="AD135" i="6" s="1"/>
  <c r="AQ13" i="6"/>
  <c r="AQ135" i="6" s="1"/>
  <c r="AF13" i="6"/>
  <c r="AP13" i="6"/>
  <c r="CY13" i="6"/>
  <c r="CR12" i="6"/>
  <c r="AD12" i="6"/>
  <c r="AD134" i="6" s="1"/>
  <c r="AV11" i="6"/>
  <c r="AV133" i="6" s="1"/>
  <c r="G11" i="6"/>
  <c r="BN12" i="6"/>
  <c r="BO11" i="6"/>
  <c r="BO133" i="6" s="1"/>
  <c r="N13" i="6"/>
  <c r="N135" i="6" s="1"/>
  <c r="BC13" i="6"/>
  <c r="BC135" i="6" s="1"/>
  <c r="Z13" i="6"/>
  <c r="Z135" i="6" s="1"/>
  <c r="CD13" i="6"/>
  <c r="CD135" i="6" s="1"/>
  <c r="M13" i="6"/>
  <c r="M135" i="6" s="1"/>
  <c r="CO13" i="6"/>
  <c r="CO135" i="6" s="1"/>
  <c r="CO11" i="6"/>
  <c r="CL12" i="6"/>
  <c r="BQ12" i="6"/>
  <c r="BQ134" i="6" s="1"/>
  <c r="T12" i="6"/>
  <c r="T134" i="6" s="1"/>
  <c r="BP11" i="6"/>
  <c r="BP133" i="6" s="1"/>
  <c r="AC12" i="6"/>
  <c r="AN13" i="6"/>
  <c r="AN135" i="6" s="1"/>
  <c r="BG13" i="6"/>
  <c r="BG135" i="6" s="1"/>
  <c r="CU13" i="6"/>
  <c r="CU135" i="6" s="1"/>
  <c r="BB13" i="6"/>
  <c r="BB135" i="6" s="1"/>
  <c r="AJ13" i="6"/>
  <c r="AJ135" i="6" s="1"/>
  <c r="K13" i="6"/>
  <c r="K135" i="6" s="1"/>
  <c r="CB11" i="6"/>
  <c r="CB133" i="6" s="1"/>
  <c r="AH12" i="6"/>
  <c r="AH134" i="6" s="1"/>
  <c r="BJ13" i="6"/>
  <c r="BJ135" i="6" s="1"/>
  <c r="I12" i="6"/>
  <c r="CO12" i="6"/>
  <c r="CO134" i="6" s="1"/>
  <c r="AT13" i="6"/>
  <c r="AT135" i="6" s="1"/>
  <c r="BX13" i="6"/>
  <c r="BX135" i="6" s="1"/>
  <c r="BP12" i="6"/>
  <c r="BP134" i="6" s="1"/>
  <c r="CM12" i="6"/>
  <c r="CM134" i="6" s="1"/>
  <c r="AB11" i="6"/>
  <c r="AX11" i="6"/>
  <c r="AX133" i="6" s="1"/>
  <c r="BM13" i="6"/>
  <c r="BM135" i="6" s="1"/>
  <c r="CY11" i="6"/>
  <c r="CY133" i="6" s="1"/>
  <c r="L11" i="6"/>
  <c r="BW13" i="6"/>
  <c r="BW135" i="6" s="1"/>
  <c r="S13" i="6"/>
  <c r="S135" i="6" s="1"/>
  <c r="AE13" i="6"/>
  <c r="AX13" i="6"/>
  <c r="AX135" i="6" s="1"/>
  <c r="CG13" i="6"/>
  <c r="CG135" i="6" s="1"/>
  <c r="T13" i="6"/>
  <c r="T135" i="6" s="1"/>
  <c r="AW12" i="6"/>
  <c r="AW134" i="6" s="1"/>
  <c r="AC13" i="6"/>
  <c r="AC135" i="6" s="1"/>
  <c r="AS12" i="6"/>
  <c r="AS134" i="6" s="1"/>
  <c r="W12" i="6"/>
  <c r="W134" i="6" s="1"/>
  <c r="BP13" i="6"/>
  <c r="BP135" i="6" s="1"/>
  <c r="CX13" i="6"/>
  <c r="CX135" i="6" s="1"/>
  <c r="CN13" i="6"/>
  <c r="CN135" i="6" s="1"/>
  <c r="CF13" i="6"/>
  <c r="H12" i="6"/>
  <c r="H134" i="6" s="1"/>
  <c r="CA12" i="6"/>
  <c r="CA134" i="6" s="1"/>
  <c r="AN11" i="6"/>
  <c r="T11" i="6"/>
  <c r="T133" i="6" s="1"/>
  <c r="I13" i="6"/>
  <c r="I135" i="6" s="1"/>
  <c r="CP13" i="6"/>
  <c r="N11" i="6"/>
  <c r="CR13" i="6"/>
  <c r="CR135" i="6" s="1"/>
  <c r="AO13" i="6"/>
  <c r="AO135" i="6" s="1"/>
  <c r="BO13" i="6"/>
  <c r="BO135" i="6" s="1"/>
  <c r="CV13" i="6"/>
  <c r="CV135" i="6" s="1"/>
  <c r="BB11" i="6"/>
  <c r="AU12" i="6"/>
  <c r="AA11" i="6"/>
  <c r="BV13" i="6"/>
  <c r="CG11" i="6"/>
  <c r="AZ11" i="6"/>
  <c r="CK11" i="6"/>
  <c r="CK133" i="6" s="1"/>
  <c r="BT11" i="6"/>
  <c r="BT133" i="6" s="1"/>
  <c r="CR11" i="6"/>
  <c r="CR133" i="6" s="1"/>
  <c r="AK12" i="6"/>
  <c r="AK134" i="6" s="1"/>
  <c r="AZ13" i="6"/>
  <c r="AZ135" i="6" s="1"/>
  <c r="W13" i="6"/>
  <c r="W135" i="6" s="1"/>
  <c r="AF11" i="6"/>
  <c r="AF133" i="6" s="1"/>
  <c r="BS11" i="6"/>
  <c r="BS133" i="6" s="1"/>
  <c r="CQ13" i="6"/>
  <c r="CQ135" i="6" s="1"/>
  <c r="AS11" i="6"/>
  <c r="AS133" i="6" s="1"/>
  <c r="Z11" i="6"/>
  <c r="Z133" i="6" s="1"/>
  <c r="CA11" i="6"/>
  <c r="CE12" i="6"/>
  <c r="CE134" i="6" s="1"/>
  <c r="BF13" i="6"/>
  <c r="BF135" i="6" s="1"/>
  <c r="H13" i="6"/>
  <c r="H135" i="6" s="1"/>
  <c r="K12" i="6"/>
  <c r="K134" i="6" s="1"/>
  <c r="BA12" i="6"/>
  <c r="BL11" i="6"/>
  <c r="W31" i="5" l="1"/>
  <c r="N31" i="5" s="1"/>
  <c r="C31" i="6" s="1"/>
  <c r="C25" i="7" s="1"/>
  <c r="W14" i="5"/>
  <c r="N14" i="5" s="1"/>
  <c r="C14" i="6" s="1"/>
  <c r="C8" i="7" s="1"/>
  <c r="W62" i="5"/>
  <c r="N62" i="5" s="1"/>
  <c r="C62" i="6" s="1"/>
  <c r="C56" i="7" s="1"/>
  <c r="W83" i="5"/>
  <c r="N83" i="5" s="1"/>
  <c r="C83" i="6" s="1"/>
  <c r="C77" i="7" s="1"/>
  <c r="W37" i="5"/>
  <c r="N37" i="5" s="1"/>
  <c r="C37" i="6" s="1"/>
  <c r="C31" i="7" s="1"/>
  <c r="W57" i="5"/>
  <c r="N57" i="5" s="1"/>
  <c r="C57" i="6" s="1"/>
  <c r="C51" i="7" s="1"/>
  <c r="W76" i="5"/>
  <c r="N76" i="5" s="1"/>
  <c r="C76" i="6" s="1"/>
  <c r="C70" i="7" s="1"/>
  <c r="W88" i="5"/>
  <c r="N88" i="5" s="1"/>
  <c r="C88" i="6" s="1"/>
  <c r="C82" i="7" s="1"/>
  <c r="W38" i="5"/>
  <c r="N38" i="5" s="1"/>
  <c r="C38" i="6" s="1"/>
  <c r="C32" i="7" s="1"/>
  <c r="W13" i="5"/>
  <c r="N13" i="5" s="1"/>
  <c r="C13" i="6" s="1"/>
  <c r="C7" i="7" s="1"/>
  <c r="W51" i="5"/>
  <c r="N51" i="5" s="1"/>
  <c r="C51" i="6" s="1"/>
  <c r="C45" i="7" s="1"/>
  <c r="W86" i="5"/>
  <c r="N86" i="5" s="1"/>
  <c r="C86" i="6" s="1"/>
  <c r="C80" i="7" s="1"/>
  <c r="W77" i="5"/>
  <c r="N77" i="5" s="1"/>
  <c r="C77" i="6" s="1"/>
  <c r="C71" i="7" s="1"/>
  <c r="W61" i="5"/>
  <c r="N61" i="5" s="1"/>
  <c r="C61" i="6" s="1"/>
  <c r="C55" i="7" s="1"/>
  <c r="W46" i="5"/>
  <c r="N46" i="5" s="1"/>
  <c r="C46" i="6" s="1"/>
  <c r="C40" i="7" s="1"/>
  <c r="W53" i="5"/>
  <c r="N53" i="5" s="1"/>
  <c r="C53" i="6" s="1"/>
  <c r="C47" i="7" s="1"/>
  <c r="W7" i="5"/>
  <c r="N7" i="5" s="1"/>
  <c r="C7" i="6" s="1"/>
  <c r="W33" i="5"/>
  <c r="N33" i="5" s="1"/>
  <c r="C33" i="6" s="1"/>
  <c r="C27" i="7" s="1"/>
  <c r="W43" i="5"/>
  <c r="N43" i="5" s="1"/>
  <c r="C43" i="6" s="1"/>
  <c r="C37" i="7" s="1"/>
  <c r="W23" i="5"/>
  <c r="N23" i="5" s="1"/>
  <c r="C23" i="6" s="1"/>
  <c r="C17" i="7" s="1"/>
  <c r="W11" i="5"/>
  <c r="N11" i="5" s="1"/>
  <c r="C11" i="6" s="1"/>
  <c r="C5" i="7" s="1"/>
  <c r="W96" i="5"/>
  <c r="N96" i="5" s="1"/>
  <c r="C96" i="6" s="1"/>
  <c r="W94" i="5"/>
  <c r="N94" i="5" s="1"/>
  <c r="C94" i="6" s="1"/>
  <c r="W41" i="5"/>
  <c r="N41" i="5" s="1"/>
  <c r="C41" i="6" s="1"/>
  <c r="C35" i="7" s="1"/>
  <c r="W16" i="5"/>
  <c r="N16" i="5" s="1"/>
  <c r="C16" i="6" s="1"/>
  <c r="C10" i="7" s="1"/>
  <c r="W92" i="5"/>
  <c r="N92" i="5" s="1"/>
  <c r="C92" i="6" s="1"/>
  <c r="W99" i="5"/>
  <c r="N99" i="5" s="1"/>
  <c r="C99" i="6" s="1"/>
  <c r="W9" i="5"/>
  <c r="N9" i="5" s="1"/>
  <c r="C9" i="6" s="1"/>
  <c r="C3" i="7" s="1"/>
  <c r="W12" i="5"/>
  <c r="N12" i="5" s="1"/>
  <c r="C12" i="6" s="1"/>
  <c r="C6" i="7" s="1"/>
  <c r="W32" i="5"/>
  <c r="N32" i="5" s="1"/>
  <c r="C32" i="6" s="1"/>
  <c r="C26" i="7" s="1"/>
  <c r="W30" i="5"/>
  <c r="N30" i="5" s="1"/>
  <c r="C30" i="6" s="1"/>
  <c r="C24" i="7" s="1"/>
  <c r="W26" i="5"/>
  <c r="N26" i="5" s="1"/>
  <c r="C26" i="6" s="1"/>
  <c r="C20" i="7" s="1"/>
  <c r="W89" i="5"/>
  <c r="N89" i="5" s="1"/>
  <c r="C89" i="6" s="1"/>
  <c r="C83" i="7" s="1"/>
  <c r="W74" i="5"/>
  <c r="N74" i="5" s="1"/>
  <c r="C74" i="6" s="1"/>
  <c r="C68" i="7" s="1"/>
  <c r="W75" i="5"/>
  <c r="N75" i="5" s="1"/>
  <c r="C75" i="6" s="1"/>
  <c r="C69" i="7" s="1"/>
  <c r="W17" i="5"/>
  <c r="N17" i="5" s="1"/>
  <c r="C17" i="6" s="1"/>
  <c r="C11" i="7" s="1"/>
  <c r="W98" i="5"/>
  <c r="N98" i="5" s="1"/>
  <c r="C98" i="6" s="1"/>
  <c r="W56" i="5"/>
  <c r="N56" i="5" s="1"/>
  <c r="C56" i="6" s="1"/>
  <c r="C50" i="7" s="1"/>
  <c r="W15" i="5"/>
  <c r="N15" i="5" s="1"/>
  <c r="C15" i="6" s="1"/>
  <c r="C9" i="7" s="1"/>
  <c r="W78" i="5"/>
  <c r="N78" i="5" s="1"/>
  <c r="C78" i="6" s="1"/>
  <c r="C72" i="7" s="1"/>
  <c r="W66" i="5"/>
  <c r="N66" i="5" s="1"/>
  <c r="C66" i="6" s="1"/>
  <c r="C60" i="7" s="1"/>
  <c r="W91" i="5"/>
  <c r="N91" i="5" s="1"/>
  <c r="C91" i="6" s="1"/>
  <c r="W72" i="5"/>
  <c r="N72" i="5" s="1"/>
  <c r="C72" i="6" s="1"/>
  <c r="C66" i="7" s="1"/>
  <c r="W36" i="5"/>
  <c r="N36" i="5" s="1"/>
  <c r="C36" i="6" s="1"/>
  <c r="C30" i="7" s="1"/>
  <c r="W49" i="5"/>
  <c r="N49" i="5" s="1"/>
  <c r="C49" i="6" s="1"/>
  <c r="C43" i="7" s="1"/>
  <c r="W35" i="5"/>
  <c r="N35" i="5" s="1"/>
  <c r="C35" i="6" s="1"/>
  <c r="C29" i="7" s="1"/>
  <c r="W58" i="5"/>
  <c r="N58" i="5" s="1"/>
  <c r="C58" i="6" s="1"/>
  <c r="C52" i="7" s="1"/>
  <c r="W27" i="5"/>
  <c r="N27" i="5" s="1"/>
  <c r="C27" i="6" s="1"/>
  <c r="C21" i="7" s="1"/>
  <c r="W20" i="5"/>
  <c r="N20" i="5" s="1"/>
  <c r="C20" i="6" s="1"/>
  <c r="C14" i="7" s="1"/>
  <c r="W81" i="5"/>
  <c r="N81" i="5" s="1"/>
  <c r="C81" i="6" s="1"/>
  <c r="C75" i="7" s="1"/>
  <c r="W54" i="5"/>
  <c r="N54" i="5" s="1"/>
  <c r="C54" i="6" s="1"/>
  <c r="C48" i="7" s="1"/>
  <c r="W8" i="5"/>
  <c r="N8" i="5" s="1"/>
  <c r="C8" i="6" s="1"/>
  <c r="W19" i="5"/>
  <c r="N19" i="5" s="1"/>
  <c r="C19" i="6" s="1"/>
  <c r="C13" i="7" s="1"/>
  <c r="W47" i="5"/>
  <c r="N47" i="5" s="1"/>
  <c r="C47" i="6" s="1"/>
  <c r="C41" i="7" s="1"/>
  <c r="W68" i="5"/>
  <c r="N68" i="5" s="1"/>
  <c r="C68" i="6" s="1"/>
  <c r="C62" i="7" s="1"/>
  <c r="W71" i="5"/>
  <c r="N71" i="5" s="1"/>
  <c r="C71" i="6" s="1"/>
  <c r="C65" i="7" s="1"/>
  <c r="W55" i="5"/>
  <c r="N55" i="5" s="1"/>
  <c r="C55" i="6" s="1"/>
  <c r="C49" i="7" s="1"/>
  <c r="W73" i="5"/>
  <c r="N73" i="5" s="1"/>
  <c r="C73" i="6" s="1"/>
  <c r="C67" i="7" s="1"/>
  <c r="W45" i="5"/>
  <c r="N45" i="5" s="1"/>
  <c r="C45" i="6" s="1"/>
  <c r="C39" i="7" s="1"/>
  <c r="W44" i="5"/>
  <c r="N44" i="5" s="1"/>
  <c r="C44" i="6" s="1"/>
  <c r="C38" i="7" s="1"/>
  <c r="W10" i="5"/>
  <c r="N10" i="5" s="1"/>
  <c r="C10" i="6" s="1"/>
  <c r="C4" i="7" s="1"/>
  <c r="W93" i="5"/>
  <c r="N93" i="5" s="1"/>
  <c r="C93" i="6" s="1"/>
  <c r="W40" i="5"/>
  <c r="N40" i="5" s="1"/>
  <c r="C40" i="6" s="1"/>
  <c r="C34" i="7" s="1"/>
  <c r="W85" i="5"/>
  <c r="N85" i="5" s="1"/>
  <c r="C85" i="6" s="1"/>
  <c r="C79" i="7" s="1"/>
  <c r="W64" i="5"/>
  <c r="N64" i="5" s="1"/>
  <c r="C64" i="6" s="1"/>
  <c r="C58" i="7" s="1"/>
  <c r="W82" i="5"/>
  <c r="N82" i="5" s="1"/>
  <c r="C82" i="6" s="1"/>
  <c r="C76" i="7" s="1"/>
  <c r="W97" i="5"/>
  <c r="N97" i="5" s="1"/>
  <c r="C97" i="6" s="1"/>
  <c r="W80" i="5"/>
  <c r="N80" i="5" s="1"/>
  <c r="C80" i="6" s="1"/>
  <c r="C74" i="7" s="1"/>
  <c r="W67" i="5"/>
  <c r="N67" i="5" s="1"/>
  <c r="C67" i="6" s="1"/>
  <c r="C61" i="7" s="1"/>
  <c r="W34" i="5"/>
  <c r="N34" i="5" s="1"/>
  <c r="C34" i="6" s="1"/>
  <c r="C28" i="7" s="1"/>
  <c r="W59" i="5"/>
  <c r="N59" i="5" s="1"/>
  <c r="C59" i="6" s="1"/>
  <c r="C53" i="7" s="1"/>
  <c r="W65" i="5"/>
  <c r="N65" i="5" s="1"/>
  <c r="C65" i="6" s="1"/>
  <c r="C59" i="7" s="1"/>
  <c r="W29" i="5"/>
  <c r="N29" i="5" s="1"/>
  <c r="C29" i="6" s="1"/>
  <c r="C23" i="7" s="1"/>
  <c r="W63" i="5"/>
  <c r="N63" i="5" s="1"/>
  <c r="C63" i="6" s="1"/>
  <c r="C57" i="7" s="1"/>
  <c r="W52" i="5"/>
  <c r="N52" i="5" s="1"/>
  <c r="C52" i="6" s="1"/>
  <c r="C46" i="7" s="1"/>
  <c r="W50" i="5"/>
  <c r="N50" i="5" s="1"/>
  <c r="C50" i="6" s="1"/>
  <c r="C44" i="7" s="1"/>
  <c r="W70" i="5"/>
  <c r="N70" i="5" s="1"/>
  <c r="C70" i="6" s="1"/>
  <c r="C64" i="7" s="1"/>
  <c r="W25" i="5"/>
  <c r="N25" i="5" s="1"/>
  <c r="C25" i="6" s="1"/>
  <c r="C19" i="7" s="1"/>
  <c r="W28" i="5"/>
  <c r="N28" i="5" s="1"/>
  <c r="C28" i="6" s="1"/>
  <c r="C22" i="7" s="1"/>
  <c r="W5" i="5"/>
  <c r="N5" i="5" s="1"/>
  <c r="C5" i="6" s="1"/>
  <c r="W95" i="5"/>
  <c r="N95" i="5" s="1"/>
  <c r="C95" i="6" s="1"/>
  <c r="W42" i="5"/>
  <c r="N42" i="5" s="1"/>
  <c r="C42" i="6" s="1"/>
  <c r="C36" i="7" s="1"/>
  <c r="W6" i="5"/>
  <c r="N6" i="5" s="1"/>
  <c r="C6" i="6" s="1"/>
  <c r="W90" i="5"/>
  <c r="N90" i="5" s="1"/>
  <c r="C90" i="6" s="1"/>
  <c r="W69" i="5"/>
  <c r="N69" i="5" s="1"/>
  <c r="C69" i="6" s="1"/>
  <c r="C63" i="7" s="1"/>
  <c r="W24" i="5"/>
  <c r="N24" i="5" s="1"/>
  <c r="C24" i="6" s="1"/>
  <c r="C18" i="7" s="1"/>
  <c r="W21" i="5"/>
  <c r="N21" i="5" s="1"/>
  <c r="C21" i="6" s="1"/>
  <c r="C15" i="7" s="1"/>
  <c r="W79" i="5"/>
  <c r="N79" i="5" s="1"/>
  <c r="C79" i="6" s="1"/>
  <c r="C73" i="7" s="1"/>
  <c r="W48" i="5"/>
  <c r="N48" i="5" s="1"/>
  <c r="C48" i="6" s="1"/>
  <c r="C42" i="7" s="1"/>
  <c r="W22" i="5"/>
  <c r="N22" i="5" s="1"/>
  <c r="C22" i="6" s="1"/>
  <c r="C16" i="7" s="1"/>
  <c r="W60" i="5"/>
  <c r="N60" i="5" s="1"/>
  <c r="C60" i="6" s="1"/>
  <c r="C54" i="7" s="1"/>
  <c r="W18" i="5"/>
  <c r="N18" i="5" s="1"/>
  <c r="C18" i="6" s="1"/>
  <c r="C12" i="7" s="1"/>
  <c r="W84" i="5"/>
  <c r="N84" i="5" s="1"/>
  <c r="C84" i="6" s="1"/>
  <c r="C78" i="7" s="1"/>
  <c r="W87" i="5"/>
  <c r="N87" i="5" s="1"/>
  <c r="C87" i="6" s="1"/>
  <c r="C81" i="7" s="1"/>
  <c r="BN15" i="6"/>
  <c r="AE15" i="6"/>
  <c r="AT138" i="6"/>
  <c r="BE14" i="6"/>
  <c r="CY14" i="6"/>
  <c r="BS14" i="6"/>
  <c r="CJ146" i="6" a="1"/>
  <c r="CJ148" i="6" s="1"/>
  <c r="AM136" i="6"/>
  <c r="X15" i="6"/>
  <c r="CI136" i="6"/>
  <c r="W15" i="6"/>
  <c r="AR14" i="6"/>
  <c r="BT14" i="6"/>
  <c r="Q14" i="6"/>
  <c r="AC15" i="6"/>
  <c r="CC14" i="6"/>
  <c r="CP14" i="6"/>
  <c r="BN134" i="6"/>
  <c r="N15" i="6"/>
  <c r="CS14" i="6"/>
  <c r="CJ15" i="6"/>
  <c r="K15" i="6"/>
  <c r="AS146" i="6" a="1"/>
  <c r="AS147" i="6" s="1"/>
  <c r="CG14" i="6"/>
  <c r="AN14" i="6"/>
  <c r="V14" i="6"/>
  <c r="AI136" i="6"/>
  <c r="BH14" i="6"/>
  <c r="BR138" i="6"/>
  <c r="CP137" i="6"/>
  <c r="CP142" i="6" s="1"/>
  <c r="CF14" i="6"/>
  <c r="CU15" i="6"/>
  <c r="BV14" i="6"/>
  <c r="CC146" i="6" a="1"/>
  <c r="CC146" i="6" s="1"/>
  <c r="AF14" i="6"/>
  <c r="AK14" i="6"/>
  <c r="BK146" i="6" a="1"/>
  <c r="BK146" i="6" s="1"/>
  <c r="AL14" i="6"/>
  <c r="K136" i="6"/>
  <c r="AD138" i="6"/>
  <c r="AW146" i="6" a="1"/>
  <c r="AW148" i="6" s="1"/>
  <c r="CS15" i="6"/>
  <c r="CP136" i="6"/>
  <c r="AY14" i="6"/>
  <c r="BN136" i="6"/>
  <c r="AE135" i="6"/>
  <c r="AE146" i="6" s="1" a="1"/>
  <c r="BI14" i="6"/>
  <c r="CZ14" i="6"/>
  <c r="X136" i="6"/>
  <c r="J15" i="6"/>
  <c r="G138" i="6"/>
  <c r="R146" i="6" a="1"/>
  <c r="R147" i="6" s="1"/>
  <c r="AY15" i="6"/>
  <c r="CL14" i="6"/>
  <c r="AV136" i="6"/>
  <c r="CX136" i="6"/>
  <c r="N136" i="6"/>
  <c r="AH136" i="6"/>
  <c r="AN136" i="6"/>
  <c r="F136" i="6"/>
  <c r="DA15" i="6"/>
  <c r="M15" i="6"/>
  <c r="BE15" i="6"/>
  <c r="Y146" i="6" a="1"/>
  <c r="Y148" i="6" s="1"/>
  <c r="G137" i="6"/>
  <c r="G142" i="6" s="1"/>
  <c r="BV135" i="6"/>
  <c r="T146" i="6" a="1"/>
  <c r="T147" i="6" s="1"/>
  <c r="CF135" i="6"/>
  <c r="CF146" i="6" s="1" a="1"/>
  <c r="CF148" i="6" s="1"/>
  <c r="AH15" i="6"/>
  <c r="AF135" i="6"/>
  <c r="AF146" i="6" s="1" a="1"/>
  <c r="AR146" i="6" a="1"/>
  <c r="AR146" i="6" s="1"/>
  <c r="R14" i="6"/>
  <c r="CN15" i="6"/>
  <c r="CH15" i="6"/>
  <c r="AY133" i="6"/>
  <c r="AY146" i="6" s="1" a="1"/>
  <c r="AT136" i="6"/>
  <c r="AY136" i="6"/>
  <c r="CV136" i="6"/>
  <c r="R136" i="6"/>
  <c r="BE136" i="6"/>
  <c r="AQ136" i="6"/>
  <c r="CO138" i="6"/>
  <c r="AC14" i="6"/>
  <c r="AD14" i="6"/>
  <c r="BJ136" i="6"/>
  <c r="AG136" i="6"/>
  <c r="U136" i="6"/>
  <c r="AL136" i="6"/>
  <c r="BR136" i="6"/>
  <c r="BI136" i="6"/>
  <c r="BX137" i="6"/>
  <c r="BX142" i="6" s="1"/>
  <c r="BT146" i="6" a="1"/>
  <c r="BT146" i="6" s="1"/>
  <c r="AW15" i="6"/>
  <c r="M14" i="6"/>
  <c r="O14" i="6"/>
  <c r="CF15" i="6"/>
  <c r="BY136" i="6"/>
  <c r="CD136" i="6"/>
  <c r="CF136" i="6"/>
  <c r="CS136" i="6"/>
  <c r="W136" i="6"/>
  <c r="CE136" i="6"/>
  <c r="AT15" i="6"/>
  <c r="M134" i="6"/>
  <c r="M146" i="6" s="1" a="1"/>
  <c r="M146" i="6" s="1"/>
  <c r="BY138" i="6"/>
  <c r="AG15" i="6"/>
  <c r="BP136" i="6"/>
  <c r="BC136" i="6"/>
  <c r="BL136" i="6"/>
  <c r="M136" i="6"/>
  <c r="H136" i="6"/>
  <c r="BB136" i="6"/>
  <c r="O15" i="6"/>
  <c r="AF15" i="6"/>
  <c r="CR14" i="6"/>
  <c r="CK14" i="6"/>
  <c r="BZ15" i="6"/>
  <c r="BD14" i="6"/>
  <c r="BX15" i="6"/>
  <c r="CI14" i="6"/>
  <c r="BJ15" i="6"/>
  <c r="BW136" i="6"/>
  <c r="BZ136" i="6"/>
  <c r="AF136" i="6"/>
  <c r="BX136" i="6"/>
  <c r="BO136" i="6"/>
  <c r="AU136" i="6"/>
  <c r="BJ14" i="6"/>
  <c r="CV15" i="6"/>
  <c r="P15" i="6"/>
  <c r="BH137" i="6"/>
  <c r="BH142" i="6" s="1"/>
  <c r="J146" i="6" a="1"/>
  <c r="J148" i="6" s="1"/>
  <c r="AX146" i="6" a="1"/>
  <c r="AX148" i="6" s="1"/>
  <c r="CM15" i="6"/>
  <c r="BQ14" i="6"/>
  <c r="CU146" i="6" a="1"/>
  <c r="CU146" i="6" s="1"/>
  <c r="CL15" i="6"/>
  <c r="BN146" i="6" a="1"/>
  <c r="BN146" i="6" s="1"/>
  <c r="BF14" i="6"/>
  <c r="N14" i="6"/>
  <c r="AC134" i="6"/>
  <c r="AC146" i="6" s="1" a="1"/>
  <c r="G14" i="6"/>
  <c r="CY135" i="6"/>
  <c r="CY146" i="6" s="1" a="1"/>
  <c r="BU15" i="6"/>
  <c r="BR14" i="6"/>
  <c r="F14" i="6"/>
  <c r="CI133" i="6"/>
  <c r="AL15" i="6"/>
  <c r="AW14" i="6"/>
  <c r="CU136" i="6"/>
  <c r="L136" i="6"/>
  <c r="BV136" i="6"/>
  <c r="AE136" i="6"/>
  <c r="CC136" i="6"/>
  <c r="CQ136" i="6"/>
  <c r="AO136" i="6"/>
  <c r="CN14" i="6"/>
  <c r="CU138" i="6"/>
  <c r="U137" i="6"/>
  <c r="U142" i="6" s="1"/>
  <c r="BZ142" i="6"/>
  <c r="BA14" i="6"/>
  <c r="BA134" i="6"/>
  <c r="BA146" i="6" s="1" a="1"/>
  <c r="BA15" i="6"/>
  <c r="AB133" i="6"/>
  <c r="AB146" i="6" s="1" a="1"/>
  <c r="AB14" i="6"/>
  <c r="BP146" i="6" a="1"/>
  <c r="S14" i="6"/>
  <c r="CT14" i="6"/>
  <c r="CT15" i="6"/>
  <c r="CT133" i="6"/>
  <c r="CT146" i="6" s="1" a="1"/>
  <c r="CD133" i="6"/>
  <c r="CD14" i="6"/>
  <c r="CX14" i="6"/>
  <c r="CX133" i="6"/>
  <c r="CX146" i="6" s="1" a="1"/>
  <c r="CW14" i="6"/>
  <c r="CW133" i="6"/>
  <c r="AD133" i="6"/>
  <c r="AD146" i="6" s="1" a="1"/>
  <c r="AD15" i="6"/>
  <c r="CE15" i="6"/>
  <c r="CG133" i="6"/>
  <c r="CG146" i="6" s="1" a="1"/>
  <c r="BB14" i="6"/>
  <c r="AN133" i="6"/>
  <c r="AN146" i="6" s="1" a="1"/>
  <c r="L133" i="6"/>
  <c r="L146" i="6" s="1" a="1"/>
  <c r="L15" i="6"/>
  <c r="L14" i="6"/>
  <c r="BP14" i="6"/>
  <c r="CD15" i="6"/>
  <c r="BR146" i="6" a="1"/>
  <c r="BU133" i="6"/>
  <c r="BU146" i="6" s="1" a="1"/>
  <c r="BU14" i="6"/>
  <c r="BS146" i="6" a="1"/>
  <c r="BS15" i="6"/>
  <c r="AX15" i="6"/>
  <c r="M137" i="6"/>
  <c r="AU134" i="6"/>
  <c r="AU146" i="6" s="1" a="1"/>
  <c r="AU15" i="6"/>
  <c r="CO133" i="6"/>
  <c r="CO146" i="6" s="1" a="1"/>
  <c r="CO14" i="6"/>
  <c r="BX133" i="6"/>
  <c r="BX146" i="6" s="1" a="1"/>
  <c r="BX14" i="6"/>
  <c r="CO15" i="6"/>
  <c r="G133" i="6"/>
  <c r="G146" i="6" s="1" a="1"/>
  <c r="G15" i="6"/>
  <c r="BQ133" i="6"/>
  <c r="BQ146" i="6" s="1" a="1"/>
  <c r="BQ15" i="6"/>
  <c r="CP15" i="6"/>
  <c r="CP135" i="6"/>
  <c r="CP146" i="6" s="1" a="1"/>
  <c r="N133" i="6"/>
  <c r="N146" i="6" s="1" a="1"/>
  <c r="AS15" i="6"/>
  <c r="CS146" i="6" a="1"/>
  <c r="CA15" i="6"/>
  <c r="AS14" i="6"/>
  <c r="I134" i="6"/>
  <c r="I146" i="6" s="1" a="1"/>
  <c r="I15" i="6"/>
  <c r="CR15" i="6"/>
  <c r="CQ133" i="6"/>
  <c r="CQ14" i="6"/>
  <c r="AO15" i="6"/>
  <c r="BE146" i="6" a="1"/>
  <c r="CB15" i="6"/>
  <c r="CB134" i="6"/>
  <c r="CB146" i="6" s="1" a="1"/>
  <c r="K14" i="6"/>
  <c r="X14" i="6"/>
  <c r="X133" i="6"/>
  <c r="X146" i="6" s="1" a="1"/>
  <c r="AV137" i="6"/>
  <c r="AU137" i="6"/>
  <c r="CQ15" i="6"/>
  <c r="CQ134" i="6"/>
  <c r="BM133" i="6"/>
  <c r="BM146" i="6" s="1" a="1"/>
  <c r="BM14" i="6"/>
  <c r="BM15" i="6"/>
  <c r="T15" i="6"/>
  <c r="AP14" i="6"/>
  <c r="AP135" i="6"/>
  <c r="AP146" i="6" s="1" a="1"/>
  <c r="AM15" i="6"/>
  <c r="AM134" i="6"/>
  <c r="AM146" i="6" s="1" a="1"/>
  <c r="BI134" i="6"/>
  <c r="BI146" i="6" s="1" a="1"/>
  <c r="BI15" i="6"/>
  <c r="AV14" i="6"/>
  <c r="AK133" i="6"/>
  <c r="AK146" i="6" s="1" a="1"/>
  <c r="AK15" i="6"/>
  <c r="CW134" i="6"/>
  <c r="CW15" i="6"/>
  <c r="Q146" i="6" a="1"/>
  <c r="BZ14" i="6"/>
  <c r="AA14" i="6"/>
  <c r="AA133" i="6"/>
  <c r="H15" i="6"/>
  <c r="BP15" i="6"/>
  <c r="CL134" i="6"/>
  <c r="CL146" i="6" s="1" a="1"/>
  <c r="BO14" i="6"/>
  <c r="CY15" i="6"/>
  <c r="AV134" i="6"/>
  <c r="AV146" i="6" s="1" a="1"/>
  <c r="AV15" i="6"/>
  <c r="AH137" i="6"/>
  <c r="BV137" i="6"/>
  <c r="CS137" i="6"/>
  <c r="BR137" i="6"/>
  <c r="O137" i="6"/>
  <c r="AF137" i="6"/>
  <c r="CX137" i="6"/>
  <c r="AB137" i="6"/>
  <c r="T137" i="6"/>
  <c r="CW137" i="6"/>
  <c r="AK137" i="6"/>
  <c r="CO137" i="6"/>
  <c r="Z137" i="6"/>
  <c r="BM137" i="6"/>
  <c r="V137" i="6"/>
  <c r="AY137" i="6"/>
  <c r="AW137" i="6"/>
  <c r="K137" i="6"/>
  <c r="Y137" i="6"/>
  <c r="AS137" i="6"/>
  <c r="CA137" i="6"/>
  <c r="W137" i="6"/>
  <c r="BO137" i="6"/>
  <c r="CE137" i="6"/>
  <c r="CT137" i="6"/>
  <c r="CQ137" i="6"/>
  <c r="CV137" i="6"/>
  <c r="BY137" i="6"/>
  <c r="BQ137" i="6"/>
  <c r="AC137" i="6"/>
  <c r="BL137" i="6"/>
  <c r="BP137" i="6"/>
  <c r="CM137" i="6"/>
  <c r="I137" i="6"/>
  <c r="CJ137" i="6"/>
  <c r="CG137" i="6"/>
  <c r="AR137" i="6"/>
  <c r="BI137" i="6"/>
  <c r="BK137" i="6"/>
  <c r="AJ137" i="6"/>
  <c r="AD137" i="6"/>
  <c r="BN137" i="6"/>
  <c r="F134" i="6"/>
  <c r="P137" i="6"/>
  <c r="CD137" i="6"/>
  <c r="AE137" i="6"/>
  <c r="AM137" i="6"/>
  <c r="F137" i="6"/>
  <c r="AZ137" i="6"/>
  <c r="BU137" i="6"/>
  <c r="AL137" i="6"/>
  <c r="CZ137" i="6"/>
  <c r="X137" i="6"/>
  <c r="AN137" i="6"/>
  <c r="CC137" i="6"/>
  <c r="BC137" i="6"/>
  <c r="CR137" i="6"/>
  <c r="BJ137" i="6"/>
  <c r="CK137" i="6"/>
  <c r="AQ137" i="6"/>
  <c r="AA137" i="6"/>
  <c r="AX137" i="6"/>
  <c r="DA137" i="6"/>
  <c r="BE137" i="6"/>
  <c r="CN137" i="6"/>
  <c r="L137" i="6"/>
  <c r="AI137" i="6"/>
  <c r="BA137" i="6"/>
  <c r="BD137" i="6"/>
  <c r="CU137" i="6"/>
  <c r="CH137" i="6"/>
  <c r="AO137" i="6"/>
  <c r="R137" i="6"/>
  <c r="CI137" i="6"/>
  <c r="CY137" i="6"/>
  <c r="J137" i="6"/>
  <c r="BW137" i="6"/>
  <c r="H137" i="6"/>
  <c r="AT137" i="6"/>
  <c r="BG137" i="6"/>
  <c r="BF137" i="6"/>
  <c r="AG137" i="6"/>
  <c r="Q137" i="6"/>
  <c r="N137" i="6"/>
  <c r="S137" i="6"/>
  <c r="CF137" i="6"/>
  <c r="CB137" i="6"/>
  <c r="CL137" i="6"/>
  <c r="BS137" i="6"/>
  <c r="F15" i="6"/>
  <c r="BB137" i="6"/>
  <c r="AP137" i="6"/>
  <c r="CA133" i="6"/>
  <c r="CA146" i="6" s="1" a="1"/>
  <c r="K146" i="6" a="1"/>
  <c r="BT137" i="6"/>
  <c r="AZ133" i="6"/>
  <c r="AZ146" i="6" s="1" a="1"/>
  <c r="AZ14" i="6"/>
  <c r="DA135" i="6"/>
  <c r="DA146" i="6" s="1" a="1"/>
  <c r="DA14" i="6"/>
  <c r="W133" i="6"/>
  <c r="W146" i="6" s="1" a="1"/>
  <c r="W14" i="6"/>
  <c r="CA14" i="6"/>
  <c r="AM14" i="6"/>
  <c r="BL15" i="6"/>
  <c r="BL14" i="6"/>
  <c r="BL133" i="6"/>
  <c r="BL146" i="6" s="1" a="1"/>
  <c r="T14" i="6"/>
  <c r="AX14" i="6"/>
  <c r="BO146" i="6" a="1"/>
  <c r="CH14" i="6"/>
  <c r="BC133" i="6"/>
  <c r="BC14" i="6"/>
  <c r="U134" i="6"/>
  <c r="U146" i="6" s="1" a="1"/>
  <c r="U15" i="6"/>
  <c r="U14" i="6"/>
  <c r="AU14" i="6"/>
  <c r="AJ133" i="6"/>
  <c r="AJ146" i="6" s="1" a="1"/>
  <c r="AJ14" i="6"/>
  <c r="AJ15" i="6"/>
  <c r="CN134" i="6"/>
  <c r="CN146" i="6" s="1" a="1"/>
  <c r="BO15" i="6"/>
  <c r="CM133" i="6"/>
  <c r="CM146" i="6" s="1" a="1"/>
  <c r="CM14" i="6"/>
  <c r="S15" i="6"/>
  <c r="S134" i="6"/>
  <c r="S146" i="6" s="1" a="1"/>
  <c r="CE133" i="6"/>
  <c r="CE146" i="6" s="1" a="1"/>
  <c r="CE14" i="6"/>
  <c r="H133" i="6"/>
  <c r="H146" i="6" s="1" a="1"/>
  <c r="H14" i="6"/>
  <c r="BF15" i="6"/>
  <c r="BF134" i="6"/>
  <c r="BF146" i="6" s="1" a="1"/>
  <c r="CE138" i="6"/>
  <c r="AR138" i="6"/>
  <c r="BT138" i="6"/>
  <c r="AO133" i="6"/>
  <c r="AO146" i="6" s="1" a="1"/>
  <c r="AO14" i="6"/>
  <c r="CX15" i="6"/>
  <c r="BY15" i="6"/>
  <c r="BK14" i="6"/>
  <c r="BD15" i="6"/>
  <c r="BZ146" i="6" a="1"/>
  <c r="Y14" i="6"/>
  <c r="Y15" i="6"/>
  <c r="V133" i="6"/>
  <c r="AE14" i="6"/>
  <c r="BY134" i="6"/>
  <c r="BX138" i="6"/>
  <c r="CH138" i="6"/>
  <c r="AM138" i="6"/>
  <c r="CD138" i="6"/>
  <c r="O146" i="6" a="1"/>
  <c r="BC134" i="6"/>
  <c r="BC15" i="6"/>
  <c r="CZ134" i="6"/>
  <c r="CZ146" i="6" s="1" a="1"/>
  <c r="CZ15" i="6"/>
  <c r="BG15" i="6"/>
  <c r="BQ138" i="6"/>
  <c r="AP138" i="6"/>
  <c r="CK146" i="6" a="1"/>
  <c r="CH146" i="6" a="1"/>
  <c r="CD134" i="6"/>
  <c r="AI15" i="6"/>
  <c r="BR15" i="6"/>
  <c r="CC15" i="6"/>
  <c r="BG14" i="6"/>
  <c r="BH15" i="6"/>
  <c r="BH134" i="6"/>
  <c r="BH146" i="6" s="1" a="1"/>
  <c r="AQ146" i="6" a="1"/>
  <c r="AP15" i="6"/>
  <c r="P14" i="6"/>
  <c r="P133" i="6"/>
  <c r="P146" i="6" s="1" a="1"/>
  <c r="AA15" i="6"/>
  <c r="J14" i="6"/>
  <c r="BG134" i="6"/>
  <c r="BG146" i="6" s="1" a="1"/>
  <c r="AI134" i="6"/>
  <c r="AV138" i="6"/>
  <c r="AB138" i="6"/>
  <c r="CS138" i="6"/>
  <c r="U138" i="6"/>
  <c r="H138" i="6"/>
  <c r="L138" i="6"/>
  <c r="AQ138" i="6"/>
  <c r="AC138" i="6"/>
  <c r="BS138" i="6"/>
  <c r="CY138" i="6"/>
  <c r="AF138" i="6"/>
  <c r="AO138" i="6"/>
  <c r="BW138" i="6"/>
  <c r="AK138" i="6"/>
  <c r="BD138" i="6"/>
  <c r="BL138" i="6"/>
  <c r="AZ138" i="6"/>
  <c r="T138" i="6"/>
  <c r="N138" i="6"/>
  <c r="AY138" i="6"/>
  <c r="CA138" i="6"/>
  <c r="CR138" i="6"/>
  <c r="BK138" i="6"/>
  <c r="AS138" i="6"/>
  <c r="BV138" i="6"/>
  <c r="AL138" i="6"/>
  <c r="CL138" i="6"/>
  <c r="BP138" i="6"/>
  <c r="AU138" i="6"/>
  <c r="CC138" i="6"/>
  <c r="BM138" i="6"/>
  <c r="CB138" i="6"/>
  <c r="BB138" i="6"/>
  <c r="BO138" i="6"/>
  <c r="K138" i="6"/>
  <c r="P138" i="6"/>
  <c r="BZ138" i="6"/>
  <c r="AN138" i="6"/>
  <c r="CX138" i="6"/>
  <c r="AH138" i="6"/>
  <c r="AG138" i="6"/>
  <c r="R138" i="6"/>
  <c r="W138" i="6"/>
  <c r="I138" i="6"/>
  <c r="BH138" i="6"/>
  <c r="CV138" i="6"/>
  <c r="CQ138" i="6"/>
  <c r="CF138" i="6"/>
  <c r="CK138" i="6"/>
  <c r="V138" i="6"/>
  <c r="BC138" i="6"/>
  <c r="Y138" i="6"/>
  <c r="CT138" i="6"/>
  <c r="BJ138" i="6"/>
  <c r="AE138" i="6"/>
  <c r="AW138" i="6"/>
  <c r="CM138" i="6"/>
  <c r="BG138" i="6"/>
  <c r="S138" i="6"/>
  <c r="F138" i="6"/>
  <c r="BA138" i="6"/>
  <c r="BE138" i="6"/>
  <c r="AI138" i="6"/>
  <c r="CW138" i="6"/>
  <c r="BI138" i="6"/>
  <c r="DA138" i="6"/>
  <c r="BU138" i="6"/>
  <c r="CG138" i="6"/>
  <c r="Z138" i="6"/>
  <c r="O138" i="6"/>
  <c r="CZ138" i="6"/>
  <c r="J138" i="6"/>
  <c r="CN138" i="6"/>
  <c r="BF138" i="6"/>
  <c r="X138" i="6"/>
  <c r="CP138" i="6"/>
  <c r="CI138" i="6"/>
  <c r="BJ134" i="6"/>
  <c r="BJ146" i="6" s="1" a="1"/>
  <c r="BN138" i="6"/>
  <c r="Z14" i="6"/>
  <c r="CB14" i="6"/>
  <c r="BN14" i="6"/>
  <c r="CI15" i="6"/>
  <c r="CR134" i="6"/>
  <c r="CR146" i="6" s="1" a="1"/>
  <c r="AR15" i="6"/>
  <c r="CU14" i="6"/>
  <c r="AT14" i="6"/>
  <c r="AT134" i="6"/>
  <c r="AT146" i="6" s="1" a="1"/>
  <c r="BK15" i="6"/>
  <c r="BD134" i="6"/>
  <c r="BD146" i="6" s="1" a="1"/>
  <c r="AA134" i="6"/>
  <c r="AJ138" i="6"/>
  <c r="CJ138" i="6"/>
  <c r="F135" i="6"/>
  <c r="BY14" i="6"/>
  <c r="BY133" i="6"/>
  <c r="BT15" i="6"/>
  <c r="BB15" i="6"/>
  <c r="BB133" i="6"/>
  <c r="BB146" i="6" s="1" a="1"/>
  <c r="AQ15" i="6"/>
  <c r="CI134" i="6"/>
  <c r="CG15" i="6"/>
  <c r="V15" i="6"/>
  <c r="BV134" i="6"/>
  <c r="BV15" i="6"/>
  <c r="CV14" i="6"/>
  <c r="CV133" i="6"/>
  <c r="CV146" i="6" s="1" a="1"/>
  <c r="AZ15" i="6"/>
  <c r="AL146" i="6" a="1"/>
  <c r="Q138" i="6"/>
  <c r="AA138" i="6"/>
  <c r="M138" i="6"/>
  <c r="Y136" i="6"/>
  <c r="S136" i="6"/>
  <c r="AR136" i="6"/>
  <c r="CL136" i="6"/>
  <c r="CR136" i="6"/>
  <c r="CM136" i="6"/>
  <c r="AZ136" i="6"/>
  <c r="CA136" i="6"/>
  <c r="BG136" i="6"/>
  <c r="BU136" i="6"/>
  <c r="BF136" i="6"/>
  <c r="AB136" i="6"/>
  <c r="AG14" i="6"/>
  <c r="V134" i="6"/>
  <c r="I14" i="6"/>
  <c r="AG133" i="6"/>
  <c r="AG146" i="6" s="1" a="1"/>
  <c r="AB15" i="6"/>
  <c r="Z136" i="6"/>
  <c r="BA136" i="6"/>
  <c r="BM136" i="6"/>
  <c r="CB136" i="6"/>
  <c r="O136" i="6"/>
  <c r="AC136" i="6"/>
  <c r="F133" i="6"/>
  <c r="BK136" i="6"/>
  <c r="AS136" i="6"/>
  <c r="J136" i="6"/>
  <c r="AD136" i="6"/>
  <c r="AW136" i="6"/>
  <c r="CN136" i="6"/>
  <c r="Q15" i="6"/>
  <c r="AQ14" i="6"/>
  <c r="CJ14" i="6"/>
  <c r="AN15" i="6"/>
  <c r="BD136" i="6"/>
  <c r="CO136" i="6"/>
  <c r="AK136" i="6"/>
  <c r="V136" i="6"/>
  <c r="CT136" i="6"/>
  <c r="T136" i="6"/>
  <c r="AJ136" i="6"/>
  <c r="CH136" i="6"/>
  <c r="AA136" i="6"/>
  <c r="CG136" i="6"/>
  <c r="DA136" i="6"/>
  <c r="I136" i="6"/>
  <c r="CK136" i="6"/>
  <c r="BW14" i="6"/>
  <c r="R15" i="6"/>
  <c r="CK15" i="6"/>
  <c r="CW136" i="6"/>
  <c r="BH136" i="6"/>
  <c r="AP136" i="6"/>
  <c r="CJ136" i="6"/>
  <c r="BQ136" i="6"/>
  <c r="P136" i="6"/>
  <c r="BT136" i="6"/>
  <c r="CZ136" i="6"/>
  <c r="G136" i="6"/>
  <c r="Q136" i="6"/>
  <c r="CY136" i="6"/>
  <c r="BS136" i="6"/>
  <c r="AI133" i="6"/>
  <c r="AI14" i="6"/>
  <c r="BW134" i="6"/>
  <c r="BW146" i="6" s="1" a="1"/>
  <c r="BW15" i="6"/>
  <c r="Z134" i="6"/>
  <c r="Z146" i="6" s="1" a="1"/>
  <c r="Z15" i="6"/>
  <c r="AH14" i="6"/>
  <c r="AH133" i="6"/>
  <c r="AH146" i="6" s="1" a="1"/>
  <c r="M17" i="5" a="1"/>
  <c r="M11" i="5" l="1"/>
  <c r="M10" i="5"/>
  <c r="M12" i="5"/>
  <c r="J147" i="6"/>
  <c r="M18" i="5"/>
  <c r="M17" i="5"/>
  <c r="BN147" i="6"/>
  <c r="CJ147" i="6"/>
  <c r="CJ146" i="6"/>
  <c r="AI146" i="6" a="1"/>
  <c r="AI147" i="6" s="1"/>
  <c r="AW149" i="6" a="1"/>
  <c r="AW149" i="6" s="1"/>
  <c r="AW155" i="6" s="1"/>
  <c r="AS146" i="6"/>
  <c r="CB149" i="6" a="1"/>
  <c r="CB150" i="6" s="1"/>
  <c r="W149" i="6" a="1"/>
  <c r="W149" i="6" s="1"/>
  <c r="W155" i="6" s="1"/>
  <c r="AM149" i="6" a="1"/>
  <c r="AM149" i="6" s="1"/>
  <c r="AM155" i="6" s="1"/>
  <c r="AF149" i="6" a="1"/>
  <c r="AF149" i="6" s="1"/>
  <c r="AF155" i="6" s="1"/>
  <c r="BV146" i="6" a="1"/>
  <c r="BV147" i="6" s="1"/>
  <c r="BT147" i="6"/>
  <c r="BT148" i="6"/>
  <c r="DA149" i="6" a="1"/>
  <c r="DA149" i="6" s="1"/>
  <c r="AW146" i="6"/>
  <c r="BM149" i="6" a="1"/>
  <c r="BM151" i="6" s="1"/>
  <c r="CP149" i="6" a="1"/>
  <c r="CP151" i="6" s="1"/>
  <c r="J146" i="6"/>
  <c r="AX146" i="6"/>
  <c r="BH149" i="6" a="1"/>
  <c r="BH150" i="6" s="1"/>
  <c r="U149" i="6" a="1"/>
  <c r="U149" i="6" s="1"/>
  <c r="AS148" i="6"/>
  <c r="BO149" i="6" a="1"/>
  <c r="BO151" i="6" s="1"/>
  <c r="CV149" i="6" a="1"/>
  <c r="CV150" i="6" s="1"/>
  <c r="CV156" i="6" s="1"/>
  <c r="Y149" i="6" a="1"/>
  <c r="Y151" i="6" s="1"/>
  <c r="Y157" i="6" s="1"/>
  <c r="CU147" i="6"/>
  <c r="AR147" i="6"/>
  <c r="CK149" i="6" a="1"/>
  <c r="CK150" i="6" s="1"/>
  <c r="CK156" i="6" s="1"/>
  <c r="BK148" i="6"/>
  <c r="G149" i="6" a="1"/>
  <c r="G149" i="6" s="1"/>
  <c r="CG149" i="6" a="1"/>
  <c r="CG149" i="6" s="1"/>
  <c r="CO149" i="6" a="1"/>
  <c r="CO151" i="6" s="1"/>
  <c r="CO157" i="6" s="1"/>
  <c r="AD149" i="6" a="1"/>
  <c r="AD151" i="6" s="1"/>
  <c r="CE149" i="6" a="1"/>
  <c r="CE149" i="6" s="1"/>
  <c r="CE155" i="6" s="1"/>
  <c r="CW146" i="6" a="1"/>
  <c r="CW146" i="6" s="1"/>
  <c r="AX147" i="6"/>
  <c r="BK147" i="6"/>
  <c r="CD149" i="6" a="1"/>
  <c r="CD149" i="6" s="1"/>
  <c r="CD155" i="6" s="1"/>
  <c r="AO149" i="6" a="1"/>
  <c r="AO150" i="6" s="1"/>
  <c r="AO156" i="6" s="1"/>
  <c r="AY149" i="6" a="1"/>
  <c r="AY150" i="6" s="1"/>
  <c r="AY156" i="6" s="1"/>
  <c r="CC148" i="6"/>
  <c r="Y146" i="6"/>
  <c r="Q149" i="6" a="1"/>
  <c r="Q151" i="6" s="1"/>
  <c r="Q157" i="6" s="1"/>
  <c r="AK149" i="6" a="1"/>
  <c r="AK150" i="6" s="1"/>
  <c r="AK156" i="6" s="1"/>
  <c r="BQ149" i="6" a="1"/>
  <c r="BQ151" i="6" s="1"/>
  <c r="BQ157" i="6" s="1"/>
  <c r="T149" i="6" a="1"/>
  <c r="T150" i="6" s="1"/>
  <c r="T156" i="6" s="1"/>
  <c r="F146" i="6" a="1"/>
  <c r="F147" i="6" s="1"/>
  <c r="CA149" i="6" a="1"/>
  <c r="CA149" i="6" s="1"/>
  <c r="CA155" i="6" s="1"/>
  <c r="M149" i="6" a="1"/>
  <c r="M149" i="6" s="1"/>
  <c r="CC147" i="6"/>
  <c r="Y147" i="6"/>
  <c r="BZ149" i="6" a="1"/>
  <c r="BZ151" i="6" s="1"/>
  <c r="BP149" i="6" a="1"/>
  <c r="BP150" i="6" s="1"/>
  <c r="BP156" i="6" s="1"/>
  <c r="AN149" i="6" a="1"/>
  <c r="AN151" i="6" s="1"/>
  <c r="CR149" i="6" a="1"/>
  <c r="CR151" i="6" s="1"/>
  <c r="CR157" i="6" s="1"/>
  <c r="BS149" i="6" a="1"/>
  <c r="BS151" i="6" s="1"/>
  <c r="BS157" i="6" s="1"/>
  <c r="CJ149" i="6" a="1"/>
  <c r="CJ150" i="6" s="1"/>
  <c r="CT149" i="6" a="1"/>
  <c r="CT150" i="6" s="1"/>
  <c r="AZ149" i="6" a="1"/>
  <c r="AZ150" i="6" s="1"/>
  <c r="AZ156" i="6" s="1"/>
  <c r="CU148" i="6"/>
  <c r="AW147" i="6"/>
  <c r="AC146" i="6"/>
  <c r="AC147" i="6"/>
  <c r="AC148" i="6"/>
  <c r="R146" i="6"/>
  <c r="CI146" i="6" a="1"/>
  <c r="CI148" i="6" s="1"/>
  <c r="BN148" i="6"/>
  <c r="BI149" i="6" a="1"/>
  <c r="BI150" i="6" s="1"/>
  <c r="BI156" i="6" s="1"/>
  <c r="AR148" i="6"/>
  <c r="N149" i="6" a="1"/>
  <c r="N151" i="6" s="1"/>
  <c r="N157" i="6" s="1"/>
  <c r="AR149" i="6" a="1"/>
  <c r="AR149" i="6" s="1"/>
  <c r="AR152" i="6" s="1"/>
  <c r="T146" i="6"/>
  <c r="AL149" i="6" a="1"/>
  <c r="AL149" i="6" s="1"/>
  <c r="CS149" i="6" a="1"/>
  <c r="CS150" i="6" s="1"/>
  <c r="CQ146" i="6" a="1"/>
  <c r="CQ148" i="6" s="1"/>
  <c r="M148" i="6"/>
  <c r="CF146" i="6"/>
  <c r="AB149" i="6" a="1"/>
  <c r="AB150" i="6" s="1"/>
  <c r="BX149" i="6" a="1"/>
  <c r="BX151" i="6" s="1"/>
  <c r="AQ149" i="6" a="1"/>
  <c r="AQ149" i="6" s="1"/>
  <c r="CF147" i="6"/>
  <c r="BA149" i="6" a="1"/>
  <c r="BA151" i="6" s="1"/>
  <c r="BA157" i="6" s="1"/>
  <c r="Z149" i="6" a="1"/>
  <c r="Z151" i="6" s="1"/>
  <c r="BW149" i="6" a="1"/>
  <c r="BW149" i="6" s="1"/>
  <c r="BW155" i="6" s="1"/>
  <c r="T148" i="6"/>
  <c r="AA146" i="6" a="1"/>
  <c r="AA146" i="6" s="1"/>
  <c r="M147" i="6"/>
  <c r="R148" i="6"/>
  <c r="P149" i="6" a="1"/>
  <c r="P151" i="6" s="1"/>
  <c r="F149" i="6" a="1"/>
  <c r="F150" i="6" s="1"/>
  <c r="BI147" i="6"/>
  <c r="BI146" i="6"/>
  <c r="BI148" i="6"/>
  <c r="DA148" i="6"/>
  <c r="DA147" i="6"/>
  <c r="DA146" i="6"/>
  <c r="AT146" i="6"/>
  <c r="AT147" i="6"/>
  <c r="AT148" i="6"/>
  <c r="CN148" i="6"/>
  <c r="CN147" i="6"/>
  <c r="CN146" i="6"/>
  <c r="CL147" i="6"/>
  <c r="CL148" i="6"/>
  <c r="CL146" i="6"/>
  <c r="AP146" i="6"/>
  <c r="AP147" i="6"/>
  <c r="AP148" i="6"/>
  <c r="AM148" i="6"/>
  <c r="AM147" i="6"/>
  <c r="AM146" i="6"/>
  <c r="CR147" i="6"/>
  <c r="CR148" i="6"/>
  <c r="CR146" i="6"/>
  <c r="BF147" i="6"/>
  <c r="BF146" i="6"/>
  <c r="BF148" i="6"/>
  <c r="BH146" i="6"/>
  <c r="BH148" i="6"/>
  <c r="BH147" i="6"/>
  <c r="BB147" i="6"/>
  <c r="BB146" i="6"/>
  <c r="BB148" i="6"/>
  <c r="CM147" i="6"/>
  <c r="CM148" i="6"/>
  <c r="CM146" i="6"/>
  <c r="AG142" i="6"/>
  <c r="CI142" i="6"/>
  <c r="CI149" i="6" a="1"/>
  <c r="L142" i="6"/>
  <c r="BJ142" i="6"/>
  <c r="BU142" i="6"/>
  <c r="BN142" i="6"/>
  <c r="I142" i="6"/>
  <c r="CQ142" i="6"/>
  <c r="K142" i="6"/>
  <c r="CW142" i="6"/>
  <c r="BV142" i="6"/>
  <c r="BJ149" i="6" a="1"/>
  <c r="BX145" i="6"/>
  <c r="BX143" i="6"/>
  <c r="BX144" i="6"/>
  <c r="U143" i="6"/>
  <c r="U145" i="6"/>
  <c r="U144" i="6"/>
  <c r="AD148" i="6"/>
  <c r="AD146" i="6"/>
  <c r="AD147" i="6"/>
  <c r="AV148" i="6"/>
  <c r="AV147" i="6"/>
  <c r="AV146" i="6"/>
  <c r="AH146" i="6"/>
  <c r="AH147" i="6"/>
  <c r="AH148" i="6"/>
  <c r="AC149" i="6" a="1"/>
  <c r="BO148" i="6"/>
  <c r="BO147" i="6"/>
  <c r="BO146" i="6"/>
  <c r="K147" i="6"/>
  <c r="K148" i="6"/>
  <c r="K146" i="6"/>
  <c r="BS142" i="6"/>
  <c r="BF142" i="6"/>
  <c r="R142" i="6"/>
  <c r="R149" i="6" a="1"/>
  <c r="CN142" i="6"/>
  <c r="CR142" i="6"/>
  <c r="AZ142" i="6"/>
  <c r="AD142" i="6"/>
  <c r="CM142" i="6"/>
  <c r="CT142" i="6"/>
  <c r="AW142" i="6"/>
  <c r="T142" i="6"/>
  <c r="AH142" i="6"/>
  <c r="Q147" i="6"/>
  <c r="Q148" i="6"/>
  <c r="Q146" i="6"/>
  <c r="BM147" i="6"/>
  <c r="BM148" i="6"/>
  <c r="BM146" i="6"/>
  <c r="G147" i="6"/>
  <c r="G146" i="6"/>
  <c r="G148" i="6"/>
  <c r="BX146" i="6"/>
  <c r="BX148" i="6"/>
  <c r="BX147" i="6"/>
  <c r="CY149" i="6" a="1"/>
  <c r="AP149" i="6" a="1"/>
  <c r="I149" i="6" a="1"/>
  <c r="V149" i="6" a="1"/>
  <c r="CN149" i="6" a="1"/>
  <c r="O149" i="6" a="1"/>
  <c r="CM149" i="6" a="1"/>
  <c r="CK148" i="6"/>
  <c r="CK146" i="6"/>
  <c r="CK147" i="6"/>
  <c r="O146" i="6"/>
  <c r="O147" i="6"/>
  <c r="O148" i="6"/>
  <c r="V146" i="6" a="1"/>
  <c r="BT142" i="6"/>
  <c r="CL142" i="6"/>
  <c r="BG142" i="6"/>
  <c r="AO142" i="6"/>
  <c r="BE142" i="6"/>
  <c r="BC142" i="6"/>
  <c r="BC149" i="6" a="1"/>
  <c r="F142" i="6"/>
  <c r="AJ142" i="6"/>
  <c r="BP142" i="6"/>
  <c r="CE142" i="6"/>
  <c r="AY142" i="6"/>
  <c r="AB142" i="6"/>
  <c r="CY146" i="6"/>
  <c r="CY148" i="6"/>
  <c r="CY147" i="6"/>
  <c r="CP145" i="6"/>
  <c r="CP143" i="6"/>
  <c r="CP144" i="6"/>
  <c r="M142" i="6"/>
  <c r="BU148" i="6"/>
  <c r="BU146" i="6"/>
  <c r="BU147" i="6"/>
  <c r="BE149" i="6" a="1"/>
  <c r="CX146" i="6"/>
  <c r="CX148" i="6"/>
  <c r="CX147" i="6"/>
  <c r="P147" i="6"/>
  <c r="P146" i="6"/>
  <c r="P148" i="6"/>
  <c r="CZ147" i="6"/>
  <c r="CZ146" i="6"/>
  <c r="CZ148" i="6"/>
  <c r="BL147" i="6"/>
  <c r="BL148" i="6"/>
  <c r="BL146" i="6"/>
  <c r="S148" i="6"/>
  <c r="S146" i="6"/>
  <c r="S147" i="6"/>
  <c r="AG149" i="6" a="1"/>
  <c r="AT142" i="6"/>
  <c r="DA142" i="6"/>
  <c r="CC142" i="6"/>
  <c r="BK142" i="6"/>
  <c r="BL142" i="6"/>
  <c r="BL149" i="6" a="1"/>
  <c r="CX142" i="6"/>
  <c r="AK147" i="6"/>
  <c r="AK146" i="6"/>
  <c r="AK148" i="6"/>
  <c r="L147" i="6"/>
  <c r="L148" i="6"/>
  <c r="L146" i="6"/>
  <c r="CL149" i="6" a="1"/>
  <c r="CH148" i="6"/>
  <c r="CH146" i="6"/>
  <c r="CH147" i="6"/>
  <c r="CQ149" i="6" a="1"/>
  <c r="H142" i="6"/>
  <c r="AN142" i="6"/>
  <c r="AC142" i="6"/>
  <c r="AF142" i="6"/>
  <c r="AT149" i="6" a="1"/>
  <c r="AH149" i="6" a="1"/>
  <c r="CZ149" i="6" a="1"/>
  <c r="AA149" i="6" a="1"/>
  <c r="BD149" i="6" a="1"/>
  <c r="J149" i="6" a="1"/>
  <c r="BF149" i="6" a="1"/>
  <c r="BN149" i="6" a="1"/>
  <c r="CC149" i="6" a="1"/>
  <c r="BG148" i="6"/>
  <c r="BG146" i="6"/>
  <c r="BG147" i="6"/>
  <c r="BZ147" i="6"/>
  <c r="BZ146" i="6"/>
  <c r="BZ148" i="6"/>
  <c r="H147" i="6"/>
  <c r="H148" i="6"/>
  <c r="H146" i="6"/>
  <c r="L149" i="6" a="1"/>
  <c r="AF146" i="6"/>
  <c r="AF147" i="6"/>
  <c r="AF148" i="6"/>
  <c r="S142" i="6"/>
  <c r="BW142" i="6"/>
  <c r="BD142" i="6"/>
  <c r="AA142" i="6"/>
  <c r="X142" i="6"/>
  <c r="X149" i="6" a="1"/>
  <c r="CD142" i="6"/>
  <c r="AR142" i="6"/>
  <c r="BQ142" i="6"/>
  <c r="CA142" i="6"/>
  <c r="Z142" i="6"/>
  <c r="O142" i="6"/>
  <c r="BH145" i="6"/>
  <c r="BH144" i="6"/>
  <c r="BH143" i="6"/>
  <c r="AV142" i="6"/>
  <c r="BE147" i="6"/>
  <c r="BE148" i="6"/>
  <c r="BE146" i="6"/>
  <c r="N148" i="6"/>
  <c r="N146" i="6"/>
  <c r="N147" i="6"/>
  <c r="CO148" i="6"/>
  <c r="CO146" i="6"/>
  <c r="CO147" i="6"/>
  <c r="AU146" i="6"/>
  <c r="AU147" i="6"/>
  <c r="AU148" i="6"/>
  <c r="CT146" i="6"/>
  <c r="CT148" i="6"/>
  <c r="CT147" i="6"/>
  <c r="AB148" i="6"/>
  <c r="AB147" i="6"/>
  <c r="AB146" i="6"/>
  <c r="BW146" i="6"/>
  <c r="BW147" i="6"/>
  <c r="BW148" i="6"/>
  <c r="AG147" i="6"/>
  <c r="AG146" i="6"/>
  <c r="AG148" i="6"/>
  <c r="CP146" i="6"/>
  <c r="CP147" i="6"/>
  <c r="CP148" i="6"/>
  <c r="U146" i="6"/>
  <c r="U148" i="6"/>
  <c r="U147" i="6"/>
  <c r="W147" i="6"/>
  <c r="W146" i="6"/>
  <c r="W148" i="6"/>
  <c r="AY146" i="6"/>
  <c r="AY147" i="6"/>
  <c r="AY148" i="6"/>
  <c r="CH142" i="6"/>
  <c r="V142" i="6"/>
  <c r="BQ146" i="6"/>
  <c r="BQ148" i="6"/>
  <c r="BQ147" i="6"/>
  <c r="K149" i="6" a="1"/>
  <c r="AZ147" i="6"/>
  <c r="AZ146" i="6"/>
  <c r="AZ148" i="6"/>
  <c r="CF142" i="6"/>
  <c r="AX142" i="6"/>
  <c r="BI142" i="6"/>
  <c r="BM142" i="6"/>
  <c r="AU142" i="6"/>
  <c r="AU149" i="6" a="1"/>
  <c r="BT149" i="6" a="1"/>
  <c r="CH149" i="6" a="1"/>
  <c r="AS149" i="6" a="1"/>
  <c r="BU149" i="6" a="1"/>
  <c r="S149" i="6" a="1"/>
  <c r="CV148" i="6"/>
  <c r="CV146" i="6"/>
  <c r="CV147" i="6"/>
  <c r="BV149" i="6" a="1"/>
  <c r="AX149" i="6" a="1"/>
  <c r="CF149" i="6" a="1"/>
  <c r="AO148" i="6"/>
  <c r="AO146" i="6"/>
  <c r="AO147" i="6"/>
  <c r="AJ148" i="6"/>
  <c r="AJ146" i="6"/>
  <c r="AJ147" i="6"/>
  <c r="BC146" i="6" a="1"/>
  <c r="AP142" i="6"/>
  <c r="N142" i="6"/>
  <c r="J142" i="6"/>
  <c r="BA142" i="6"/>
  <c r="AQ142" i="6"/>
  <c r="CZ142" i="6"/>
  <c r="P142" i="6"/>
  <c r="CG142" i="6"/>
  <c r="BY142" i="6"/>
  <c r="BY149" i="6" a="1"/>
  <c r="AS142" i="6"/>
  <c r="CO142" i="6"/>
  <c r="BR142" i="6"/>
  <c r="BA146" i="6"/>
  <c r="BA148" i="6"/>
  <c r="BA147" i="6"/>
  <c r="CS147" i="6"/>
  <c r="CS146" i="6"/>
  <c r="CS148" i="6"/>
  <c r="BS148" i="6"/>
  <c r="BS147" i="6"/>
  <c r="BS146" i="6"/>
  <c r="CG148" i="6"/>
  <c r="CG147" i="6"/>
  <c r="CG146" i="6"/>
  <c r="BZ145" i="6"/>
  <c r="BZ143" i="6"/>
  <c r="BZ144" i="6"/>
  <c r="BY146" i="6" a="1"/>
  <c r="AQ146" i="6"/>
  <c r="AQ148" i="6"/>
  <c r="AQ147" i="6"/>
  <c r="CB142" i="6"/>
  <c r="AM142" i="6"/>
  <c r="BO142" i="6"/>
  <c r="CB148" i="6"/>
  <c r="CB147" i="6"/>
  <c r="CB146" i="6"/>
  <c r="AN146" i="6"/>
  <c r="AN148" i="6"/>
  <c r="AN147" i="6"/>
  <c r="Z146" i="6"/>
  <c r="Z147" i="6"/>
  <c r="Z148" i="6"/>
  <c r="CW149" i="6" a="1"/>
  <c r="AL148" i="6"/>
  <c r="AL147" i="6"/>
  <c r="AL146" i="6"/>
  <c r="CU142" i="6"/>
  <c r="AE149" i="6" a="1"/>
  <c r="AE142" i="6"/>
  <c r="W142" i="6"/>
  <c r="BR147" i="6"/>
  <c r="BR146" i="6"/>
  <c r="BR148" i="6"/>
  <c r="AJ149" i="6" a="1"/>
  <c r="BK149" i="6" a="1"/>
  <c r="BG149" i="6" a="1"/>
  <c r="CU149" i="6" a="1"/>
  <c r="BJ148" i="6"/>
  <c r="BJ147" i="6"/>
  <c r="BJ146" i="6"/>
  <c r="BD147" i="6"/>
  <c r="BD146" i="6"/>
  <c r="BD148" i="6"/>
  <c r="AE148" i="6"/>
  <c r="AE146" i="6"/>
  <c r="AE147" i="6"/>
  <c r="H149" i="6" a="1"/>
  <c r="CE146" i="6"/>
  <c r="CE147" i="6"/>
  <c r="CE148" i="6"/>
  <c r="CX149" i="6" a="1"/>
  <c r="CA146" i="6"/>
  <c r="CA147" i="6"/>
  <c r="CA148" i="6"/>
  <c r="BB142" i="6"/>
  <c r="BB149" i="6" a="1"/>
  <c r="Q142" i="6"/>
  <c r="CY142" i="6"/>
  <c r="AI142" i="6"/>
  <c r="AI149" i="6" a="1"/>
  <c r="CK142" i="6"/>
  <c r="AL142" i="6"/>
  <c r="CJ142" i="6"/>
  <c r="CV142" i="6"/>
  <c r="Y142" i="6"/>
  <c r="AK142" i="6"/>
  <c r="CS142" i="6"/>
  <c r="BR149" i="6" a="1"/>
  <c r="X147" i="6"/>
  <c r="X146" i="6"/>
  <c r="X148" i="6"/>
  <c r="I148" i="6"/>
  <c r="I146" i="6"/>
  <c r="I147" i="6"/>
  <c r="AV149" i="6" a="1"/>
  <c r="G143" i="6"/>
  <c r="G145" i="6"/>
  <c r="G144" i="6"/>
  <c r="CD146" i="6" a="1"/>
  <c r="BP146" i="6"/>
  <c r="BP148" i="6"/>
  <c r="BP147" i="6"/>
  <c r="M14" i="5" l="1"/>
  <c r="M13" i="5"/>
  <c r="M15" i="5"/>
  <c r="CM5" i="6"/>
  <c r="CH5" i="6"/>
  <c r="CT5" i="6"/>
  <c r="BM5" i="6"/>
  <c r="S5" i="6"/>
  <c r="S51" i="6" s="1"/>
  <c r="G5" i="6"/>
  <c r="CB5" i="6"/>
  <c r="R5" i="6"/>
  <c r="AM7" i="6"/>
  <c r="AM53" i="6" s="1"/>
  <c r="AY5" i="6"/>
  <c r="BL7" i="6"/>
  <c r="BL53" i="6" s="1"/>
  <c r="X5" i="6"/>
  <c r="CP7" i="6"/>
  <c r="CP53" i="6" s="1"/>
  <c r="CV7" i="6"/>
  <c r="CV53" i="6" s="1"/>
  <c r="P5" i="6"/>
  <c r="CB7" i="6"/>
  <c r="CB53" i="6" s="1"/>
  <c r="BC5" i="6"/>
  <c r="I5" i="6"/>
  <c r="BC7" i="6"/>
  <c r="BC53" i="6" s="1"/>
  <c r="BX7" i="6"/>
  <c r="BX53" i="6" s="1"/>
  <c r="O7" i="6"/>
  <c r="O53" i="6" s="1"/>
  <c r="CA5" i="6"/>
  <c r="AG7" i="6"/>
  <c r="AG53" i="6" s="1"/>
  <c r="CD7" i="6"/>
  <c r="CD53" i="6" s="1"/>
  <c r="W7" i="6"/>
  <c r="W53" i="6" s="1"/>
  <c r="AT5" i="6"/>
  <c r="AD7" i="6"/>
  <c r="AD53" i="6" s="1"/>
  <c r="I7" i="6"/>
  <c r="I53" i="6" s="1"/>
  <c r="F7" i="6"/>
  <c r="BE7" i="6"/>
  <c r="BE53" i="6" s="1"/>
  <c r="BK5" i="6"/>
  <c r="AN5" i="6"/>
  <c r="CX5" i="6"/>
  <c r="T5" i="6"/>
  <c r="K5" i="6"/>
  <c r="CD5" i="6"/>
  <c r="BN5" i="6"/>
  <c r="AR7" i="6"/>
  <c r="AR53" i="6" s="1"/>
  <c r="AZ5" i="6"/>
  <c r="BP5" i="6"/>
  <c r="BE5" i="6"/>
  <c r="BF7" i="6"/>
  <c r="BF53" i="6" s="1"/>
  <c r="CK7" i="6"/>
  <c r="CK53" i="6" s="1"/>
  <c r="BP7" i="6"/>
  <c r="BP53" i="6" s="1"/>
  <c r="AN7" i="6"/>
  <c r="AN53" i="6" s="1"/>
  <c r="CE5" i="6"/>
  <c r="AK7" i="6"/>
  <c r="AK53" i="6" s="1"/>
  <c r="AP7" i="6"/>
  <c r="AP53" i="6" s="1"/>
  <c r="AH7" i="6"/>
  <c r="AH53" i="6" s="1"/>
  <c r="AT7" i="6"/>
  <c r="AT53" i="6" s="1"/>
  <c r="AW7" i="6"/>
  <c r="AW53" i="6" s="1"/>
  <c r="DA5" i="6"/>
  <c r="AC5" i="6"/>
  <c r="Z5" i="6"/>
  <c r="J5" i="6"/>
  <c r="AE5" i="6"/>
  <c r="BO5" i="6"/>
  <c r="CY5" i="6"/>
  <c r="BX5" i="6"/>
  <c r="U5" i="6"/>
  <c r="CP5" i="6"/>
  <c r="Y7" i="6"/>
  <c r="Y53" i="6" s="1"/>
  <c r="AU7" i="6"/>
  <c r="AU53" i="6" s="1"/>
  <c r="BU7" i="6"/>
  <c r="BU53" i="6" s="1"/>
  <c r="Q7" i="6"/>
  <c r="Q53" i="6" s="1"/>
  <c r="M7" i="6"/>
  <c r="M53" i="6" s="1"/>
  <c r="CI5" i="6"/>
  <c r="AP5" i="6"/>
  <c r="CI7" i="6"/>
  <c r="CI53" i="6" s="1"/>
  <c r="BY5" i="6"/>
  <c r="AJ7" i="6"/>
  <c r="AJ53" i="6" s="1"/>
  <c r="AZ7" i="6"/>
  <c r="AZ53" i="6" s="1"/>
  <c r="J7" i="6"/>
  <c r="J53" i="6" s="1"/>
  <c r="CG7" i="6"/>
  <c r="CG53" i="6" s="1"/>
  <c r="CS7" i="6"/>
  <c r="CS53" i="6" s="1"/>
  <c r="BN7" i="6"/>
  <c r="BN53" i="6" s="1"/>
  <c r="AU5" i="6"/>
  <c r="CC5" i="6"/>
  <c r="AG5" i="6"/>
  <c r="AS5" i="6"/>
  <c r="AK5" i="6"/>
  <c r="BJ5" i="6"/>
  <c r="BR5" i="6"/>
  <c r="AI5" i="6"/>
  <c r="Q5" i="6"/>
  <c r="BV7" i="6"/>
  <c r="BV53" i="6" s="1"/>
  <c r="Z7" i="6"/>
  <c r="Z53" i="6" s="1"/>
  <c r="L7" i="6"/>
  <c r="L53" i="6" s="1"/>
  <c r="K7" i="6"/>
  <c r="K53" i="6" s="1"/>
  <c r="BK7" i="6"/>
  <c r="BK53" i="6" s="1"/>
  <c r="BH5" i="6"/>
  <c r="AQ7" i="6"/>
  <c r="AQ53" i="6" s="1"/>
  <c r="CE7" i="6"/>
  <c r="CE53" i="6" s="1"/>
  <c r="BF5" i="6"/>
  <c r="AV7" i="6"/>
  <c r="AV53" i="6" s="1"/>
  <c r="AE7" i="6"/>
  <c r="AE53" i="6" s="1"/>
  <c r="DA7" i="6"/>
  <c r="DA53" i="6" s="1"/>
  <c r="AC7" i="6"/>
  <c r="AC53" i="6" s="1"/>
  <c r="AF7" i="6"/>
  <c r="AF53" i="6" s="1"/>
  <c r="AI7" i="6"/>
  <c r="AI53" i="6" s="1"/>
  <c r="BO7" i="6"/>
  <c r="BO53" i="6" s="1"/>
  <c r="H7" i="6"/>
  <c r="H53" i="6" s="1"/>
  <c r="BD7" i="6"/>
  <c r="BD53" i="6" s="1"/>
  <c r="CR7" i="6"/>
  <c r="CR53" i="6" s="1"/>
  <c r="AO7" i="6"/>
  <c r="AO53" i="6" s="1"/>
  <c r="BW7" i="6"/>
  <c r="BW53" i="6" s="1"/>
  <c r="V5" i="6"/>
  <c r="V51" i="6" s="1"/>
  <c r="AA5" i="6"/>
  <c r="CZ5" i="6"/>
  <c r="H5" i="6"/>
  <c r="CV5" i="6"/>
  <c r="BT5" i="6"/>
  <c r="CQ5" i="6"/>
  <c r="CU5" i="6"/>
  <c r="CN7" i="6"/>
  <c r="CN53" i="6" s="1"/>
  <c r="V7" i="6"/>
  <c r="V53" i="6" s="1"/>
  <c r="CQ7" i="6"/>
  <c r="CQ53" i="6" s="1"/>
  <c r="CU7" i="6"/>
  <c r="CU53" i="6" s="1"/>
  <c r="BU5" i="6"/>
  <c r="BR7" i="6"/>
  <c r="BR53" i="6" s="1"/>
  <c r="AL7" i="6"/>
  <c r="AL53" i="6" s="1"/>
  <c r="BH7" i="6"/>
  <c r="BH53" i="6" s="1"/>
  <c r="CF5" i="6"/>
  <c r="BQ7" i="6"/>
  <c r="BQ53" i="6" s="1"/>
  <c r="AO5" i="6"/>
  <c r="AS7" i="6"/>
  <c r="AS53" i="6" s="1"/>
  <c r="CM7" i="6"/>
  <c r="CM53" i="6" s="1"/>
  <c r="CZ7" i="6"/>
  <c r="CZ53" i="6" s="1"/>
  <c r="BY7" i="6"/>
  <c r="BY53" i="6" s="1"/>
  <c r="AD5" i="6"/>
  <c r="BD5" i="6"/>
  <c r="AJ5" i="6"/>
  <c r="CN5" i="6"/>
  <c r="BZ5" i="6"/>
  <c r="BS5" i="6"/>
  <c r="M5" i="6"/>
  <c r="AW5" i="6"/>
  <c r="BI5" i="6"/>
  <c r="BL5" i="6"/>
  <c r="CS5" i="6"/>
  <c r="CR5" i="6"/>
  <c r="BM7" i="6"/>
  <c r="BM53" i="6" s="1"/>
  <c r="BT7" i="6"/>
  <c r="BT53" i="6" s="1"/>
  <c r="P7" i="6"/>
  <c r="P53" i="6" s="1"/>
  <c r="R7" i="6"/>
  <c r="R53" i="6" s="1"/>
  <c r="CA7" i="6"/>
  <c r="CA53" i="6" s="1"/>
  <c r="BQ5" i="6"/>
  <c r="AX7" i="6"/>
  <c r="AX53" i="6" s="1"/>
  <c r="G7" i="6"/>
  <c r="G53" i="6" s="1"/>
  <c r="AY7" i="6"/>
  <c r="AY53" i="6" s="1"/>
  <c r="U7" i="6"/>
  <c r="U53" i="6" s="1"/>
  <c r="AR5" i="6"/>
  <c r="X7" i="6"/>
  <c r="X53" i="6" s="1"/>
  <c r="S7" i="6"/>
  <c r="S53" i="6" s="1"/>
  <c r="BJ7" i="6"/>
  <c r="BJ53" i="6" s="1"/>
  <c r="T7" i="6"/>
  <c r="T53" i="6" s="1"/>
  <c r="N7" i="6"/>
  <c r="N53" i="6" s="1"/>
  <c r="CX7" i="6"/>
  <c r="CX53" i="6" s="1"/>
  <c r="CG5" i="6"/>
  <c r="CJ5" i="6"/>
  <c r="AL5" i="6"/>
  <c r="O5" i="6"/>
  <c r="AQ5" i="6"/>
  <c r="AB5" i="6"/>
  <c r="BA7" i="6"/>
  <c r="BA53" i="6" s="1"/>
  <c r="AH5" i="6"/>
  <c r="AM5" i="6"/>
  <c r="CL5" i="6"/>
  <c r="BB5" i="6"/>
  <c r="CW5" i="6"/>
  <c r="CO5" i="6"/>
  <c r="BV5" i="6"/>
  <c r="L5" i="6"/>
  <c r="BA5" i="6"/>
  <c r="N5" i="6"/>
  <c r="AV5" i="6"/>
  <c r="BS7" i="6"/>
  <c r="BS53" i="6" s="1"/>
  <c r="AF5" i="6"/>
  <c r="CT7" i="6"/>
  <c r="CT53" i="6" s="1"/>
  <c r="CY7" i="6"/>
  <c r="CY53" i="6" s="1"/>
  <c r="BW5" i="6"/>
  <c r="Y5" i="6"/>
  <c r="W5" i="6"/>
  <c r="AX5" i="6"/>
  <c r="CO7" i="6"/>
  <c r="CO53" i="6" s="1"/>
  <c r="BB7" i="6"/>
  <c r="BB53" i="6" s="1"/>
  <c r="CC7" i="6"/>
  <c r="CC53" i="6" s="1"/>
  <c r="BZ7" i="6"/>
  <c r="BZ53" i="6" s="1"/>
  <c r="BG5" i="6"/>
  <c r="AB7" i="6"/>
  <c r="AB53" i="6" s="1"/>
  <c r="CW7" i="6"/>
  <c r="CW53" i="6" s="1"/>
  <c r="BI7" i="6"/>
  <c r="BI53" i="6" s="1"/>
  <c r="CH7" i="6"/>
  <c r="CH53" i="6" s="1"/>
  <c r="CJ7" i="6"/>
  <c r="CJ53" i="6" s="1"/>
  <c r="AA7" i="6"/>
  <c r="AA53" i="6" s="1"/>
  <c r="CK5" i="6"/>
  <c r="CF7" i="6"/>
  <c r="CF53" i="6" s="1"/>
  <c r="BG7" i="6"/>
  <c r="BG53" i="6" s="1"/>
  <c r="CL7" i="6"/>
  <c r="CL53" i="6" s="1"/>
  <c r="CE6" i="6"/>
  <c r="AT6" i="6"/>
  <c r="BH6" i="6"/>
  <c r="X6" i="6"/>
  <c r="AC6" i="6"/>
  <c r="AA6" i="6"/>
  <c r="CQ6" i="6"/>
  <c r="AB6" i="6"/>
  <c r="CN6" i="6"/>
  <c r="CH6" i="6"/>
  <c r="CT6" i="6"/>
  <c r="Q6" i="6"/>
  <c r="CX6" i="6"/>
  <c r="T6" i="6"/>
  <c r="Y6" i="6"/>
  <c r="G6" i="6"/>
  <c r="BF6" i="6"/>
  <c r="CJ6" i="6"/>
  <c r="CO6" i="6"/>
  <c r="J6" i="6"/>
  <c r="AN6" i="6"/>
  <c r="AS6" i="6"/>
  <c r="BM6" i="6"/>
  <c r="AU6" i="6"/>
  <c r="BX6" i="6"/>
  <c r="CC6" i="6"/>
  <c r="BK6" i="6"/>
  <c r="CA6" i="6"/>
  <c r="CK6" i="6"/>
  <c r="BS6" i="6"/>
  <c r="AI6" i="6"/>
  <c r="L6" i="6"/>
  <c r="BJ6" i="6"/>
  <c r="BV6" i="6"/>
  <c r="CZ6" i="6"/>
  <c r="N6" i="6"/>
  <c r="BO6" i="6"/>
  <c r="BD6" i="6"/>
  <c r="BI6" i="6"/>
  <c r="AJ6" i="6"/>
  <c r="P6" i="6"/>
  <c r="U6" i="6"/>
  <c r="AO6" i="6"/>
  <c r="W6" i="6"/>
  <c r="CU6" i="6"/>
  <c r="BP6" i="6"/>
  <c r="BZ6" i="6"/>
  <c r="Z6" i="6"/>
  <c r="AQ6" i="6"/>
  <c r="AD6" i="6"/>
  <c r="AP6" i="6"/>
  <c r="AX6" i="6"/>
  <c r="CB6" i="6"/>
  <c r="CG6" i="6"/>
  <c r="DA6" i="6"/>
  <c r="AF6" i="6"/>
  <c r="AK6" i="6"/>
  <c r="BE6" i="6"/>
  <c r="AM6" i="6"/>
  <c r="CL6" i="6"/>
  <c r="I6" i="6"/>
  <c r="CP6" i="6"/>
  <c r="F6" i="6"/>
  <c r="K6" i="6"/>
  <c r="F5" i="6"/>
  <c r="BB6" i="6"/>
  <c r="CF6" i="6"/>
  <c r="CR6" i="6"/>
  <c r="CW6" i="6"/>
  <c r="AY6" i="6"/>
  <c r="CY6" i="6"/>
  <c r="AZ6" i="6"/>
  <c r="BU6" i="6"/>
  <c r="BC6" i="6"/>
  <c r="CV6" i="6"/>
  <c r="H6" i="6"/>
  <c r="M6" i="6"/>
  <c r="AG6" i="6"/>
  <c r="O6" i="6"/>
  <c r="BN6" i="6"/>
  <c r="AR6" i="6"/>
  <c r="BR6" i="6"/>
  <c r="R6" i="6"/>
  <c r="AV6" i="6"/>
  <c r="BA6" i="6"/>
  <c r="CM6" i="6"/>
  <c r="BL6" i="6"/>
  <c r="BQ6" i="6"/>
  <c r="BT6" i="6"/>
  <c r="BY6" i="6"/>
  <c r="CS6" i="6"/>
  <c r="CI6" i="6"/>
  <c r="BW6" i="6"/>
  <c r="AW6" i="6"/>
  <c r="AE6" i="6"/>
  <c r="CD6" i="6"/>
  <c r="S6" i="6"/>
  <c r="V6" i="6"/>
  <c r="AH6" i="6"/>
  <c r="BG6" i="6"/>
  <c r="AL6" i="6"/>
  <c r="M16" i="5"/>
  <c r="BH149" i="6"/>
  <c r="BH155" i="6" s="1"/>
  <c r="CO150" i="6"/>
  <c r="CO156" i="6" s="1"/>
  <c r="BS150" i="6"/>
  <c r="BS156" i="6" s="1"/>
  <c r="BS149" i="6"/>
  <c r="BS155" i="6" s="1"/>
  <c r="Q149" i="6"/>
  <c r="Q155" i="6" s="1"/>
  <c r="CB151" i="6"/>
  <c r="CB157" i="6" s="1"/>
  <c r="W150" i="6"/>
  <c r="W156" i="6" s="1"/>
  <c r="BV148" i="6"/>
  <c r="CI147" i="6"/>
  <c r="BH151" i="6"/>
  <c r="BH157" i="6" s="1"/>
  <c r="CO149" i="6"/>
  <c r="CO155" i="6" s="1"/>
  <c r="Q150" i="6"/>
  <c r="Q156" i="6" s="1"/>
  <c r="AR151" i="6"/>
  <c r="AR157" i="6" s="1"/>
  <c r="AF151" i="6"/>
  <c r="AF157" i="6" s="1"/>
  <c r="AO151" i="6"/>
  <c r="AO157" i="6" s="1"/>
  <c r="AF150" i="6"/>
  <c r="AF153" i="6" s="1"/>
  <c r="T151" i="6"/>
  <c r="T157" i="6" s="1"/>
  <c r="W151" i="6"/>
  <c r="W157" i="6" s="1"/>
  <c r="BA150" i="6"/>
  <c r="BA156" i="6" s="1"/>
  <c r="BZ149" i="6"/>
  <c r="BZ152" i="6" s="1"/>
  <c r="F148" i="6"/>
  <c r="CA151" i="6"/>
  <c r="CA154" i="6" s="1"/>
  <c r="AO149" i="6"/>
  <c r="AO155" i="6" s="1"/>
  <c r="BZ150" i="6"/>
  <c r="BZ156" i="6" s="1"/>
  <c r="F146" i="6"/>
  <c r="CP149" i="6"/>
  <c r="CP155" i="6" s="1"/>
  <c r="AB151" i="6"/>
  <c r="AB154" i="6" s="1"/>
  <c r="CB149" i="6"/>
  <c r="CB155" i="6" s="1"/>
  <c r="AI146" i="6"/>
  <c r="CS149" i="6"/>
  <c r="CS155" i="6" s="1"/>
  <c r="CP150" i="6"/>
  <c r="CP156" i="6" s="1"/>
  <c r="CW148" i="6"/>
  <c r="AZ151" i="6"/>
  <c r="AZ157" i="6" s="1"/>
  <c r="CD150" i="6"/>
  <c r="CD156" i="6" s="1"/>
  <c r="CS151" i="6"/>
  <c r="CS157" i="6" s="1"/>
  <c r="Y150" i="6"/>
  <c r="Y156" i="6" s="1"/>
  <c r="AW151" i="6"/>
  <c r="AW157" i="6" s="1"/>
  <c r="AM150" i="6"/>
  <c r="AM156" i="6" s="1"/>
  <c r="AW150" i="6"/>
  <c r="AW153" i="6" s="1"/>
  <c r="AD150" i="6"/>
  <c r="AD156" i="6" s="1"/>
  <c r="AK149" i="6"/>
  <c r="AK155" i="6" s="1"/>
  <c r="AA147" i="6"/>
  <c r="DA151" i="6"/>
  <c r="DA157" i="6" s="1"/>
  <c r="AI148" i="6"/>
  <c r="U150" i="6"/>
  <c r="U153" i="6" s="1"/>
  <c r="BV146" i="6"/>
  <c r="U151" i="6"/>
  <c r="U157" i="6" s="1"/>
  <c r="AK151" i="6"/>
  <c r="AK157" i="6" s="1"/>
  <c r="AB149" i="6"/>
  <c r="AB155" i="6" s="1"/>
  <c r="DA150" i="6"/>
  <c r="DA156" i="6" s="1"/>
  <c r="CJ151" i="6"/>
  <c r="CJ157" i="6" s="1"/>
  <c r="AM151" i="6"/>
  <c r="AM157" i="6" s="1"/>
  <c r="CJ149" i="6"/>
  <c r="CJ152" i="6" s="1"/>
  <c r="CG150" i="6"/>
  <c r="CG156" i="6" s="1"/>
  <c r="BQ150" i="6"/>
  <c r="BQ156" i="6" s="1"/>
  <c r="F151" i="6"/>
  <c r="F157" i="6" s="1"/>
  <c r="P154" i="6"/>
  <c r="CA150" i="6"/>
  <c r="CA153" i="6" s="1"/>
  <c r="CK149" i="6"/>
  <c r="CK155" i="6" s="1"/>
  <c r="BM150" i="6"/>
  <c r="BM156" i="6" s="1"/>
  <c r="CK151" i="6"/>
  <c r="CK157" i="6" s="1"/>
  <c r="BP149" i="6"/>
  <c r="BP155" i="6" s="1"/>
  <c r="CR149" i="6"/>
  <c r="CR155" i="6" s="1"/>
  <c r="P149" i="6"/>
  <c r="P152" i="6" s="1"/>
  <c r="P150" i="6"/>
  <c r="P153" i="6" s="1"/>
  <c r="AY149" i="6"/>
  <c r="AY155" i="6" s="1"/>
  <c r="BM149" i="6"/>
  <c r="BM155" i="6" s="1"/>
  <c r="BP151" i="6"/>
  <c r="BP157" i="6" s="1"/>
  <c r="CR150" i="6"/>
  <c r="CR156" i="6" s="1"/>
  <c r="AY151" i="6"/>
  <c r="AY154" i="6" s="1"/>
  <c r="CB153" i="6"/>
  <c r="CQ147" i="6"/>
  <c r="BO149" i="6"/>
  <c r="BO155" i="6" s="1"/>
  <c r="CV153" i="6"/>
  <c r="G150" i="6"/>
  <c r="G153" i="6" s="1"/>
  <c r="AN150" i="6"/>
  <c r="AN156" i="6" s="1"/>
  <c r="CS153" i="6"/>
  <c r="F149" i="6"/>
  <c r="F155" i="6" s="1"/>
  <c r="AZ149" i="6"/>
  <c r="AZ155" i="6" s="1"/>
  <c r="M151" i="6"/>
  <c r="M157" i="6" s="1"/>
  <c r="M150" i="6"/>
  <c r="M156" i="6" s="1"/>
  <c r="Y149" i="6"/>
  <c r="T149" i="6"/>
  <c r="T155" i="6" s="1"/>
  <c r="Z149" i="6"/>
  <c r="Z155" i="6" s="1"/>
  <c r="CV149" i="6"/>
  <c r="CV155" i="6" s="1"/>
  <c r="CW147" i="6"/>
  <c r="Z150" i="6"/>
  <c r="Z156" i="6" s="1"/>
  <c r="BA149" i="6"/>
  <c r="BA155" i="6" s="1"/>
  <c r="CV151" i="6"/>
  <c r="CV157" i="6" s="1"/>
  <c r="DA152" i="6"/>
  <c r="CQ146" i="6"/>
  <c r="BO150" i="6"/>
  <c r="BO156" i="6" s="1"/>
  <c r="AL150" i="6"/>
  <c r="AL156" i="6" s="1"/>
  <c r="CD151" i="6"/>
  <c r="CD157" i="6" s="1"/>
  <c r="AF152" i="6"/>
  <c r="BM154" i="6"/>
  <c r="AB153" i="6"/>
  <c r="AB156" i="6"/>
  <c r="CJ156" i="6"/>
  <c r="CJ153" i="6"/>
  <c r="CG155" i="6"/>
  <c r="CG152" i="6"/>
  <c r="M152" i="6"/>
  <c r="M155" i="6"/>
  <c r="F153" i="6"/>
  <c r="F156" i="6"/>
  <c r="AN157" i="6"/>
  <c r="AN154" i="6"/>
  <c r="CG151" i="6"/>
  <c r="CG157" i="6" s="1"/>
  <c r="CT151" i="6"/>
  <c r="CT157" i="6" s="1"/>
  <c r="CT149" i="6"/>
  <c r="CT155" i="6" s="1"/>
  <c r="P157" i="6"/>
  <c r="CE150" i="6"/>
  <c r="CE153" i="6" s="1"/>
  <c r="CS156" i="6"/>
  <c r="BM157" i="6"/>
  <c r="AN149" i="6"/>
  <c r="AN155" i="6" s="1"/>
  <c r="AM152" i="6"/>
  <c r="CE151" i="6"/>
  <c r="CE157" i="6" s="1"/>
  <c r="BP153" i="6"/>
  <c r="AD149" i="6"/>
  <c r="AD155" i="6" s="1"/>
  <c r="G151" i="6"/>
  <c r="G154" i="6" s="1"/>
  <c r="AA148" i="6"/>
  <c r="BX149" i="6"/>
  <c r="BX155" i="6" s="1"/>
  <c r="BQ149" i="6"/>
  <c r="BQ155" i="6" s="1"/>
  <c r="CE152" i="6"/>
  <c r="BI151" i="6"/>
  <c r="BI157" i="6" s="1"/>
  <c r="AQ155" i="6"/>
  <c r="AQ152" i="6"/>
  <c r="AL152" i="6"/>
  <c r="AL155" i="6"/>
  <c r="CI146" i="6"/>
  <c r="AL151" i="6"/>
  <c r="AL157" i="6" s="1"/>
  <c r="CO154" i="6"/>
  <c r="Z154" i="6"/>
  <c r="AQ151" i="6"/>
  <c r="BI153" i="6"/>
  <c r="BA154" i="6"/>
  <c r="Q154" i="6"/>
  <c r="AR150" i="6"/>
  <c r="BX150" i="6"/>
  <c r="BX153" i="6" s="1"/>
  <c r="CT153" i="6"/>
  <c r="BS154" i="6"/>
  <c r="N150" i="6"/>
  <c r="BW151" i="6"/>
  <c r="AQ150" i="6"/>
  <c r="AQ156" i="6" s="1"/>
  <c r="AK153" i="6"/>
  <c r="N149" i="6"/>
  <c r="BW150" i="6"/>
  <c r="BW156" i="6" s="1"/>
  <c r="BI149" i="6"/>
  <c r="BI155" i="6" s="1"/>
  <c r="BW152" i="6"/>
  <c r="AD154" i="6"/>
  <c r="AZ153" i="6"/>
  <c r="BO154" i="6"/>
  <c r="L150" i="6"/>
  <c r="L151" i="6"/>
  <c r="L149" i="6"/>
  <c r="AA150" i="6"/>
  <c r="AA149" i="6"/>
  <c r="AA151" i="6"/>
  <c r="BL150" i="6"/>
  <c r="BL149" i="6"/>
  <c r="BL151" i="6"/>
  <c r="DA145" i="6"/>
  <c r="DA143" i="6"/>
  <c r="DA144" i="6"/>
  <c r="AY153" i="6"/>
  <c r="F143" i="6"/>
  <c r="F144" i="6"/>
  <c r="F145" i="6"/>
  <c r="CL145" i="6"/>
  <c r="CL143" i="6"/>
  <c r="CL144" i="6"/>
  <c r="CM151" i="6"/>
  <c r="CM149" i="6"/>
  <c r="CM150" i="6"/>
  <c r="AW152" i="6"/>
  <c r="CT143" i="6"/>
  <c r="CT145" i="6"/>
  <c r="CT144" i="6"/>
  <c r="CI149" i="6"/>
  <c r="CI150" i="6"/>
  <c r="CI151" i="6"/>
  <c r="Y143" i="6"/>
  <c r="Y144" i="6"/>
  <c r="Y145" i="6"/>
  <c r="CV143" i="6"/>
  <c r="CV144" i="6"/>
  <c r="CV145" i="6"/>
  <c r="CK153" i="6"/>
  <c r="CY145" i="6"/>
  <c r="CY143" i="6"/>
  <c r="CY144" i="6"/>
  <c r="Q144" i="6"/>
  <c r="Q145" i="6"/>
  <c r="Q143" i="6"/>
  <c r="W152" i="6"/>
  <c r="BO145" i="6"/>
  <c r="BO143" i="6"/>
  <c r="BO144" i="6"/>
  <c r="CB156" i="6"/>
  <c r="CZ143" i="6"/>
  <c r="CZ144" i="6"/>
  <c r="CZ145" i="6"/>
  <c r="N154" i="6"/>
  <c r="BC146" i="6"/>
  <c r="BC147" i="6"/>
  <c r="BC148" i="6"/>
  <c r="CF149" i="6"/>
  <c r="CF151" i="6"/>
  <c r="CF150" i="6"/>
  <c r="BM145" i="6"/>
  <c r="BM143" i="6"/>
  <c r="BM144" i="6"/>
  <c r="CA145" i="6"/>
  <c r="CA143" i="6"/>
  <c r="CA144" i="6"/>
  <c r="BQ154" i="6"/>
  <c r="BD145" i="6"/>
  <c r="BD143" i="6"/>
  <c r="BD144" i="6"/>
  <c r="CZ149" i="6"/>
  <c r="CZ151" i="6"/>
  <c r="CZ150" i="6"/>
  <c r="AH150" i="6"/>
  <c r="AH149" i="6"/>
  <c r="AH151" i="6"/>
  <c r="BX154" i="6"/>
  <c r="BX157" i="6"/>
  <c r="DA155" i="6"/>
  <c r="AO145" i="6"/>
  <c r="AO143" i="6"/>
  <c r="AO144" i="6"/>
  <c r="O150" i="6"/>
  <c r="O151" i="6"/>
  <c r="O149" i="6"/>
  <c r="CM143" i="6"/>
  <c r="CM144" i="6"/>
  <c r="CM145" i="6"/>
  <c r="CR154" i="6"/>
  <c r="CW143" i="6"/>
  <c r="CW144" i="6"/>
  <c r="CW145" i="6"/>
  <c r="BU143" i="6"/>
  <c r="BU145" i="6"/>
  <c r="BU144" i="6"/>
  <c r="CP154" i="6"/>
  <c r="CP157" i="6"/>
  <c r="CJ143" i="6"/>
  <c r="CJ145" i="6"/>
  <c r="CJ144" i="6"/>
  <c r="BB151" i="6"/>
  <c r="BB149" i="6"/>
  <c r="BB150" i="6"/>
  <c r="CW149" i="6"/>
  <c r="CW151" i="6"/>
  <c r="CW150" i="6"/>
  <c r="BO157" i="6"/>
  <c r="BY151" i="6"/>
  <c r="BY149" i="6"/>
  <c r="BY150" i="6"/>
  <c r="AQ143" i="6"/>
  <c r="AQ144" i="6"/>
  <c r="AQ145" i="6"/>
  <c r="K151" i="6"/>
  <c r="K149" i="6"/>
  <c r="K150" i="6"/>
  <c r="G155" i="6"/>
  <c r="G152" i="6"/>
  <c r="CH145" i="6"/>
  <c r="CH144" i="6"/>
  <c r="CH143" i="6"/>
  <c r="Z143" i="6"/>
  <c r="Z145" i="6"/>
  <c r="Z144" i="6"/>
  <c r="CA152" i="6"/>
  <c r="BF151" i="6"/>
  <c r="BF150" i="6"/>
  <c r="BF149" i="6"/>
  <c r="CE143" i="6"/>
  <c r="CE145" i="6"/>
  <c r="CE144" i="6"/>
  <c r="AJ143" i="6"/>
  <c r="AJ145" i="6"/>
  <c r="AJ144" i="6"/>
  <c r="BG145" i="6"/>
  <c r="BG143" i="6"/>
  <c r="BG144" i="6"/>
  <c r="CN149" i="6"/>
  <c r="CN151" i="6"/>
  <c r="CN150" i="6"/>
  <c r="T153" i="6"/>
  <c r="AD157" i="6"/>
  <c r="AC151" i="6"/>
  <c r="AC149" i="6"/>
  <c r="AC150" i="6"/>
  <c r="BJ151" i="6"/>
  <c r="BJ150" i="6"/>
  <c r="BJ149" i="6"/>
  <c r="K145" i="6"/>
  <c r="K144" i="6"/>
  <c r="K143" i="6"/>
  <c r="L144" i="6"/>
  <c r="L145" i="6"/>
  <c r="L143" i="6"/>
  <c r="AG145" i="6"/>
  <c r="AG143" i="6"/>
  <c r="AG144" i="6"/>
  <c r="AR144" i="6"/>
  <c r="AR143" i="6"/>
  <c r="AR145" i="6"/>
  <c r="BW145" i="6"/>
  <c r="BW144" i="6"/>
  <c r="BW143" i="6"/>
  <c r="CK144" i="6"/>
  <c r="CK145" i="6"/>
  <c r="CK143" i="6"/>
  <c r="J145" i="6"/>
  <c r="J143" i="6"/>
  <c r="J144" i="6"/>
  <c r="CQ149" i="6"/>
  <c r="CQ150" i="6"/>
  <c r="CQ151" i="6"/>
  <c r="CN143" i="6"/>
  <c r="CN145" i="6"/>
  <c r="CN144" i="6"/>
  <c r="BV145" i="6"/>
  <c r="BV143" i="6"/>
  <c r="BV144" i="6"/>
  <c r="H149" i="6"/>
  <c r="H150" i="6"/>
  <c r="H151" i="6"/>
  <c r="AP144" i="6"/>
  <c r="AP145" i="6"/>
  <c r="AP143" i="6"/>
  <c r="CC151" i="6"/>
  <c r="CC149" i="6"/>
  <c r="CC150" i="6"/>
  <c r="AC143" i="6"/>
  <c r="AC145" i="6"/>
  <c r="AC144" i="6"/>
  <c r="H144" i="6"/>
  <c r="H145" i="6"/>
  <c r="H143" i="6"/>
  <c r="BL143" i="6"/>
  <c r="BL144" i="6"/>
  <c r="BL145" i="6"/>
  <c r="BK144" i="6"/>
  <c r="BK143" i="6"/>
  <c r="BK145" i="6"/>
  <c r="AB143" i="6"/>
  <c r="AB145" i="6"/>
  <c r="AB144" i="6"/>
  <c r="BC145" i="6"/>
  <c r="BC143" i="6"/>
  <c r="BC144" i="6"/>
  <c r="V148" i="6"/>
  <c r="V147" i="6"/>
  <c r="V146" i="6"/>
  <c r="I149" i="6"/>
  <c r="I151" i="6"/>
  <c r="I150" i="6"/>
  <c r="R150" i="6"/>
  <c r="R151" i="6"/>
  <c r="R149" i="6"/>
  <c r="U155" i="6"/>
  <c r="U152" i="6"/>
  <c r="AK145" i="6"/>
  <c r="AK143" i="6"/>
  <c r="AK144" i="6"/>
  <c r="AI143" i="6"/>
  <c r="AI145" i="6"/>
  <c r="AI144" i="6"/>
  <c r="BK149" i="6"/>
  <c r="BK150" i="6"/>
  <c r="BK151" i="6"/>
  <c r="BY146" i="6"/>
  <c r="BY147" i="6"/>
  <c r="BY148" i="6"/>
  <c r="AS143" i="6"/>
  <c r="AS145" i="6"/>
  <c r="AS144" i="6"/>
  <c r="BY144" i="6"/>
  <c r="BY145" i="6"/>
  <c r="BY143" i="6"/>
  <c r="N143" i="6"/>
  <c r="N145" i="6"/>
  <c r="N144" i="6"/>
  <c r="CH149" i="6"/>
  <c r="CH150" i="6"/>
  <c r="CH151" i="6"/>
  <c r="CF143" i="6"/>
  <c r="CF145" i="6"/>
  <c r="CF144" i="6"/>
  <c r="BQ144" i="6"/>
  <c r="BQ143" i="6"/>
  <c r="BQ145" i="6"/>
  <c r="AR155" i="6"/>
  <c r="CD145" i="6"/>
  <c r="CD144" i="6"/>
  <c r="CD143" i="6"/>
  <c r="X149" i="6"/>
  <c r="X151" i="6"/>
  <c r="X150" i="6"/>
  <c r="AA143" i="6"/>
  <c r="AA145" i="6"/>
  <c r="AA144" i="6"/>
  <c r="CL149" i="6"/>
  <c r="CL151" i="6"/>
  <c r="CL150" i="6"/>
  <c r="CC144" i="6"/>
  <c r="CC145" i="6"/>
  <c r="CC143" i="6"/>
  <c r="AT143" i="6"/>
  <c r="AT145" i="6"/>
  <c r="AT144" i="6"/>
  <c r="BE151" i="6"/>
  <c r="BE150" i="6"/>
  <c r="BE149" i="6"/>
  <c r="M143" i="6"/>
  <c r="M145" i="6"/>
  <c r="M144" i="6"/>
  <c r="AP150" i="6"/>
  <c r="AP149" i="6"/>
  <c r="AP151" i="6"/>
  <c r="AW144" i="6"/>
  <c r="AW143" i="6"/>
  <c r="AW145" i="6"/>
  <c r="CT156" i="6"/>
  <c r="AD144" i="6"/>
  <c r="AD143" i="6"/>
  <c r="AD145" i="6"/>
  <c r="BS145" i="6"/>
  <c r="BS143" i="6"/>
  <c r="BS144" i="6"/>
  <c r="I143" i="6"/>
  <c r="I145" i="6"/>
  <c r="I144" i="6"/>
  <c r="BN143" i="6"/>
  <c r="BN144" i="6"/>
  <c r="BN145" i="6"/>
  <c r="BJ145" i="6"/>
  <c r="BJ144" i="6"/>
  <c r="BJ143" i="6"/>
  <c r="AV145" i="6"/>
  <c r="AV143" i="6"/>
  <c r="AV144" i="6"/>
  <c r="O145" i="6"/>
  <c r="O144" i="6"/>
  <c r="O143" i="6"/>
  <c r="AE143" i="6"/>
  <c r="AE145" i="6"/>
  <c r="AE144" i="6"/>
  <c r="BH156" i="6"/>
  <c r="BH153" i="6"/>
  <c r="CG143" i="6"/>
  <c r="CG144" i="6"/>
  <c r="CG145" i="6"/>
  <c r="BA145" i="6"/>
  <c r="BA143" i="6"/>
  <c r="BA144" i="6"/>
  <c r="AS150" i="6"/>
  <c r="AS149" i="6"/>
  <c r="AS151" i="6"/>
  <c r="V143" i="6"/>
  <c r="V145" i="6"/>
  <c r="V144" i="6"/>
  <c r="Z157" i="6"/>
  <c r="S144" i="6"/>
  <c r="S145" i="6"/>
  <c r="S143" i="6"/>
  <c r="BP145" i="6"/>
  <c r="BP143" i="6"/>
  <c r="BP144" i="6"/>
  <c r="BT145" i="6"/>
  <c r="BT143" i="6"/>
  <c r="BT144" i="6"/>
  <c r="BZ154" i="6"/>
  <c r="BZ157" i="6"/>
  <c r="BG150" i="6"/>
  <c r="BG149" i="6"/>
  <c r="BG151" i="6"/>
  <c r="CB143" i="6"/>
  <c r="CB145" i="6"/>
  <c r="CB144" i="6"/>
  <c r="CO145" i="6"/>
  <c r="CO143" i="6"/>
  <c r="CO144" i="6"/>
  <c r="AU150" i="6"/>
  <c r="AU149" i="6"/>
  <c r="AU151" i="6"/>
  <c r="BT150" i="6"/>
  <c r="BT151" i="6"/>
  <c r="BT149" i="6"/>
  <c r="AU143" i="6"/>
  <c r="AU145" i="6"/>
  <c r="AU144" i="6"/>
  <c r="AX145" i="6"/>
  <c r="AX144" i="6"/>
  <c r="AX143" i="6"/>
  <c r="BN151" i="6"/>
  <c r="BN149" i="6"/>
  <c r="BN150" i="6"/>
  <c r="J151" i="6"/>
  <c r="J149" i="6"/>
  <c r="J150" i="6"/>
  <c r="AT151" i="6"/>
  <c r="AT150" i="6"/>
  <c r="AT149" i="6"/>
  <c r="AN144" i="6"/>
  <c r="AN145" i="6"/>
  <c r="AN143" i="6"/>
  <c r="AY145" i="6"/>
  <c r="AY143" i="6"/>
  <c r="AY144" i="6"/>
  <c r="BC150" i="6"/>
  <c r="BC151" i="6"/>
  <c r="BC149" i="6"/>
  <c r="AO153" i="6"/>
  <c r="CY151" i="6"/>
  <c r="CY150" i="6"/>
  <c r="CY149" i="6"/>
  <c r="R143" i="6"/>
  <c r="R145" i="6"/>
  <c r="R144" i="6"/>
  <c r="BF145" i="6"/>
  <c r="BF144" i="6"/>
  <c r="BF143" i="6"/>
  <c r="CD148" i="6"/>
  <c r="CD147" i="6"/>
  <c r="CD146" i="6"/>
  <c r="CD152" i="6" s="1"/>
  <c r="CS143" i="6"/>
  <c r="CS145" i="6"/>
  <c r="CS144" i="6"/>
  <c r="AM145" i="6"/>
  <c r="AM144" i="6"/>
  <c r="AM143" i="6"/>
  <c r="BE143" i="6"/>
  <c r="BE145" i="6"/>
  <c r="BE144" i="6"/>
  <c r="V149" i="6"/>
  <c r="V151" i="6"/>
  <c r="V150" i="6"/>
  <c r="BR151" i="6"/>
  <c r="BR149" i="6"/>
  <c r="BR150" i="6"/>
  <c r="AI149" i="6"/>
  <c r="AI150" i="6"/>
  <c r="AI151" i="6"/>
  <c r="BB143" i="6"/>
  <c r="BB145" i="6"/>
  <c r="BB144" i="6"/>
  <c r="CU150" i="6"/>
  <c r="CU149" i="6"/>
  <c r="CU151" i="6"/>
  <c r="AE151" i="6"/>
  <c r="AE149" i="6"/>
  <c r="AE150" i="6"/>
  <c r="P143" i="6"/>
  <c r="P145" i="6"/>
  <c r="P144" i="6"/>
  <c r="Y154" i="6"/>
  <c r="CX150" i="6"/>
  <c r="CX149" i="6"/>
  <c r="CX151" i="6"/>
  <c r="AJ150" i="6"/>
  <c r="AJ151" i="6"/>
  <c r="AJ149" i="6"/>
  <c r="AX149" i="6"/>
  <c r="AX151" i="6"/>
  <c r="AX150" i="6"/>
  <c r="S150" i="6"/>
  <c r="S149" i="6"/>
  <c r="S151" i="6"/>
  <c r="BI145" i="6"/>
  <c r="BI143" i="6"/>
  <c r="BI144" i="6"/>
  <c r="AV149" i="6"/>
  <c r="AV151" i="6"/>
  <c r="AV150" i="6"/>
  <c r="AL143" i="6"/>
  <c r="AL145" i="6"/>
  <c r="AL144" i="6"/>
  <c r="W145" i="6"/>
  <c r="W143" i="6"/>
  <c r="W144" i="6"/>
  <c r="CU143" i="6"/>
  <c r="CU145" i="6"/>
  <c r="CU144" i="6"/>
  <c r="BR144" i="6"/>
  <c r="BR143" i="6"/>
  <c r="BR145" i="6"/>
  <c r="BV149" i="6"/>
  <c r="BV151" i="6"/>
  <c r="BV150" i="6"/>
  <c r="BU151" i="6"/>
  <c r="BU150" i="6"/>
  <c r="BU149" i="6"/>
  <c r="X144" i="6"/>
  <c r="X145" i="6"/>
  <c r="X143" i="6"/>
  <c r="BD149" i="6"/>
  <c r="BD150" i="6"/>
  <c r="BD151" i="6"/>
  <c r="AF144" i="6"/>
  <c r="AF145" i="6"/>
  <c r="AF143" i="6"/>
  <c r="CX145" i="6"/>
  <c r="CX143" i="6"/>
  <c r="CX144" i="6"/>
  <c r="AG150" i="6"/>
  <c r="AG149" i="6"/>
  <c r="AG151" i="6"/>
  <c r="AH145" i="6"/>
  <c r="AH143" i="6"/>
  <c r="AH144" i="6"/>
  <c r="T144" i="6"/>
  <c r="T143" i="6"/>
  <c r="T145" i="6"/>
  <c r="AZ143" i="6"/>
  <c r="AZ145" i="6"/>
  <c r="AZ144" i="6"/>
  <c r="CR145" i="6"/>
  <c r="CR143" i="6"/>
  <c r="CR144" i="6"/>
  <c r="CQ144" i="6"/>
  <c r="CQ143" i="6"/>
  <c r="CQ145" i="6"/>
  <c r="CI145" i="6"/>
  <c r="CI143" i="6"/>
  <c r="CI144" i="6"/>
  <c r="BS161" i="6" l="1" a="1"/>
  <c r="BS153" i="6"/>
  <c r="Q152" i="6"/>
  <c r="Q161" i="6" a="1"/>
  <c r="AF156" i="6"/>
  <c r="AF161" i="6" s="1" a="1"/>
  <c r="AG55" i="6"/>
  <c r="AO55" i="6"/>
  <c r="AP55" i="6"/>
  <c r="AP60" i="6" s="1"/>
  <c r="W55" i="6"/>
  <c r="W60" i="6" s="1"/>
  <c r="CG55" i="6"/>
  <c r="CG60" i="6" s="1"/>
  <c r="AD55" i="6"/>
  <c r="AD60" i="6" s="1"/>
  <c r="Y55" i="6"/>
  <c r="Y60" i="6" s="1"/>
  <c r="Q55" i="6"/>
  <c r="V55" i="6"/>
  <c r="BA55" i="6"/>
  <c r="CI55" i="6"/>
  <c r="CI60" i="6" s="1"/>
  <c r="CB55" i="6"/>
  <c r="BU55" i="6"/>
  <c r="BU60" i="6" s="1"/>
  <c r="BZ55" i="6"/>
  <c r="I55" i="6"/>
  <c r="I60" i="6" s="1"/>
  <c r="O55" i="6"/>
  <c r="O60" i="6" s="1"/>
  <c r="L55" i="6"/>
  <c r="K55" i="6"/>
  <c r="K60" i="6" s="1"/>
  <c r="BJ55" i="6"/>
  <c r="BO55" i="6"/>
  <c r="R55" i="6"/>
  <c r="R60" i="6" s="1"/>
  <c r="AR55" i="6"/>
  <c r="AC55" i="6"/>
  <c r="BD55" i="6"/>
  <c r="H55" i="6"/>
  <c r="H60" i="6" s="1"/>
  <c r="CW55" i="6"/>
  <c r="CW60" i="6" s="1"/>
  <c r="AB55" i="6"/>
  <c r="AU55" i="6"/>
  <c r="AU60" i="6" s="1"/>
  <c r="BB55" i="6"/>
  <c r="BB60" i="6" s="1"/>
  <c r="CT55" i="6"/>
  <c r="BW55" i="6"/>
  <c r="CA55" i="6"/>
  <c r="CA60" i="6" s="1"/>
  <c r="AJ55" i="6"/>
  <c r="AJ60" i="6" s="1"/>
  <c r="BT55" i="6"/>
  <c r="BT60" i="6" s="1"/>
  <c r="AM55" i="6"/>
  <c r="CE55" i="6"/>
  <c r="CO55" i="6"/>
  <c r="CO60" i="6" s="1"/>
  <c r="BG55" i="6"/>
  <c r="BG60" i="6" s="1"/>
  <c r="CU55" i="6"/>
  <c r="F9" i="6"/>
  <c r="F18" i="6" s="1"/>
  <c r="AE55" i="6"/>
  <c r="BX55" i="6"/>
  <c r="CM55" i="6"/>
  <c r="CL55" i="6"/>
  <c r="CL60" i="6" s="1"/>
  <c r="T55" i="6"/>
  <c r="T60" i="6" s="1"/>
  <c r="BK55" i="6"/>
  <c r="BK60" i="6" s="1"/>
  <c r="U55" i="6"/>
  <c r="DA55" i="6"/>
  <c r="X55" i="6"/>
  <c r="X60" i="6" s="1"/>
  <c r="CD55" i="6"/>
  <c r="CD60" i="6" s="1"/>
  <c r="S55" i="6"/>
  <c r="S60" i="6" s="1"/>
  <c r="AK55" i="6"/>
  <c r="BH55" i="6"/>
  <c r="BH60" i="6" s="1"/>
  <c r="N55" i="6"/>
  <c r="AH55" i="6"/>
  <c r="BY55" i="6"/>
  <c r="AX55" i="6"/>
  <c r="CF55" i="6"/>
  <c r="BS55" i="6"/>
  <c r="BF55" i="6"/>
  <c r="AV55" i="6"/>
  <c r="AA55" i="6"/>
  <c r="AS55" i="6"/>
  <c r="AZ55" i="6"/>
  <c r="AW55" i="6"/>
  <c r="F55" i="6"/>
  <c r="AL55" i="6"/>
  <c r="AL60" i="6" s="1"/>
  <c r="BN55" i="6"/>
  <c r="BL55" i="6"/>
  <c r="BL60" i="6" s="1"/>
  <c r="CP55" i="6"/>
  <c r="CP60" i="6" s="1"/>
  <c r="AQ55" i="6"/>
  <c r="BR55" i="6"/>
  <c r="BR60" i="6" s="1"/>
  <c r="AI55" i="6"/>
  <c r="CV55" i="6"/>
  <c r="AN55" i="6"/>
  <c r="AN60" i="6" s="1"/>
  <c r="M55" i="6"/>
  <c r="BI55" i="6"/>
  <c r="J55" i="6"/>
  <c r="J60" i="6" s="1"/>
  <c r="CN55" i="6"/>
  <c r="CN60" i="6" s="1"/>
  <c r="AY55" i="6"/>
  <c r="AY60" i="6" s="1"/>
  <c r="BM55" i="6"/>
  <c r="BQ55" i="6"/>
  <c r="BQ60" i="6" s="1"/>
  <c r="CS55" i="6"/>
  <c r="P55" i="6"/>
  <c r="CX55" i="6"/>
  <c r="CX60" i="6" s="1"/>
  <c r="CJ55" i="6"/>
  <c r="BP55" i="6"/>
  <c r="BP60" i="6" s="1"/>
  <c r="Z55" i="6"/>
  <c r="CQ55" i="6"/>
  <c r="BV55" i="6"/>
  <c r="CR55" i="6"/>
  <c r="CR60" i="6" s="1"/>
  <c r="CH55" i="6"/>
  <c r="AF55" i="6"/>
  <c r="F52" i="6"/>
  <c r="AT55" i="6"/>
  <c r="BC55" i="6"/>
  <c r="CC55" i="6"/>
  <c r="CC60" i="6" s="1"/>
  <c r="CK55" i="6"/>
  <c r="CK60" i="6" s="1"/>
  <c r="G55" i="6"/>
  <c r="CY55" i="6"/>
  <c r="BE55" i="6"/>
  <c r="CZ55" i="6"/>
  <c r="BM52" i="6"/>
  <c r="BM9" i="6"/>
  <c r="BM18" i="6" s="1"/>
  <c r="AH51" i="6"/>
  <c r="AH8" i="6"/>
  <c r="AH17" i="6" s="1"/>
  <c r="BF51" i="6"/>
  <c r="BF8" i="6"/>
  <c r="BF17" i="6" s="1"/>
  <c r="CE51" i="6"/>
  <c r="CE8" i="6"/>
  <c r="CE17" i="6" s="1"/>
  <c r="CA51" i="6"/>
  <c r="CA8" i="6"/>
  <c r="CA17" i="6" s="1"/>
  <c r="G51" i="6"/>
  <c r="G8" i="6"/>
  <c r="G17" i="6" s="1"/>
  <c r="T52" i="6"/>
  <c r="T9" i="6"/>
  <c r="T18" i="6" s="1"/>
  <c r="AE52" i="6"/>
  <c r="AE9" i="6"/>
  <c r="AE18" i="6" s="1"/>
  <c r="BZ52" i="6"/>
  <c r="BZ9" i="6"/>
  <c r="BZ18" i="6" s="1"/>
  <c r="CQ52" i="6"/>
  <c r="CQ9" i="6"/>
  <c r="CQ18" i="6" s="1"/>
  <c r="H51" i="6"/>
  <c r="H8" i="6"/>
  <c r="H17" i="6" s="1"/>
  <c r="AY52" i="6"/>
  <c r="AY9" i="6"/>
  <c r="AY18" i="6" s="1"/>
  <c r="AS52" i="6"/>
  <c r="AS9" i="6"/>
  <c r="AS18" i="6" s="1"/>
  <c r="BH152" i="6"/>
  <c r="O52" i="6"/>
  <c r="O9" i="6"/>
  <c r="O18" i="6" s="1"/>
  <c r="BI52" i="6"/>
  <c r="BI9" i="6"/>
  <c r="BI18" i="6" s="1"/>
  <c r="CP52" i="6"/>
  <c r="CP9" i="6"/>
  <c r="CP18" i="6" s="1"/>
  <c r="BD52" i="6"/>
  <c r="BD9" i="6"/>
  <c r="BD18" i="6" s="1"/>
  <c r="BL52" i="6"/>
  <c r="BL9" i="6"/>
  <c r="BL18" i="6" s="1"/>
  <c r="AI52" i="6"/>
  <c r="AI9" i="6"/>
  <c r="AI18" i="6" s="1"/>
  <c r="Y51" i="6"/>
  <c r="Y8" i="6"/>
  <c r="Y17" i="6" s="1"/>
  <c r="BZ51" i="6"/>
  <c r="BZ8" i="6"/>
  <c r="BZ17" i="6" s="1"/>
  <c r="CC51" i="6"/>
  <c r="CC8" i="6"/>
  <c r="CC17" i="6" s="1"/>
  <c r="AW52" i="6"/>
  <c r="AW9" i="6"/>
  <c r="AW18" i="6" s="1"/>
  <c r="CG9" i="6"/>
  <c r="CG18" i="6" s="1"/>
  <c r="CG52" i="6"/>
  <c r="CY52" i="6"/>
  <c r="CY9" i="6"/>
  <c r="CY18" i="6" s="1"/>
  <c r="Y52" i="6"/>
  <c r="Y9" i="6"/>
  <c r="Y18" i="6" s="1"/>
  <c r="BA51" i="6"/>
  <c r="BA8" i="6"/>
  <c r="BA17" i="6" s="1"/>
  <c r="BY51" i="6"/>
  <c r="BY8" i="6"/>
  <c r="BY17" i="6" s="1"/>
  <c r="CM52" i="6"/>
  <c r="CM9" i="6"/>
  <c r="CM18" i="6" s="1"/>
  <c r="BP52" i="6"/>
  <c r="BP9" i="6"/>
  <c r="BP18" i="6" s="1"/>
  <c r="DA9" i="6"/>
  <c r="DA18" i="6" s="1"/>
  <c r="DA52" i="6"/>
  <c r="Z8" i="6"/>
  <c r="Z17" i="6" s="1"/>
  <c r="Z51" i="6"/>
  <c r="AG52" i="6"/>
  <c r="AG9" i="6"/>
  <c r="AG18" i="6" s="1"/>
  <c r="BS52" i="6"/>
  <c r="BS9" i="6"/>
  <c r="BS18" i="6" s="1"/>
  <c r="AA52" i="6"/>
  <c r="AA9" i="6"/>
  <c r="AA18" i="6" s="1"/>
  <c r="BG51" i="6"/>
  <c r="BG8" i="6"/>
  <c r="BG17" i="6" s="1"/>
  <c r="BW51" i="6"/>
  <c r="BW8" i="6"/>
  <c r="BW17" i="6" s="1"/>
  <c r="L51" i="6"/>
  <c r="L8" i="6"/>
  <c r="L17" i="6" s="1"/>
  <c r="CR51" i="6"/>
  <c r="CR8" i="6"/>
  <c r="CR17" i="6" s="1"/>
  <c r="CN51" i="6"/>
  <c r="CN8" i="6"/>
  <c r="CN17" i="6" s="1"/>
  <c r="AO51" i="6"/>
  <c r="AO8" i="6"/>
  <c r="AO17" i="6" s="1"/>
  <c r="CZ51" i="6"/>
  <c r="CZ8" i="6"/>
  <c r="CZ17" i="6" s="1"/>
  <c r="Q51" i="6"/>
  <c r="Q8" i="6"/>
  <c r="Q17" i="6" s="1"/>
  <c r="AU51" i="6"/>
  <c r="AU8" i="6"/>
  <c r="AU17" i="6" s="1"/>
  <c r="CP51" i="6"/>
  <c r="CP8" i="6"/>
  <c r="CP17" i="6" s="1"/>
  <c r="AC51" i="6"/>
  <c r="AC8" i="6"/>
  <c r="AC17" i="6" s="1"/>
  <c r="BN51" i="6"/>
  <c r="BN8" i="6"/>
  <c r="BN17" i="6" s="1"/>
  <c r="BE56" i="6"/>
  <c r="CM56" i="6"/>
  <c r="N56" i="6"/>
  <c r="AU56" i="6"/>
  <c r="AQ56" i="6"/>
  <c r="BI56" i="6"/>
  <c r="AT56" i="6"/>
  <c r="DA56" i="6"/>
  <c r="CE56" i="6"/>
  <c r="BP56" i="6"/>
  <c r="CK56" i="6"/>
  <c r="BC56" i="6"/>
  <c r="AC56" i="6"/>
  <c r="Y56" i="6"/>
  <c r="AB56" i="6"/>
  <c r="CQ56" i="6"/>
  <c r="BL56" i="6"/>
  <c r="S56" i="6"/>
  <c r="AE56" i="6"/>
  <c r="CJ56" i="6"/>
  <c r="AF56" i="6"/>
  <c r="BB56" i="6"/>
  <c r="BF56" i="6"/>
  <c r="CX56" i="6"/>
  <c r="AS56" i="6"/>
  <c r="H56" i="6"/>
  <c r="AI56" i="6"/>
  <c r="CU56" i="6"/>
  <c r="F53" i="6"/>
  <c r="AR56" i="6"/>
  <c r="BK56" i="6"/>
  <c r="G56" i="6"/>
  <c r="AL56" i="6"/>
  <c r="T56" i="6"/>
  <c r="BY56" i="6"/>
  <c r="BJ56" i="6"/>
  <c r="AW56" i="6"/>
  <c r="CC56" i="6"/>
  <c r="AD56" i="6"/>
  <c r="AX56" i="6"/>
  <c r="CY56" i="6"/>
  <c r="Q56" i="6"/>
  <c r="AV56" i="6"/>
  <c r="CO56" i="6"/>
  <c r="BM56" i="6"/>
  <c r="AA56" i="6"/>
  <c r="AP56" i="6"/>
  <c r="AY56" i="6"/>
  <c r="CP56" i="6"/>
  <c r="CV56" i="6"/>
  <c r="CI56" i="6"/>
  <c r="P56" i="6"/>
  <c r="CW56" i="6"/>
  <c r="CB56" i="6"/>
  <c r="F56" i="6"/>
  <c r="BG56" i="6"/>
  <c r="BQ56" i="6"/>
  <c r="BW56" i="6"/>
  <c r="CH56" i="6"/>
  <c r="CT56" i="6"/>
  <c r="BV56" i="6"/>
  <c r="R56" i="6"/>
  <c r="U56" i="6"/>
  <c r="AO56" i="6"/>
  <c r="CG56" i="6"/>
  <c r="BN56" i="6"/>
  <c r="BT56" i="6"/>
  <c r="AM56" i="6"/>
  <c r="BA56" i="6"/>
  <c r="AJ56" i="6"/>
  <c r="BU56" i="6"/>
  <c r="V56" i="6"/>
  <c r="AK56" i="6"/>
  <c r="I56" i="6"/>
  <c r="L56" i="6"/>
  <c r="BZ56" i="6"/>
  <c r="O56" i="6"/>
  <c r="BR56" i="6"/>
  <c r="J56" i="6"/>
  <c r="CL56" i="6"/>
  <c r="BD56" i="6"/>
  <c r="BH56" i="6"/>
  <c r="CN56" i="6"/>
  <c r="AZ56" i="6"/>
  <c r="AN56" i="6"/>
  <c r="CF56" i="6"/>
  <c r="AG56" i="6"/>
  <c r="M56" i="6"/>
  <c r="AH56" i="6"/>
  <c r="Z56" i="6"/>
  <c r="X56" i="6"/>
  <c r="CZ56" i="6"/>
  <c r="CS56" i="6"/>
  <c r="BX56" i="6"/>
  <c r="BO56" i="6"/>
  <c r="CR56" i="6"/>
  <c r="W56" i="6"/>
  <c r="BS56" i="6"/>
  <c r="CA56" i="6"/>
  <c r="K56" i="6"/>
  <c r="CD56" i="6"/>
  <c r="AL52" i="6"/>
  <c r="AL9" i="6"/>
  <c r="AL18" i="6" s="1"/>
  <c r="BW52" i="6"/>
  <c r="BW9" i="6"/>
  <c r="BW18" i="6" s="1"/>
  <c r="BA52" i="6"/>
  <c r="BA9" i="6"/>
  <c r="BA18" i="6" s="1"/>
  <c r="M52" i="6"/>
  <c r="M9" i="6"/>
  <c r="M18" i="6" s="1"/>
  <c r="CW52" i="6"/>
  <c r="CW9" i="6"/>
  <c r="CW18" i="6" s="1"/>
  <c r="I52" i="6"/>
  <c r="I9" i="6"/>
  <c r="I18" i="6" s="1"/>
  <c r="CB52" i="6"/>
  <c r="CB9" i="6"/>
  <c r="CB18" i="6" s="1"/>
  <c r="CU52" i="6"/>
  <c r="CU9" i="6"/>
  <c r="CU18" i="6" s="1"/>
  <c r="BO52" i="6"/>
  <c r="BO9" i="6"/>
  <c r="BO18" i="6" s="1"/>
  <c r="CK52" i="6"/>
  <c r="CK9" i="6"/>
  <c r="CK18" i="6" s="1"/>
  <c r="AN52" i="6"/>
  <c r="AN9" i="6"/>
  <c r="AN18" i="6" s="1"/>
  <c r="CX9" i="6"/>
  <c r="CX18" i="6" s="1"/>
  <c r="CX52" i="6"/>
  <c r="AC52" i="6"/>
  <c r="AC9" i="6"/>
  <c r="AC18" i="6" s="1"/>
  <c r="CK51" i="6"/>
  <c r="CK64" i="6" s="1" a="1"/>
  <c r="CK8" i="6"/>
  <c r="CK17" i="6" s="1"/>
  <c r="BV51" i="6"/>
  <c r="BV8" i="6"/>
  <c r="BV17" i="6" s="1"/>
  <c r="AB51" i="6"/>
  <c r="AB8" i="6"/>
  <c r="AB17" i="6" s="1"/>
  <c r="CS51" i="6"/>
  <c r="CS8" i="6"/>
  <c r="CS17" i="6" s="1"/>
  <c r="AJ51" i="6"/>
  <c r="AJ8" i="6"/>
  <c r="AJ17" i="6" s="1"/>
  <c r="AA51" i="6"/>
  <c r="AA64" i="6" s="1" a="1"/>
  <c r="AA8" i="6"/>
  <c r="AA17" i="6" s="1"/>
  <c r="AI8" i="6"/>
  <c r="AI17" i="6" s="1"/>
  <c r="AI51" i="6"/>
  <c r="AP51" i="6"/>
  <c r="AP8" i="6"/>
  <c r="AP17" i="6" s="1"/>
  <c r="U51" i="6"/>
  <c r="U8" i="6"/>
  <c r="U17" i="6" s="1"/>
  <c r="DA51" i="6"/>
  <c r="DA8" i="6"/>
  <c r="DA17" i="6" s="1"/>
  <c r="CD51" i="6"/>
  <c r="CD8" i="6"/>
  <c r="CD17" i="6" s="1"/>
  <c r="X51" i="6"/>
  <c r="X8" i="6"/>
  <c r="X17" i="6" s="1"/>
  <c r="BM51" i="6"/>
  <c r="BM8" i="6"/>
  <c r="BM17" i="6" s="1"/>
  <c r="BG52" i="6"/>
  <c r="BG9" i="6"/>
  <c r="BG18" i="6" s="1"/>
  <c r="CI52" i="6"/>
  <c r="CI9" i="6"/>
  <c r="CI18" i="6" s="1"/>
  <c r="AV52" i="6"/>
  <c r="AV9" i="6"/>
  <c r="AV18" i="6" s="1"/>
  <c r="H52" i="6"/>
  <c r="H9" i="6"/>
  <c r="H18" i="6" s="1"/>
  <c r="CR52" i="6"/>
  <c r="CR9" i="6"/>
  <c r="CR18" i="6" s="1"/>
  <c r="CL52" i="6"/>
  <c r="CL9" i="6"/>
  <c r="CL18" i="6" s="1"/>
  <c r="AX9" i="6"/>
  <c r="AX18" i="6" s="1"/>
  <c r="AX52" i="6"/>
  <c r="W52" i="6"/>
  <c r="W9" i="6"/>
  <c r="W18" i="6" s="1"/>
  <c r="N9" i="6"/>
  <c r="N18" i="6" s="1"/>
  <c r="N52" i="6"/>
  <c r="CA52" i="6"/>
  <c r="CA9" i="6"/>
  <c r="CA18" i="6" s="1"/>
  <c r="J52" i="6"/>
  <c r="J9" i="6"/>
  <c r="J18" i="6" s="1"/>
  <c r="Q52" i="6"/>
  <c r="Q9" i="6"/>
  <c r="Q18" i="6" s="1"/>
  <c r="X52" i="6"/>
  <c r="X9" i="6"/>
  <c r="X18" i="6" s="1"/>
  <c r="CO51" i="6"/>
  <c r="CO8" i="6"/>
  <c r="CO17" i="6" s="1"/>
  <c r="AQ51" i="6"/>
  <c r="AQ8" i="6"/>
  <c r="AQ17" i="6" s="1"/>
  <c r="BQ51" i="6"/>
  <c r="BQ8" i="6"/>
  <c r="BQ17" i="6" s="1"/>
  <c r="BL51" i="6"/>
  <c r="BL8" i="6"/>
  <c r="BL17" i="6" s="1"/>
  <c r="BD51" i="6"/>
  <c r="BD8" i="6"/>
  <c r="BD17" i="6" s="1"/>
  <c r="CF51" i="6"/>
  <c r="CF8" i="6"/>
  <c r="CF17" i="6" s="1"/>
  <c r="BH51" i="6"/>
  <c r="BH8" i="6"/>
  <c r="BH17" i="6" s="1"/>
  <c r="BR51" i="6"/>
  <c r="BR8" i="6"/>
  <c r="BR17" i="6" s="1"/>
  <c r="CI51" i="6"/>
  <c r="CI8" i="6"/>
  <c r="CI17" i="6" s="1"/>
  <c r="BX51" i="6"/>
  <c r="BX8" i="6"/>
  <c r="BX17" i="6" s="1"/>
  <c r="K51" i="6"/>
  <c r="K8" i="6"/>
  <c r="K17" i="6" s="1"/>
  <c r="CT51" i="6"/>
  <c r="CT8" i="6"/>
  <c r="CT17" i="6" s="1"/>
  <c r="AH52" i="6"/>
  <c r="AH64" i="6" s="1" a="1"/>
  <c r="AH9" i="6"/>
  <c r="AH18" i="6" s="1"/>
  <c r="CS52" i="6"/>
  <c r="CS64" i="6" s="1" a="1"/>
  <c r="CS9" i="6"/>
  <c r="CS18" i="6" s="1"/>
  <c r="R52" i="6"/>
  <c r="R9" i="6"/>
  <c r="R18" i="6" s="1"/>
  <c r="CV52" i="6"/>
  <c r="CV9" i="6"/>
  <c r="CV18" i="6" s="1"/>
  <c r="CF52" i="6"/>
  <c r="CF9" i="6"/>
  <c r="CF18" i="6" s="1"/>
  <c r="AM52" i="6"/>
  <c r="AM9" i="6"/>
  <c r="AM18" i="6" s="1"/>
  <c r="AP52" i="6"/>
  <c r="AP9" i="6"/>
  <c r="AP18" i="6" s="1"/>
  <c r="AO9" i="6"/>
  <c r="AO18" i="6" s="1"/>
  <c r="AO52" i="6"/>
  <c r="CZ52" i="6"/>
  <c r="CZ9" i="6"/>
  <c r="CZ18" i="6" s="1"/>
  <c r="BK9" i="6"/>
  <c r="BK18" i="6" s="1"/>
  <c r="BK52" i="6"/>
  <c r="CO52" i="6"/>
  <c r="CO9" i="6"/>
  <c r="CO18" i="6" s="1"/>
  <c r="CT52" i="6"/>
  <c r="CT9" i="6"/>
  <c r="CT18" i="6" s="1"/>
  <c r="BH52" i="6"/>
  <c r="BH9" i="6"/>
  <c r="BH18" i="6" s="1"/>
  <c r="AF8" i="6"/>
  <c r="AF17" i="6" s="1"/>
  <c r="AF51" i="6"/>
  <c r="CW51" i="6"/>
  <c r="CW8" i="6"/>
  <c r="CW17" i="6" s="1"/>
  <c r="O51" i="6"/>
  <c r="O8" i="6"/>
  <c r="O17" i="6" s="1"/>
  <c r="BI51" i="6"/>
  <c r="BI8" i="6"/>
  <c r="BI17" i="6" s="1"/>
  <c r="AD51" i="6"/>
  <c r="AD8" i="6"/>
  <c r="AD17" i="6" s="1"/>
  <c r="CU8" i="6"/>
  <c r="CU17" i="6" s="1"/>
  <c r="CU51" i="6"/>
  <c r="BJ51" i="6"/>
  <c r="BJ8" i="6"/>
  <c r="BJ17" i="6" s="1"/>
  <c r="CY51" i="6"/>
  <c r="CY8" i="6"/>
  <c r="CY17" i="6" s="1"/>
  <c r="T51" i="6"/>
  <c r="T64" i="6" s="1" a="1"/>
  <c r="T8" i="6"/>
  <c r="T17" i="6" s="1"/>
  <c r="AT51" i="6"/>
  <c r="AT8" i="6"/>
  <c r="AT17" i="6" s="1"/>
  <c r="I51" i="6"/>
  <c r="I8" i="6"/>
  <c r="I17" i="6" s="1"/>
  <c r="AY51" i="6"/>
  <c r="AY8" i="6"/>
  <c r="AY17" i="6" s="1"/>
  <c r="CH51" i="6"/>
  <c r="CH8" i="6"/>
  <c r="CH17" i="6" s="1"/>
  <c r="V8" i="6"/>
  <c r="V17" i="6" s="1"/>
  <c r="V9" i="6"/>
  <c r="V18" i="6" s="1"/>
  <c r="V52" i="6"/>
  <c r="V64" i="6" s="1" a="1"/>
  <c r="BY52" i="6"/>
  <c r="BY9" i="6"/>
  <c r="BY18" i="6" s="1"/>
  <c r="BR52" i="6"/>
  <c r="BR9" i="6"/>
  <c r="BR18" i="6" s="1"/>
  <c r="BC52" i="6"/>
  <c r="BC9" i="6"/>
  <c r="BC18" i="6" s="1"/>
  <c r="BB52" i="6"/>
  <c r="BB9" i="6"/>
  <c r="BB18" i="6" s="1"/>
  <c r="BE52" i="6"/>
  <c r="BE9" i="6"/>
  <c r="BE18" i="6" s="1"/>
  <c r="AD52" i="6"/>
  <c r="AD9" i="6"/>
  <c r="AD18" i="6" s="1"/>
  <c r="U52" i="6"/>
  <c r="U9" i="6"/>
  <c r="U18" i="6" s="1"/>
  <c r="BV52" i="6"/>
  <c r="BV9" i="6"/>
  <c r="BV18" i="6" s="1"/>
  <c r="CC9" i="6"/>
  <c r="CC18" i="6" s="1"/>
  <c r="CC52" i="6"/>
  <c r="CJ52" i="6"/>
  <c r="CJ9" i="6"/>
  <c r="CJ18" i="6" s="1"/>
  <c r="CH52" i="6"/>
  <c r="CH9" i="6"/>
  <c r="CH18" i="6" s="1"/>
  <c r="AT52" i="6"/>
  <c r="AT9" i="6"/>
  <c r="AT18" i="6" s="1"/>
  <c r="BB8" i="6"/>
  <c r="BB17" i="6" s="1"/>
  <c r="BB51" i="6"/>
  <c r="AL51" i="6"/>
  <c r="AL8" i="6"/>
  <c r="AL17" i="6" s="1"/>
  <c r="AW51" i="6"/>
  <c r="AW8" i="6"/>
  <c r="AW17" i="6" s="1"/>
  <c r="CQ51" i="6"/>
  <c r="CQ8" i="6"/>
  <c r="CQ17" i="6" s="1"/>
  <c r="AK51" i="6"/>
  <c r="AK8" i="6"/>
  <c r="AK17" i="6" s="1"/>
  <c r="BO51" i="6"/>
  <c r="BO8" i="6"/>
  <c r="BO17" i="6" s="1"/>
  <c r="BE51" i="6"/>
  <c r="BE8" i="6"/>
  <c r="BE17" i="6" s="1"/>
  <c r="CX51" i="6"/>
  <c r="CX8" i="6"/>
  <c r="CX17" i="6" s="1"/>
  <c r="BC51" i="6"/>
  <c r="BC8" i="6"/>
  <c r="BC17" i="6" s="1"/>
  <c r="CM51" i="6"/>
  <c r="CM8" i="6"/>
  <c r="CM17" i="6" s="1"/>
  <c r="S8" i="6"/>
  <c r="S17" i="6" s="1"/>
  <c r="S52" i="6"/>
  <c r="S64" i="6" s="1" a="1"/>
  <c r="S9" i="6"/>
  <c r="S18" i="6" s="1"/>
  <c r="BT9" i="6"/>
  <c r="BT18" i="6" s="1"/>
  <c r="BT52" i="6"/>
  <c r="AR52" i="6"/>
  <c r="AR9" i="6"/>
  <c r="AR18" i="6" s="1"/>
  <c r="BU52" i="6"/>
  <c r="BU9" i="6"/>
  <c r="BU18" i="6" s="1"/>
  <c r="BZ54" i="6"/>
  <c r="AT54" i="6"/>
  <c r="CI54" i="6"/>
  <c r="BE54" i="6"/>
  <c r="AD54" i="6"/>
  <c r="BH54" i="6"/>
  <c r="AX54" i="6"/>
  <c r="CE54" i="6"/>
  <c r="J54" i="6"/>
  <c r="CU54" i="6"/>
  <c r="H54" i="6"/>
  <c r="AS54" i="6"/>
  <c r="BY54" i="6"/>
  <c r="CH54" i="6"/>
  <c r="AZ54" i="6"/>
  <c r="BC54" i="6"/>
  <c r="I54" i="6"/>
  <c r="AM54" i="6"/>
  <c r="AK54" i="6"/>
  <c r="BF54" i="6"/>
  <c r="F54" i="6"/>
  <c r="CT54" i="6"/>
  <c r="CL54" i="6"/>
  <c r="CF54" i="6"/>
  <c r="BL54" i="6"/>
  <c r="BL67" i="6" s="1" a="1"/>
  <c r="G54" i="6"/>
  <c r="AI54" i="6"/>
  <c r="F51" i="6"/>
  <c r="BJ54" i="6"/>
  <c r="CK54" i="6"/>
  <c r="CK67" i="6" s="1" a="1"/>
  <c r="AY54" i="6"/>
  <c r="AV54" i="6"/>
  <c r="BQ54" i="6"/>
  <c r="CN54" i="6"/>
  <c r="P54" i="6"/>
  <c r="AQ54" i="6"/>
  <c r="BN54" i="6"/>
  <c r="AC54" i="6"/>
  <c r="AO54" i="6"/>
  <c r="AA54" i="6"/>
  <c r="BX54" i="6"/>
  <c r="BT54" i="6"/>
  <c r="CG54" i="6"/>
  <c r="BB54" i="6"/>
  <c r="BG54" i="6"/>
  <c r="Y54" i="6"/>
  <c r="AB54" i="6"/>
  <c r="CO54" i="6"/>
  <c r="S54" i="6"/>
  <c r="BI54" i="6"/>
  <c r="BS54" i="6"/>
  <c r="U54" i="6"/>
  <c r="O54" i="6"/>
  <c r="AN54" i="6"/>
  <c r="AF54" i="6"/>
  <c r="BK54" i="6"/>
  <c r="CD54" i="6"/>
  <c r="T54" i="6"/>
  <c r="BP54" i="6"/>
  <c r="CY54" i="6"/>
  <c r="AG54" i="6"/>
  <c r="BR54" i="6"/>
  <c r="CV54" i="6"/>
  <c r="BM54" i="6"/>
  <c r="R54" i="6"/>
  <c r="CW54" i="6"/>
  <c r="CA54" i="6"/>
  <c r="M54" i="6"/>
  <c r="BU54" i="6"/>
  <c r="AJ54" i="6"/>
  <c r="AR54" i="6"/>
  <c r="CB54" i="6"/>
  <c r="CJ54" i="6"/>
  <c r="L54" i="6"/>
  <c r="AH54" i="6"/>
  <c r="AP54" i="6"/>
  <c r="DA54" i="6"/>
  <c r="Q54" i="6"/>
  <c r="BW54" i="6"/>
  <c r="AL54" i="6"/>
  <c r="W54" i="6"/>
  <c r="W67" i="6" s="1" a="1"/>
  <c r="K54" i="6"/>
  <c r="CC54" i="6"/>
  <c r="CR54" i="6"/>
  <c r="Z54" i="6"/>
  <c r="CX54" i="6"/>
  <c r="AE54" i="6"/>
  <c r="V54" i="6"/>
  <c r="CM54" i="6"/>
  <c r="BD54" i="6"/>
  <c r="CS54" i="6"/>
  <c r="CQ54" i="6"/>
  <c r="CP54" i="6"/>
  <c r="CP67" i="6" s="1" a="1"/>
  <c r="N54" i="6"/>
  <c r="AW54" i="6"/>
  <c r="AU54" i="6"/>
  <c r="BO54" i="6"/>
  <c r="X54" i="6"/>
  <c r="BA54" i="6"/>
  <c r="CZ54" i="6"/>
  <c r="BV54" i="6"/>
  <c r="F8" i="6"/>
  <c r="F17" i="6" s="1"/>
  <c r="AK52" i="6"/>
  <c r="AK9" i="6"/>
  <c r="AK18" i="6" s="1"/>
  <c r="AQ9" i="6"/>
  <c r="AQ18" i="6" s="1"/>
  <c r="AQ52" i="6"/>
  <c r="P52" i="6"/>
  <c r="P9" i="6"/>
  <c r="P18" i="6" s="1"/>
  <c r="BJ52" i="6"/>
  <c r="BJ9" i="6"/>
  <c r="BJ18" i="6" s="1"/>
  <c r="BX52" i="6"/>
  <c r="BX64" i="6" s="1" a="1"/>
  <c r="BX9" i="6"/>
  <c r="BX18" i="6" s="1"/>
  <c r="BF52" i="6"/>
  <c r="BF9" i="6"/>
  <c r="BF18" i="6" s="1"/>
  <c r="CN52" i="6"/>
  <c r="CN9" i="6"/>
  <c r="CN18" i="6" s="1"/>
  <c r="CE52" i="6"/>
  <c r="CE9" i="6"/>
  <c r="CE18" i="6" s="1"/>
  <c r="AX8" i="6"/>
  <c r="AX17" i="6" s="1"/>
  <c r="AX51" i="6"/>
  <c r="AX64" i="6" s="1" a="1"/>
  <c r="AV51" i="6"/>
  <c r="AV8" i="6"/>
  <c r="AV17" i="6" s="1"/>
  <c r="CL51" i="6"/>
  <c r="CL8" i="6"/>
  <c r="CL17" i="6" s="1"/>
  <c r="CJ51" i="6"/>
  <c r="CJ8" i="6"/>
  <c r="CJ17" i="6" s="1"/>
  <c r="AR51" i="6"/>
  <c r="AR8" i="6"/>
  <c r="AR17" i="6" s="1"/>
  <c r="M51" i="6"/>
  <c r="M8" i="6"/>
  <c r="M17" i="6" s="1"/>
  <c r="BT51" i="6"/>
  <c r="BT8" i="6"/>
  <c r="BT17" i="6" s="1"/>
  <c r="AS51" i="6"/>
  <c r="AS8" i="6"/>
  <c r="AS17" i="6" s="1"/>
  <c r="AE51" i="6"/>
  <c r="AE8" i="6"/>
  <c r="AE17" i="6" s="1"/>
  <c r="BP51" i="6"/>
  <c r="BP8" i="6"/>
  <c r="BP17" i="6" s="1"/>
  <c r="AN51" i="6"/>
  <c r="AN8" i="6"/>
  <c r="AN17" i="6" s="1"/>
  <c r="R51" i="6"/>
  <c r="R8" i="6"/>
  <c r="R17" i="6" s="1"/>
  <c r="M20" i="5"/>
  <c r="CD9" i="6"/>
  <c r="CD18" i="6" s="1"/>
  <c r="CD52" i="6"/>
  <c r="BQ52" i="6"/>
  <c r="BQ9" i="6"/>
  <c r="BQ18" i="6" s="1"/>
  <c r="BN52" i="6"/>
  <c r="BN9" i="6"/>
  <c r="BN18" i="6" s="1"/>
  <c r="AZ9" i="6"/>
  <c r="AZ18" i="6" s="1"/>
  <c r="AZ52" i="6"/>
  <c r="K52" i="6"/>
  <c r="K9" i="6"/>
  <c r="K18" i="6" s="1"/>
  <c r="AF52" i="6"/>
  <c r="AF9" i="6"/>
  <c r="AF18" i="6" s="1"/>
  <c r="Z52" i="6"/>
  <c r="Z9" i="6"/>
  <c r="Z18" i="6" s="1"/>
  <c r="AJ52" i="6"/>
  <c r="AJ9" i="6"/>
  <c r="AJ18" i="6" s="1"/>
  <c r="L52" i="6"/>
  <c r="L9" i="6"/>
  <c r="L18" i="6" s="1"/>
  <c r="AU52" i="6"/>
  <c r="AU9" i="6"/>
  <c r="AU18" i="6" s="1"/>
  <c r="G52" i="6"/>
  <c r="G9" i="6"/>
  <c r="G18" i="6" s="1"/>
  <c r="AB52" i="6"/>
  <c r="AB9" i="6"/>
  <c r="AB18" i="6" s="1"/>
  <c r="W8" i="6"/>
  <c r="W17" i="6" s="1"/>
  <c r="W51" i="6"/>
  <c r="N51" i="6"/>
  <c r="N8" i="6"/>
  <c r="N17" i="6" s="1"/>
  <c r="AM51" i="6"/>
  <c r="AM8" i="6"/>
  <c r="AM17" i="6" s="1"/>
  <c r="CG51" i="6"/>
  <c r="CG8" i="6"/>
  <c r="CG17" i="6" s="1"/>
  <c r="BS51" i="6"/>
  <c r="BS8" i="6"/>
  <c r="BS17" i="6" s="1"/>
  <c r="BU51" i="6"/>
  <c r="BU8" i="6"/>
  <c r="BU17" i="6" s="1"/>
  <c r="CV51" i="6"/>
  <c r="CV8" i="6"/>
  <c r="CV17" i="6" s="1"/>
  <c r="AG51" i="6"/>
  <c r="AG8" i="6"/>
  <c r="AG17" i="6" s="1"/>
  <c r="J51" i="6"/>
  <c r="J8" i="6"/>
  <c r="J17" i="6" s="1"/>
  <c r="AZ51" i="6"/>
  <c r="AZ8" i="6"/>
  <c r="AZ17" i="6" s="1"/>
  <c r="BK51" i="6"/>
  <c r="BK8" i="6"/>
  <c r="BK17" i="6" s="1"/>
  <c r="P51" i="6"/>
  <c r="P8" i="6"/>
  <c r="P17" i="6" s="1"/>
  <c r="CB51" i="6"/>
  <c r="CB8" i="6"/>
  <c r="CB17" i="6" s="1"/>
  <c r="CB154" i="6"/>
  <c r="BS152" i="6"/>
  <c r="CO153" i="6"/>
  <c r="CO161" i="6" a="1"/>
  <c r="AR154" i="6"/>
  <c r="AO152" i="6"/>
  <c r="BP161" i="6" a="1"/>
  <c r="BP161" i="6" s="1"/>
  <c r="W153" i="6"/>
  <c r="AO154" i="6"/>
  <c r="Y153" i="6"/>
  <c r="CR161" i="6" a="1"/>
  <c r="CR162" i="6" s="1"/>
  <c r="AO161" i="6" a="1"/>
  <c r="AO163" i="6" s="1"/>
  <c r="CA156" i="6"/>
  <c r="BH154" i="6"/>
  <c r="BH158" i="6" s="1" a="1"/>
  <c r="CP153" i="6"/>
  <c r="BZ155" i="6"/>
  <c r="BZ161" i="6" s="1" a="1"/>
  <c r="CO152" i="6"/>
  <c r="AF154" i="6"/>
  <c r="AF158" i="6" s="1" a="1"/>
  <c r="AF159" i="6" s="1"/>
  <c r="CJ155" i="6"/>
  <c r="CJ161" i="6" s="1" a="1"/>
  <c r="CJ163" i="6" s="1"/>
  <c r="BP154" i="6"/>
  <c r="Q153" i="6"/>
  <c r="Q158" i="6" s="1" a="1"/>
  <c r="Q159" i="6" s="1"/>
  <c r="AL153" i="6"/>
  <c r="CJ154" i="6"/>
  <c r="CJ158" i="6" s="1" a="1"/>
  <c r="CJ158" i="6" s="1"/>
  <c r="AK161" i="6" a="1"/>
  <c r="AK163" i="6" s="1"/>
  <c r="AB157" i="6"/>
  <c r="AB161" i="6" s="1" a="1"/>
  <c r="AB162" i="6" s="1"/>
  <c r="AB152" i="6"/>
  <c r="AB158" i="6" s="1" a="1"/>
  <c r="AB159" i="6" s="1"/>
  <c r="BQ153" i="6"/>
  <c r="CS154" i="6"/>
  <c r="CD153" i="6"/>
  <c r="U154" i="6"/>
  <c r="U158" i="6" s="1" a="1"/>
  <c r="M153" i="6"/>
  <c r="CP152" i="6"/>
  <c r="BM161" i="6" a="1"/>
  <c r="BM163" i="6" s="1"/>
  <c r="W154" i="6"/>
  <c r="CD161" i="6" a="1"/>
  <c r="CD161" i="6" s="1"/>
  <c r="CD154" i="6"/>
  <c r="AZ154" i="6"/>
  <c r="T154" i="6"/>
  <c r="CR153" i="6"/>
  <c r="W161" i="6" a="1"/>
  <c r="W161" i="6" s="1"/>
  <c r="G156" i="6"/>
  <c r="AK154" i="6"/>
  <c r="CS161" i="6" a="1"/>
  <c r="CS161" i="6" s="1"/>
  <c r="AZ161" i="6" a="1"/>
  <c r="AZ161" i="6" s="1"/>
  <c r="AD153" i="6"/>
  <c r="BZ153" i="6"/>
  <c r="BZ158" i="6" s="1" a="1"/>
  <c r="AW156" i="6"/>
  <c r="AW161" i="6" s="1" a="1"/>
  <c r="AW163" i="6" s="1"/>
  <c r="AW154" i="6"/>
  <c r="AW158" i="6" s="1" a="1"/>
  <c r="AW159" i="6" s="1"/>
  <c r="CK161" i="6" a="1"/>
  <c r="CK162" i="6" s="1"/>
  <c r="BQ152" i="6"/>
  <c r="CA157" i="6"/>
  <c r="AM161" i="6" a="1"/>
  <c r="AM163" i="6" s="1"/>
  <c r="CG153" i="6"/>
  <c r="BA161" i="6" a="1"/>
  <c r="BA162" i="6" s="1"/>
  <c r="BA153" i="6"/>
  <c r="U156" i="6"/>
  <c r="U161" i="6" s="1" a="1"/>
  <c r="U161" i="6" s="1"/>
  <c r="CE156" i="6"/>
  <c r="CE161" i="6" s="1" a="1"/>
  <c r="CG161" i="6" a="1"/>
  <c r="CG163" i="6" s="1"/>
  <c r="CS152" i="6"/>
  <c r="CB161" i="6" a="1"/>
  <c r="CB163" i="6" s="1"/>
  <c r="BX156" i="6"/>
  <c r="BX161" i="6" s="1" a="1"/>
  <c r="AM153" i="6"/>
  <c r="CB152" i="6"/>
  <c r="CB158" i="6" s="1" a="1"/>
  <c r="CR152" i="6"/>
  <c r="F161" i="6" a="1"/>
  <c r="F161" i="6" s="1"/>
  <c r="AK152" i="6"/>
  <c r="DA154" i="6"/>
  <c r="DA153" i="6"/>
  <c r="F154" i="6"/>
  <c r="P158" i="6" a="1"/>
  <c r="P158" i="6" s="1"/>
  <c r="CT152" i="6"/>
  <c r="DA161" i="6" a="1"/>
  <c r="DA161" i="6" s="1"/>
  <c r="P155" i="6"/>
  <c r="BM153" i="6"/>
  <c r="Z152" i="6"/>
  <c r="AM154" i="6"/>
  <c r="BA152" i="6"/>
  <c r="CV154" i="6"/>
  <c r="BO153" i="6"/>
  <c r="AY152" i="6"/>
  <c r="AY158" i="6" s="1" a="1"/>
  <c r="AY160" i="6" s="1"/>
  <c r="BO152" i="6"/>
  <c r="CK152" i="6"/>
  <c r="AY157" i="6"/>
  <c r="AY161" i="6" s="1" a="1"/>
  <c r="BP152" i="6"/>
  <c r="G157" i="6"/>
  <c r="P156" i="6"/>
  <c r="CV161" i="6" a="1"/>
  <c r="CV162" i="6" s="1"/>
  <c r="Z161" i="6" a="1"/>
  <c r="Z162" i="6" s="1"/>
  <c r="BM152" i="6"/>
  <c r="CK154" i="6"/>
  <c r="AN161" i="6" a="1"/>
  <c r="AN162" i="6" s="1"/>
  <c r="AD161" i="6" a="1"/>
  <c r="AD163" i="6" s="1"/>
  <c r="AD152" i="6"/>
  <c r="T161" i="6" a="1"/>
  <c r="T162" i="6" s="1"/>
  <c r="CV152" i="6"/>
  <c r="BQ161" i="6" a="1"/>
  <c r="BQ163" i="6" s="1"/>
  <c r="M154" i="6"/>
  <c r="AQ153" i="6"/>
  <c r="F152" i="6"/>
  <c r="BX152" i="6"/>
  <c r="BX158" i="6" s="1" a="1"/>
  <c r="BX160" i="6" s="1"/>
  <c r="T152" i="6"/>
  <c r="AZ152" i="6"/>
  <c r="Z153" i="6"/>
  <c r="CG154" i="6"/>
  <c r="AN153" i="6"/>
  <c r="Y155" i="6"/>
  <c r="Y161" i="6" s="1" a="1"/>
  <c r="Y163" i="6" s="1"/>
  <c r="Y152" i="6"/>
  <c r="BS158" i="6" a="1"/>
  <c r="BS158" i="6" s="1"/>
  <c r="M161" i="6" a="1"/>
  <c r="M163" i="6" s="1"/>
  <c r="CT154" i="6"/>
  <c r="BI154" i="6"/>
  <c r="BI161" i="6" a="1"/>
  <c r="AL161" i="6" a="1"/>
  <c r="AL163" i="6" s="1"/>
  <c r="AL154" i="6"/>
  <c r="BW153" i="6"/>
  <c r="BI152" i="6"/>
  <c r="AN152" i="6"/>
  <c r="CT161" i="6" a="1"/>
  <c r="CT163" i="6" s="1"/>
  <c r="CE154" i="6"/>
  <c r="CE158" i="6" s="1" a="1"/>
  <c r="CE159" i="6" s="1"/>
  <c r="BO161" i="6" a="1"/>
  <c r="BO162" i="6" s="1"/>
  <c r="BW154" i="6"/>
  <c r="BW157" i="6"/>
  <c r="BW161" i="6" s="1" a="1"/>
  <c r="BW161" i="6" s="1"/>
  <c r="AR156" i="6"/>
  <c r="AR161" i="6" s="1" a="1"/>
  <c r="AR153" i="6"/>
  <c r="AR158" i="6" s="1" a="1"/>
  <c r="AQ157" i="6"/>
  <c r="AQ161" i="6" s="1" a="1"/>
  <c r="AQ154" i="6"/>
  <c r="N155" i="6"/>
  <c r="N152" i="6"/>
  <c r="N153" i="6"/>
  <c r="N156" i="6"/>
  <c r="G158" i="6" a="1"/>
  <c r="G160" i="6" s="1"/>
  <c r="CA158" i="6" a="1"/>
  <c r="CA159" i="6" s="1"/>
  <c r="CP161" i="6" a="1"/>
  <c r="CP161" i="6" s="1"/>
  <c r="CM156" i="6"/>
  <c r="CM153" i="6"/>
  <c r="BD152" i="6"/>
  <c r="BD155" i="6"/>
  <c r="BU157" i="6"/>
  <c r="BU154" i="6"/>
  <c r="AV154" i="6"/>
  <c r="AV157" i="6"/>
  <c r="CX153" i="6"/>
  <c r="CX156" i="6"/>
  <c r="CU153" i="6"/>
  <c r="CU156" i="6"/>
  <c r="AI153" i="6"/>
  <c r="AI156" i="6"/>
  <c r="J155" i="6"/>
  <c r="J152" i="6"/>
  <c r="BG152" i="6"/>
  <c r="BG155" i="6"/>
  <c r="Q162" i="6"/>
  <c r="Q163" i="6"/>
  <c r="Q161" i="6"/>
  <c r="AP156" i="6"/>
  <c r="AP153" i="6"/>
  <c r="X155" i="6"/>
  <c r="X152" i="6"/>
  <c r="I156" i="6"/>
  <c r="I153" i="6"/>
  <c r="CC156" i="6"/>
  <c r="CC153" i="6"/>
  <c r="H157" i="6"/>
  <c r="H154" i="6"/>
  <c r="AC152" i="6"/>
  <c r="AC155" i="6"/>
  <c r="CN153" i="6"/>
  <c r="CN156" i="6"/>
  <c r="BF156" i="6"/>
  <c r="BF153" i="6"/>
  <c r="BY153" i="6"/>
  <c r="BY156" i="6"/>
  <c r="CW155" i="6"/>
  <c r="CW152" i="6"/>
  <c r="BB157" i="6"/>
  <c r="BB154" i="6"/>
  <c r="CF156" i="6"/>
  <c r="CF153" i="6"/>
  <c r="CM152" i="6"/>
  <c r="CM155" i="6"/>
  <c r="BV153" i="6"/>
  <c r="BV156" i="6"/>
  <c r="AV152" i="6"/>
  <c r="AV155" i="6"/>
  <c r="S157" i="6"/>
  <c r="S154" i="6"/>
  <c r="AI155" i="6"/>
  <c r="AI152" i="6"/>
  <c r="J157" i="6"/>
  <c r="J154" i="6"/>
  <c r="BG156" i="6"/>
  <c r="BG153" i="6"/>
  <c r="CL153" i="6"/>
  <c r="CL156" i="6"/>
  <c r="BS162" i="6"/>
  <c r="BS161" i="6"/>
  <c r="BS163" i="6"/>
  <c r="I154" i="6"/>
  <c r="I157" i="6"/>
  <c r="CC152" i="6"/>
  <c r="CC155" i="6"/>
  <c r="H156" i="6"/>
  <c r="H153" i="6"/>
  <c r="AC157" i="6"/>
  <c r="AC154" i="6"/>
  <c r="CN154" i="6"/>
  <c r="CN157" i="6"/>
  <c r="BF154" i="6"/>
  <c r="BF157" i="6"/>
  <c r="BY152" i="6"/>
  <c r="BY155" i="6"/>
  <c r="AH154" i="6"/>
  <c r="AH157" i="6"/>
  <c r="CF154" i="6"/>
  <c r="CF157" i="6"/>
  <c r="CM157" i="6"/>
  <c r="CM154" i="6"/>
  <c r="CX155" i="6"/>
  <c r="CX152" i="6"/>
  <c r="CU155" i="6"/>
  <c r="CU152" i="6"/>
  <c r="J156" i="6"/>
  <c r="J153" i="6"/>
  <c r="AP155" i="6"/>
  <c r="AP152" i="6"/>
  <c r="AC153" i="6"/>
  <c r="AC156" i="6"/>
  <c r="BF155" i="6"/>
  <c r="BF152" i="6"/>
  <c r="CW154" i="6"/>
  <c r="CW157" i="6"/>
  <c r="L156" i="6"/>
  <c r="L153" i="6"/>
  <c r="BV157" i="6"/>
  <c r="BV154" i="6"/>
  <c r="AU154" i="6"/>
  <c r="AU157" i="6"/>
  <c r="H155" i="6"/>
  <c r="H152" i="6"/>
  <c r="BJ152" i="6"/>
  <c r="BJ155" i="6"/>
  <c r="AG155" i="6"/>
  <c r="AG152" i="6"/>
  <c r="BV152" i="6"/>
  <c r="BV155" i="6"/>
  <c r="AS154" i="6"/>
  <c r="AS157" i="6"/>
  <c r="BH161" i="6" a="1"/>
  <c r="AG153" i="6"/>
  <c r="AG156" i="6"/>
  <c r="AX156" i="6"/>
  <c r="AX153" i="6"/>
  <c r="AJ154" i="6"/>
  <c r="AJ157" i="6"/>
  <c r="AE155" i="6"/>
  <c r="AE152" i="6"/>
  <c r="BR154" i="6"/>
  <c r="BR157" i="6"/>
  <c r="V154" i="6"/>
  <c r="V157" i="6"/>
  <c r="CY155" i="6"/>
  <c r="CY152" i="6"/>
  <c r="BC155" i="6"/>
  <c r="BC152" i="6"/>
  <c r="AT155" i="6"/>
  <c r="AT152" i="6"/>
  <c r="BN154" i="6"/>
  <c r="BN157" i="6"/>
  <c r="BT152" i="6"/>
  <c r="BT155" i="6"/>
  <c r="AU153" i="6"/>
  <c r="AU156" i="6"/>
  <c r="AS152" i="6"/>
  <c r="AS155" i="6"/>
  <c r="BE155" i="6"/>
  <c r="BE152" i="6"/>
  <c r="CH157" i="6"/>
  <c r="CH154" i="6"/>
  <c r="CO161" i="6"/>
  <c r="CO163" i="6"/>
  <c r="CO162" i="6"/>
  <c r="BK156" i="6"/>
  <c r="BK153" i="6"/>
  <c r="R153" i="6"/>
  <c r="R156" i="6"/>
  <c r="CQ155" i="6"/>
  <c r="CQ152" i="6"/>
  <c r="BJ154" i="6"/>
  <c r="BJ157" i="6"/>
  <c r="K153" i="6"/>
  <c r="K156" i="6"/>
  <c r="CZ156" i="6"/>
  <c r="CZ153" i="6"/>
  <c r="CI153" i="6"/>
  <c r="CI156" i="6"/>
  <c r="BL155" i="6"/>
  <c r="BL152" i="6"/>
  <c r="AA155" i="6"/>
  <c r="AA152" i="6"/>
  <c r="AV156" i="6"/>
  <c r="AV153" i="6"/>
  <c r="BG157" i="6"/>
  <c r="BG154" i="6"/>
  <c r="S152" i="6"/>
  <c r="S155" i="6"/>
  <c r="BR153" i="6"/>
  <c r="BR156" i="6"/>
  <c r="BN153" i="6"/>
  <c r="BN156" i="6"/>
  <c r="AH155" i="6"/>
  <c r="AH152" i="6"/>
  <c r="S156" i="6"/>
  <c r="S153" i="6"/>
  <c r="AJ155" i="6"/>
  <c r="AJ152" i="6"/>
  <c r="BR155" i="6"/>
  <c r="BR152" i="6"/>
  <c r="BN152" i="6"/>
  <c r="BN155" i="6"/>
  <c r="CL155" i="6"/>
  <c r="CL152" i="6"/>
  <c r="CQ153" i="6"/>
  <c r="CQ156" i="6"/>
  <c r="BJ156" i="6"/>
  <c r="BJ153" i="6"/>
  <c r="AH153" i="6"/>
  <c r="AH156" i="6"/>
  <c r="CI154" i="6"/>
  <c r="CI157" i="6"/>
  <c r="AX154" i="6"/>
  <c r="AX157" i="6"/>
  <c r="AJ156" i="6"/>
  <c r="AJ153" i="6"/>
  <c r="AE157" i="6"/>
  <c r="AE154" i="6"/>
  <c r="V152" i="6"/>
  <c r="V155" i="6"/>
  <c r="CY153" i="6"/>
  <c r="CY156" i="6"/>
  <c r="BC157" i="6"/>
  <c r="BC154" i="6"/>
  <c r="AT153" i="6"/>
  <c r="AT156" i="6"/>
  <c r="BT157" i="6"/>
  <c r="BT154" i="6"/>
  <c r="AS153" i="6"/>
  <c r="AS156" i="6"/>
  <c r="BE153" i="6"/>
  <c r="BE156" i="6"/>
  <c r="CH156" i="6"/>
  <c r="CH153" i="6"/>
  <c r="BK155" i="6"/>
  <c r="BK152" i="6"/>
  <c r="K155" i="6"/>
  <c r="K152" i="6"/>
  <c r="O155" i="6"/>
  <c r="O152" i="6"/>
  <c r="CZ157" i="6"/>
  <c r="CZ154" i="6"/>
  <c r="CI152" i="6"/>
  <c r="CI155" i="6"/>
  <c r="BL153" i="6"/>
  <c r="BL156" i="6"/>
  <c r="AA153" i="6"/>
  <c r="AA156" i="6"/>
  <c r="L155" i="6"/>
  <c r="L152" i="6"/>
  <c r="CR161" i="6"/>
  <c r="BD153" i="6"/>
  <c r="BD156" i="6"/>
  <c r="BU153" i="6"/>
  <c r="BU156" i="6"/>
  <c r="AI157" i="6"/>
  <c r="AI154" i="6"/>
  <c r="X154" i="6"/>
  <c r="X157" i="6"/>
  <c r="BB155" i="6"/>
  <c r="BB152" i="6"/>
  <c r="O156" i="6"/>
  <c r="O153" i="6"/>
  <c r="AG157" i="6"/>
  <c r="AG154" i="6"/>
  <c r="CL154" i="6"/>
  <c r="CL157" i="6"/>
  <c r="R152" i="6"/>
  <c r="R155" i="6"/>
  <c r="I155" i="6"/>
  <c r="I152" i="6"/>
  <c r="CC157" i="6"/>
  <c r="CC154" i="6"/>
  <c r="CQ157" i="6"/>
  <c r="CQ154" i="6"/>
  <c r="CN155" i="6"/>
  <c r="CN152" i="6"/>
  <c r="BY157" i="6"/>
  <c r="BY154" i="6"/>
  <c r="CF152" i="6"/>
  <c r="CF155" i="6"/>
  <c r="AE156" i="6"/>
  <c r="AE153" i="6"/>
  <c r="V153" i="6"/>
  <c r="V156" i="6"/>
  <c r="AU155" i="6"/>
  <c r="AU152" i="6"/>
  <c r="BK154" i="6"/>
  <c r="BK157" i="6"/>
  <c r="R154" i="6"/>
  <c r="R157" i="6"/>
  <c r="BL154" i="6"/>
  <c r="BL157" i="6"/>
  <c r="AA154" i="6"/>
  <c r="AA157" i="6"/>
  <c r="BD157" i="6"/>
  <c r="BD154" i="6"/>
  <c r="BU152" i="6"/>
  <c r="BU155" i="6"/>
  <c r="AX155" i="6"/>
  <c r="AX152" i="6"/>
  <c r="CX157" i="6"/>
  <c r="CX154" i="6"/>
  <c r="CU154" i="6"/>
  <c r="CU157" i="6"/>
  <c r="CY154" i="6"/>
  <c r="CY157" i="6"/>
  <c r="BC156" i="6"/>
  <c r="BC153" i="6"/>
  <c r="AT154" i="6"/>
  <c r="AT157" i="6"/>
  <c r="BT156" i="6"/>
  <c r="BT153" i="6"/>
  <c r="AP154" i="6"/>
  <c r="AP157" i="6"/>
  <c r="BE157" i="6"/>
  <c r="BE154" i="6"/>
  <c r="X153" i="6"/>
  <c r="X156" i="6"/>
  <c r="CH155" i="6"/>
  <c r="CH152" i="6"/>
  <c r="K154" i="6"/>
  <c r="K157" i="6"/>
  <c r="CW153" i="6"/>
  <c r="CW156" i="6"/>
  <c r="BB156" i="6"/>
  <c r="BB153" i="6"/>
  <c r="O157" i="6"/>
  <c r="O154" i="6"/>
  <c r="CZ152" i="6"/>
  <c r="CZ155" i="6"/>
  <c r="L157" i="6"/>
  <c r="L154" i="6"/>
  <c r="AF161" i="6" l="1"/>
  <c r="AF163" i="6"/>
  <c r="AO161" i="6"/>
  <c r="CO158" i="6" a="1"/>
  <c r="CA67" i="6" a="1"/>
  <c r="N64" i="6" a="1"/>
  <c r="BD67" i="6" a="1"/>
  <c r="BD67" i="6" s="1"/>
  <c r="BD73" i="6" s="1"/>
  <c r="AO162" i="6"/>
  <c r="AZ163" i="6"/>
  <c r="AZ162" i="6"/>
  <c r="F60" i="6"/>
  <c r="BO67" i="6" a="1"/>
  <c r="BO68" i="6" s="1"/>
  <c r="BO74" i="6" s="1"/>
  <c r="J67" i="6" a="1"/>
  <c r="J67" i="6" s="1"/>
  <c r="J73" i="6" s="1"/>
  <c r="Q64" i="6" a="1"/>
  <c r="Q64" i="6" s="1"/>
  <c r="U64" i="6" a="1"/>
  <c r="U64" i="6" s="1"/>
  <c r="AB67" i="6" a="1"/>
  <c r="CH67" i="6" a="1"/>
  <c r="CH67" i="6" s="1"/>
  <c r="AI64" i="6" a="1"/>
  <c r="AI65" i="6" s="1"/>
  <c r="AG67" i="6" a="1"/>
  <c r="AD67" i="6" a="1"/>
  <c r="AD69" i="6" s="1"/>
  <c r="BI64" i="6" a="1"/>
  <c r="BN64" i="6" a="1"/>
  <c r="BN65" i="6" s="1"/>
  <c r="AZ64" i="6" a="1"/>
  <c r="AZ65" i="6" s="1"/>
  <c r="AR67" i="6" a="1"/>
  <c r="AU64" i="6" a="1"/>
  <c r="AU64" i="6" s="1"/>
  <c r="CL64" i="6" a="1"/>
  <c r="CL65" i="6" s="1"/>
  <c r="AH67" i="6" a="1"/>
  <c r="AI67" i="6" a="1"/>
  <c r="AI67" i="6" s="1"/>
  <c r="AI73" i="6" s="1"/>
  <c r="M64" i="6" a="1"/>
  <c r="M64" i="6" s="1"/>
  <c r="CJ67" i="6" a="1"/>
  <c r="CJ67" i="6" s="1"/>
  <c r="CJ73" i="6" s="1"/>
  <c r="BZ67" i="6" a="1"/>
  <c r="BZ67" i="6" s="1"/>
  <c r="BZ73" i="6" s="1"/>
  <c r="BH64" i="6" a="1"/>
  <c r="AU67" i="6" a="1"/>
  <c r="AU68" i="6" s="1"/>
  <c r="AR64" i="6" a="1"/>
  <c r="AR66" i="6" s="1"/>
  <c r="AW67" i="6" a="1"/>
  <c r="AW67" i="6" s="1"/>
  <c r="AE67" i="6" a="1"/>
  <c r="AE68" i="6" s="1"/>
  <c r="AE74" i="6" s="1"/>
  <c r="CT67" i="6" a="1"/>
  <c r="CT67" i="6" s="1"/>
  <c r="CZ67" i="6" a="1"/>
  <c r="CD64" i="6" a="1"/>
  <c r="CD64" i="6" s="1"/>
  <c r="X67" i="6" a="1"/>
  <c r="L67" i="6" a="1"/>
  <c r="L67" i="6" s="1"/>
  <c r="CQ64" i="6" a="1"/>
  <c r="CQ66" i="6" s="1"/>
  <c r="CU64" i="6" a="1"/>
  <c r="L64" i="6" a="1"/>
  <c r="L66" i="6" s="1"/>
  <c r="BP64" i="6" a="1"/>
  <c r="BP66" i="6" s="1"/>
  <c r="BA67" i="6" a="1"/>
  <c r="BA69" i="6" s="1"/>
  <c r="K67" i="6" a="1"/>
  <c r="K67" i="6" s="1"/>
  <c r="AV64" i="6" a="1"/>
  <c r="BF64" i="6" a="1"/>
  <c r="BF65" i="6" s="1"/>
  <c r="R67" i="6" a="1"/>
  <c r="R69" i="6" s="1"/>
  <c r="CD67" i="6" a="1"/>
  <c r="CD68" i="6" s="1"/>
  <c r="BQ67" i="6" a="1"/>
  <c r="BQ68" i="6" s="1"/>
  <c r="BQ74" i="6" s="1"/>
  <c r="H64" i="6" a="1"/>
  <c r="H66" i="6" s="1"/>
  <c r="BM67" i="6" a="1"/>
  <c r="BM67" i="6" s="1"/>
  <c r="BM73" i="6" s="1"/>
  <c r="AN67" i="6" a="1"/>
  <c r="AN69" i="6" s="1"/>
  <c r="AJ67" i="6" a="1"/>
  <c r="AM64" i="6" a="1"/>
  <c r="AM66" i="6" s="1"/>
  <c r="CJ64" i="6" a="1"/>
  <c r="CJ66" i="6" s="1"/>
  <c r="BV67" i="6" a="1"/>
  <c r="BV68" i="6" s="1"/>
  <c r="BV74" i="6" s="1"/>
  <c r="BJ67" i="6" a="1"/>
  <c r="BJ68" i="6" s="1"/>
  <c r="F67" i="6" a="1"/>
  <c r="F69" i="6" s="1"/>
  <c r="F75" i="6" s="1"/>
  <c r="CC64" i="6" a="1"/>
  <c r="CC64" i="6" s="1"/>
  <c r="AP67" i="6" a="1"/>
  <c r="AP68" i="6" s="1"/>
  <c r="CS67" i="6" a="1"/>
  <c r="CS68" i="6" s="1"/>
  <c r="CC67" i="6" a="1"/>
  <c r="CC68" i="6" s="1"/>
  <c r="CC74" i="6" s="1"/>
  <c r="CI67" i="6" a="1"/>
  <c r="CI69" i="6" s="1"/>
  <c r="O64" i="6" a="1"/>
  <c r="O66" i="6" s="1"/>
  <c r="BL64" i="6" a="1"/>
  <c r="BL65" i="6" s="1"/>
  <c r="AQ64" i="6" a="1"/>
  <c r="AQ66" i="6" s="1"/>
  <c r="CW67" i="6" a="1"/>
  <c r="CW68" i="6" s="1"/>
  <c r="BT67" i="6" a="1"/>
  <c r="BT69" i="6" s="1"/>
  <c r="AM67" i="6" a="1"/>
  <c r="AM68" i="6" s="1"/>
  <c r="AM74" i="6" s="1"/>
  <c r="Y67" i="6" a="1"/>
  <c r="Y69" i="6" s="1"/>
  <c r="AC67" i="6" a="1"/>
  <c r="AC67" i="6" s="1"/>
  <c r="AC73" i="6" s="1"/>
  <c r="CB64" i="6" a="1"/>
  <c r="CB66" i="6" s="1"/>
  <c r="AL67" i="6" a="1"/>
  <c r="AL69" i="6" s="1"/>
  <c r="CB67" i="6" a="1"/>
  <c r="CB68" i="6" s="1"/>
  <c r="CB74" i="6" s="1"/>
  <c r="BK67" i="6" a="1"/>
  <c r="BK69" i="6" s="1"/>
  <c r="CF67" i="6" a="1"/>
  <c r="CF68" i="6" s="1"/>
  <c r="CF74" i="6" s="1"/>
  <c r="CE67" i="6" a="1"/>
  <c r="CE68" i="6" s="1"/>
  <c r="AW68" i="6"/>
  <c r="AW74" i="6" s="1"/>
  <c r="BU64" i="6" a="1"/>
  <c r="BU65" i="6" s="1"/>
  <c r="CY67" i="6" a="1"/>
  <c r="CY68" i="6" s="1"/>
  <c r="CY74" i="6" s="1"/>
  <c r="BY64" i="6" a="1"/>
  <c r="BY66" i="6" s="1"/>
  <c r="AK67" i="6" a="1"/>
  <c r="AK67" i="6" s="1"/>
  <c r="AK73" i="6" s="1"/>
  <c r="BE64" i="6" a="1"/>
  <c r="BE66" i="6" s="1"/>
  <c r="AS67" i="6" a="1"/>
  <c r="AS69" i="6" s="1"/>
  <c r="AS75" i="6" s="1"/>
  <c r="BZ64" i="6" a="1"/>
  <c r="BZ64" i="6" s="1"/>
  <c r="CN67" i="6" a="1"/>
  <c r="CN69" i="6" s="1"/>
  <c r="CU67" i="6" a="1"/>
  <c r="CU69" i="6" s="1"/>
  <c r="V67" i="6" a="1"/>
  <c r="V69" i="6" s="1"/>
  <c r="CO67" i="6" a="1"/>
  <c r="CO68" i="6" s="1"/>
  <c r="CH64" i="6" a="1"/>
  <c r="CH65" i="6" s="1"/>
  <c r="BC64" i="6" a="1"/>
  <c r="BC65" i="6" s="1"/>
  <c r="AJ64" i="6" a="1"/>
  <c r="AJ66" i="6" s="1"/>
  <c r="AE64" i="6" a="1"/>
  <c r="AE65" i="6" s="1"/>
  <c r="AO67" i="6" a="1"/>
  <c r="AO68" i="6" s="1"/>
  <c r="AO74" i="6" s="1"/>
  <c r="CL67" i="6" a="1"/>
  <c r="CL69" i="6" s="1"/>
  <c r="AX67" i="6" a="1"/>
  <c r="AX69" i="6" s="1"/>
  <c r="AW69" i="6"/>
  <c r="AW75" i="6" s="1"/>
  <c r="CX67" i="6" a="1"/>
  <c r="CX68" i="6" s="1"/>
  <c r="CX74" i="6" s="1"/>
  <c r="BO64" i="6" a="1"/>
  <c r="BO65" i="6" s="1"/>
  <c r="AD64" i="6" a="1"/>
  <c r="AD64" i="6" s="1"/>
  <c r="CA161" i="6" a="1"/>
  <c r="J68" i="6"/>
  <c r="J74" i="6" s="1"/>
  <c r="R64" i="6" a="1"/>
  <c r="R64" i="6" s="1"/>
  <c r="BU67" i="6" a="1"/>
  <c r="BU69" i="6" s="1"/>
  <c r="BG67" i="6" a="1"/>
  <c r="AF162" i="6"/>
  <c r="CR67" i="6" a="1"/>
  <c r="CR69" i="6" s="1"/>
  <c r="M67" i="6" a="1"/>
  <c r="M67" i="6" s="1"/>
  <c r="BB67" i="6" a="1"/>
  <c r="BB68" i="6" s="1"/>
  <c r="BE67" i="6" a="1"/>
  <c r="BE69" i="6" s="1"/>
  <c r="CY64" i="6" a="1"/>
  <c r="CY65" i="6" s="1"/>
  <c r="J69" i="6"/>
  <c r="J75" i="6" s="1"/>
  <c r="CG67" i="6" a="1"/>
  <c r="CG67" i="6" s="1"/>
  <c r="I64" i="6" a="1"/>
  <c r="I64" i="6" s="1"/>
  <c r="BJ64" i="6" a="1"/>
  <c r="BJ65" i="6" s="1"/>
  <c r="CV64" i="6" a="1"/>
  <c r="CV64" i="6" s="1"/>
  <c r="BR64" i="6" a="1"/>
  <c r="BR66" i="6" s="1"/>
  <c r="W64" i="6" a="1"/>
  <c r="W64" i="6" s="1"/>
  <c r="T67" i="6" a="1"/>
  <c r="T68" i="6" s="1"/>
  <c r="BI67" i="6" a="1"/>
  <c r="BI68" i="6" s="1"/>
  <c r="BI74" i="6" s="1"/>
  <c r="G67" i="6" a="1"/>
  <c r="G69" i="6" s="1"/>
  <c r="G75" i="6" s="1"/>
  <c r="AT64" i="6" a="1"/>
  <c r="AT65" i="6" s="1"/>
  <c r="CP64" i="6" a="1"/>
  <c r="CP66" i="6" s="1"/>
  <c r="CS74" i="6"/>
  <c r="AM69" i="6"/>
  <c r="BV64" i="6" a="1"/>
  <c r="BC67" i="6" a="1"/>
  <c r="BC60" i="6"/>
  <c r="Z60" i="6"/>
  <c r="AY63" i="6"/>
  <c r="AY61" i="6"/>
  <c r="AY62" i="6"/>
  <c r="BR61" i="6"/>
  <c r="BR63" i="6"/>
  <c r="BR62" i="6"/>
  <c r="AZ67" i="6" a="1"/>
  <c r="AZ60" i="6"/>
  <c r="BY67" i="6" a="1"/>
  <c r="BY60" i="6"/>
  <c r="DA60" i="6"/>
  <c r="CA61" i="6"/>
  <c r="CA63" i="6"/>
  <c r="CA62" i="6"/>
  <c r="AN64" i="6" a="1"/>
  <c r="Q60" i="6"/>
  <c r="AV65" i="6"/>
  <c r="AV66" i="6"/>
  <c r="AV64" i="6"/>
  <c r="BO67" i="6"/>
  <c r="CM67" i="6" a="1"/>
  <c r="W68" i="6"/>
  <c r="W74" i="6" s="1"/>
  <c r="W67" i="6"/>
  <c r="W69" i="6"/>
  <c r="R67" i="6"/>
  <c r="S67" i="6" a="1"/>
  <c r="BL67" i="6"/>
  <c r="BL69" i="6"/>
  <c r="BL68" i="6"/>
  <c r="I67" i="6" a="1"/>
  <c r="S64" i="6"/>
  <c r="S66" i="6"/>
  <c r="S65" i="6"/>
  <c r="CU66" i="6"/>
  <c r="CU64" i="6"/>
  <c r="CU65" i="6"/>
  <c r="Z64" i="6" a="1"/>
  <c r="CG64" i="6" a="1"/>
  <c r="AS64" i="6" a="1"/>
  <c r="CA64" i="6" a="1"/>
  <c r="BM64" i="6" a="1"/>
  <c r="AT67" i="6" a="1"/>
  <c r="AT60" i="6"/>
  <c r="BP61" i="6"/>
  <c r="BP63" i="6"/>
  <c r="BP62" i="6"/>
  <c r="CN61" i="6"/>
  <c r="CN63" i="6"/>
  <c r="CN62" i="6"/>
  <c r="AQ67" i="6" a="1"/>
  <c r="AQ60" i="6"/>
  <c r="AS60" i="6"/>
  <c r="AH60" i="6"/>
  <c r="U67" i="6" a="1"/>
  <c r="U60" i="6"/>
  <c r="CU60" i="6"/>
  <c r="BW60" i="6"/>
  <c r="AC60" i="6"/>
  <c r="I63" i="6"/>
  <c r="I61" i="6"/>
  <c r="I62" i="6"/>
  <c r="Y61" i="6"/>
  <c r="Y63" i="6"/>
  <c r="Y62" i="6"/>
  <c r="CT64" i="6" a="1"/>
  <c r="BD60" i="6"/>
  <c r="CG162" i="6"/>
  <c r="P64" i="6" a="1"/>
  <c r="AG64" i="6" a="1"/>
  <c r="AX66" i="6"/>
  <c r="AX65" i="6"/>
  <c r="AX64" i="6"/>
  <c r="CE67" i="6"/>
  <c r="CE73" i="6" s="1"/>
  <c r="K64" i="6" a="1"/>
  <c r="BH65" i="6"/>
  <c r="BH64" i="6"/>
  <c r="BH66" i="6"/>
  <c r="BQ64" i="6" a="1"/>
  <c r="H64" i="6"/>
  <c r="CK64" i="6"/>
  <c r="CK66" i="6"/>
  <c r="CK65" i="6"/>
  <c r="BW64" i="6" a="1"/>
  <c r="CN64" i="6" a="1"/>
  <c r="BG64" i="6" a="1"/>
  <c r="CZ60" i="6"/>
  <c r="F64" i="6" a="1"/>
  <c r="CJ60" i="6"/>
  <c r="J61" i="6"/>
  <c r="J62" i="6"/>
  <c r="J63" i="6"/>
  <c r="CP61" i="6"/>
  <c r="CP63" i="6"/>
  <c r="CP62" i="6"/>
  <c r="AA67" i="6" a="1"/>
  <c r="AA60" i="6"/>
  <c r="N67" i="6" a="1"/>
  <c r="N60" i="6"/>
  <c r="BK63" i="6"/>
  <c r="BK62" i="6"/>
  <c r="BK61" i="6"/>
  <c r="BG61" i="6"/>
  <c r="BG62" i="6"/>
  <c r="BG63" i="6"/>
  <c r="CT60" i="6"/>
  <c r="AR60" i="6"/>
  <c r="BZ60" i="6"/>
  <c r="AD61" i="6"/>
  <c r="AD63" i="6"/>
  <c r="AD62" i="6"/>
  <c r="BD69" i="6"/>
  <c r="BD75" i="6" s="1"/>
  <c r="AA66" i="6"/>
  <c r="AA65" i="6"/>
  <c r="AA64" i="6"/>
  <c r="O61" i="6"/>
  <c r="O62" i="6"/>
  <c r="O63" i="6"/>
  <c r="CG161" i="6"/>
  <c r="CG167" i="6" s="1" a="1"/>
  <c r="CG167" i="6" s="1"/>
  <c r="CG173" i="6" s="1"/>
  <c r="BX66" i="6"/>
  <c r="BX64" i="6"/>
  <c r="BX65" i="6"/>
  <c r="BW67" i="6" a="1"/>
  <c r="AR67" i="6"/>
  <c r="AR73" i="6" s="1"/>
  <c r="AR68" i="6"/>
  <c r="AR69" i="6"/>
  <c r="CV67" i="6" a="1"/>
  <c r="AB67" i="6"/>
  <c r="AB73" i="6" s="1"/>
  <c r="AB68" i="6"/>
  <c r="AB69" i="6"/>
  <c r="AY67" i="6" a="1"/>
  <c r="T65" i="6"/>
  <c r="T64" i="6"/>
  <c r="T66" i="6"/>
  <c r="AF64" i="6" a="1"/>
  <c r="BK64" i="6" a="1"/>
  <c r="DA64" i="6" a="1"/>
  <c r="AY64" i="6" a="1"/>
  <c r="CE64" i="6" a="1"/>
  <c r="BE60" i="6"/>
  <c r="AF67" i="6" a="1"/>
  <c r="AF60" i="6"/>
  <c r="CX63" i="6"/>
  <c r="CX62" i="6"/>
  <c r="CX61" i="6"/>
  <c r="BI60" i="6"/>
  <c r="BL63" i="6"/>
  <c r="BL61" i="6"/>
  <c r="BL62" i="6"/>
  <c r="AV67" i="6" a="1"/>
  <c r="AV60" i="6"/>
  <c r="BH63" i="6"/>
  <c r="BH62" i="6"/>
  <c r="BH61" i="6"/>
  <c r="T63" i="6"/>
  <c r="T61" i="6"/>
  <c r="T62" i="6"/>
  <c r="CO61" i="6"/>
  <c r="CO62" i="6"/>
  <c r="CO63" i="6"/>
  <c r="BB63" i="6"/>
  <c r="BB61" i="6"/>
  <c r="BB62" i="6"/>
  <c r="R63" i="6"/>
  <c r="R61" i="6"/>
  <c r="R62" i="6"/>
  <c r="BU63" i="6"/>
  <c r="BU62" i="6"/>
  <c r="BU61" i="6"/>
  <c r="CG61" i="6"/>
  <c r="CG62" i="6"/>
  <c r="CG63" i="6"/>
  <c r="Q67" i="6" a="1"/>
  <c r="AJ68" i="6"/>
  <c r="AJ67" i="6"/>
  <c r="AJ69" i="6"/>
  <c r="BR67" i="6" a="1"/>
  <c r="CK69" i="6"/>
  <c r="CK67" i="6"/>
  <c r="CK68" i="6"/>
  <c r="CT68" i="6"/>
  <c r="CT74" i="6" s="1"/>
  <c r="CT69" i="6"/>
  <c r="BH67" i="6" a="1"/>
  <c r="CM64" i="6" a="1"/>
  <c r="CS64" i="6"/>
  <c r="CS65" i="6"/>
  <c r="CS71" i="6" s="1"/>
  <c r="CS66" i="6"/>
  <c r="CF64" i="6" a="1"/>
  <c r="J64" i="6" a="1"/>
  <c r="X64" i="6" a="1"/>
  <c r="AP64" i="6" a="1"/>
  <c r="CW64" i="6" a="1"/>
  <c r="AL64" i="6" a="1"/>
  <c r="CR64" i="6" a="1"/>
  <c r="BA64" i="6" a="1"/>
  <c r="AW64" i="6" a="1"/>
  <c r="CY60" i="6"/>
  <c r="CH60" i="6"/>
  <c r="P67" i="6" a="1"/>
  <c r="P60" i="6"/>
  <c r="M60" i="6"/>
  <c r="BN60" i="6"/>
  <c r="BF67" i="6" a="1"/>
  <c r="BF60" i="6"/>
  <c r="AK60" i="6"/>
  <c r="CL61" i="6"/>
  <c r="CL63" i="6"/>
  <c r="CL62" i="6"/>
  <c r="CE60" i="6"/>
  <c r="AU62" i="6"/>
  <c r="AU63" i="6"/>
  <c r="AU61" i="6"/>
  <c r="BO60" i="6"/>
  <c r="CB60" i="6"/>
  <c r="W61" i="6"/>
  <c r="W63" i="6"/>
  <c r="W62" i="6"/>
  <c r="CR163" i="6"/>
  <c r="BN64" i="6"/>
  <c r="CP67" i="6"/>
  <c r="CP68" i="6"/>
  <c r="CP69" i="6"/>
  <c r="Z67" i="6" a="1"/>
  <c r="DA67" i="6" a="1"/>
  <c r="AG69" i="6"/>
  <c r="AG75" i="6" s="1"/>
  <c r="AG68" i="6"/>
  <c r="AG67" i="6"/>
  <c r="O67" i="6" a="1"/>
  <c r="BN67" i="6" a="1"/>
  <c r="AD67" i="6"/>
  <c r="BB64" i="6" a="1"/>
  <c r="CX64" i="6" a="1"/>
  <c r="AC64" i="6" a="1"/>
  <c r="G60" i="6"/>
  <c r="CR63" i="6"/>
  <c r="CR62" i="6"/>
  <c r="CR61" i="6"/>
  <c r="CS60" i="6"/>
  <c r="AN63" i="6"/>
  <c r="AN62" i="6"/>
  <c r="AN61" i="6"/>
  <c r="AL61" i="6"/>
  <c r="AL63" i="6"/>
  <c r="AL62" i="6"/>
  <c r="BS60" i="6"/>
  <c r="S61" i="6"/>
  <c r="S63" i="6"/>
  <c r="S62" i="6"/>
  <c r="CM60" i="6"/>
  <c r="AM60" i="6"/>
  <c r="AB60" i="6"/>
  <c r="BJ60" i="6"/>
  <c r="CI61" i="6"/>
  <c r="CI62" i="6"/>
  <c r="CI63" i="6"/>
  <c r="AP63" i="6"/>
  <c r="AP62" i="6"/>
  <c r="AP61" i="6"/>
  <c r="X69" i="6"/>
  <c r="X68" i="6"/>
  <c r="X67" i="6"/>
  <c r="BT64" i="6" a="1"/>
  <c r="AK64" i="6" a="1"/>
  <c r="BI66" i="6"/>
  <c r="BI64" i="6"/>
  <c r="BI65" i="6"/>
  <c r="BI71" i="6" s="1"/>
  <c r="AH65" i="6"/>
  <c r="AH64" i="6"/>
  <c r="AH66" i="6"/>
  <c r="BD64" i="6" a="1"/>
  <c r="CO64" i="6" a="1"/>
  <c r="CI64" i="6" a="1"/>
  <c r="AB64" i="6" a="1"/>
  <c r="CZ64" i="6" a="1"/>
  <c r="BS64" i="6" a="1"/>
  <c r="Y64" i="6" a="1"/>
  <c r="CK62" i="6"/>
  <c r="CK63" i="6"/>
  <c r="CK61" i="6"/>
  <c r="BV60" i="6"/>
  <c r="BQ63" i="6"/>
  <c r="BQ61" i="6"/>
  <c r="BQ62" i="6"/>
  <c r="CV60" i="6"/>
  <c r="F63" i="6"/>
  <c r="F61" i="6"/>
  <c r="F62" i="6"/>
  <c r="CF60" i="6"/>
  <c r="CD63" i="6"/>
  <c r="CD62" i="6"/>
  <c r="CD61" i="6"/>
  <c r="BX67" i="6" a="1"/>
  <c r="BX60" i="6"/>
  <c r="BT61" i="6"/>
  <c r="BT62" i="6"/>
  <c r="BT63" i="6"/>
  <c r="CW63" i="6"/>
  <c r="CW61" i="6"/>
  <c r="CW62" i="6"/>
  <c r="K62" i="6"/>
  <c r="K63" i="6"/>
  <c r="K61" i="6"/>
  <c r="BA60" i="6"/>
  <c r="AO60" i="6"/>
  <c r="N66" i="6"/>
  <c r="N64" i="6"/>
  <c r="N65" i="6"/>
  <c r="AU65" i="6"/>
  <c r="CS67" i="6"/>
  <c r="CS73" i="6" s="1"/>
  <c r="CS69" i="6"/>
  <c r="AH69" i="6"/>
  <c r="AH68" i="6"/>
  <c r="AH67" i="6"/>
  <c r="CA68" i="6"/>
  <c r="CA67" i="6"/>
  <c r="CA69" i="6"/>
  <c r="BP67" i="6" a="1"/>
  <c r="BS67" i="6" a="1"/>
  <c r="AI68" i="6"/>
  <c r="H67" i="6" a="1"/>
  <c r="V65" i="6"/>
  <c r="V66" i="6"/>
  <c r="V64" i="6"/>
  <c r="I65" i="6"/>
  <c r="AO64" i="6" a="1"/>
  <c r="G64" i="6" a="1"/>
  <c r="CC63" i="6"/>
  <c r="CC62" i="6"/>
  <c r="CC61" i="6"/>
  <c r="CQ67" i="6" a="1"/>
  <c r="CQ60" i="6"/>
  <c r="BM60" i="6"/>
  <c r="AI60" i="6"/>
  <c r="AW60" i="6"/>
  <c r="AW73" i="6"/>
  <c r="AX60" i="6"/>
  <c r="X61" i="6"/>
  <c r="X63" i="6"/>
  <c r="X62" i="6"/>
  <c r="AE60" i="6"/>
  <c r="AJ63" i="6"/>
  <c r="AJ61" i="6"/>
  <c r="AJ62" i="6"/>
  <c r="H61" i="6"/>
  <c r="H63" i="6"/>
  <c r="H62" i="6"/>
  <c r="L60" i="6"/>
  <c r="V60" i="6"/>
  <c r="AG60" i="6"/>
  <c r="AD158" i="6" a="1"/>
  <c r="AD159" i="6" s="1"/>
  <c r="BP163" i="6"/>
  <c r="BP162" i="6"/>
  <c r="BP167" i="6" s="1" a="1"/>
  <c r="CP158" i="6" a="1"/>
  <c r="CP158" i="6" s="1"/>
  <c r="M162" i="6"/>
  <c r="AO158" i="6" a="1"/>
  <c r="AO159" i="6" s="1"/>
  <c r="Y158" i="6" a="1"/>
  <c r="Y160" i="6" s="1"/>
  <c r="W158" i="6" a="1"/>
  <c r="W159" i="6" s="1"/>
  <c r="AK161" i="6"/>
  <c r="AK162" i="6"/>
  <c r="CD158" i="6" a="1"/>
  <c r="CD159" i="6" s="1"/>
  <c r="W163" i="6"/>
  <c r="AM161" i="6"/>
  <c r="BQ158" i="6" a="1"/>
  <c r="BQ159" i="6" s="1"/>
  <c r="CE161" i="6"/>
  <c r="CE162" i="6"/>
  <c r="CO158" i="6"/>
  <c r="CO159" i="6"/>
  <c r="AL158" i="6" a="1"/>
  <c r="AL159" i="6" s="1"/>
  <c r="CV161" i="6"/>
  <c r="CA158" i="6"/>
  <c r="CS162" i="6"/>
  <c r="CD163" i="6"/>
  <c r="CS163" i="6"/>
  <c r="F162" i="6"/>
  <c r="CD162" i="6"/>
  <c r="BP158" i="6" a="1"/>
  <c r="BP158" i="6" s="1"/>
  <c r="CK163" i="6"/>
  <c r="CK161" i="6"/>
  <c r="P160" i="6"/>
  <c r="CS158" i="6" a="1"/>
  <c r="CS160" i="6" s="1"/>
  <c r="CB161" i="6"/>
  <c r="AM162" i="6"/>
  <c r="P159" i="6"/>
  <c r="CB162" i="6"/>
  <c r="BA158" i="6" a="1"/>
  <c r="BA160" i="6" s="1"/>
  <c r="DA158" i="6" a="1"/>
  <c r="DA158" i="6" s="1"/>
  <c r="AN161" i="6"/>
  <c r="AQ158" i="6" a="1"/>
  <c r="AQ159" i="6" s="1"/>
  <c r="AN163" i="6"/>
  <c r="BW163" i="6"/>
  <c r="Y161" i="6"/>
  <c r="AZ158" i="6" a="1"/>
  <c r="AZ160" i="6" s="1"/>
  <c r="M158" i="6" a="1"/>
  <c r="M159" i="6" s="1"/>
  <c r="T158" i="6" a="1"/>
  <c r="T159" i="6" s="1"/>
  <c r="CR158" i="6" a="1"/>
  <c r="CR159" i="6" s="1"/>
  <c r="BQ162" i="6"/>
  <c r="G161" i="6" a="1"/>
  <c r="G161" i="6" s="1"/>
  <c r="BA161" i="6"/>
  <c r="AK158" i="6" a="1"/>
  <c r="AK158" i="6" s="1"/>
  <c r="BA163" i="6"/>
  <c r="BQ161" i="6"/>
  <c r="CA163" i="6"/>
  <c r="CA161" i="6"/>
  <c r="CA162" i="6"/>
  <c r="AB158" i="6"/>
  <c r="F163" i="6"/>
  <c r="AB160" i="6"/>
  <c r="CJ161" i="6"/>
  <c r="CK158" i="6" a="1"/>
  <c r="CK159" i="6" s="1"/>
  <c r="AM158" i="6" a="1"/>
  <c r="AM160" i="6" s="1"/>
  <c r="BM161" i="6"/>
  <c r="W162" i="6"/>
  <c r="BM162" i="6"/>
  <c r="DA163" i="6"/>
  <c r="BM158" i="6" a="1"/>
  <c r="BM159" i="6" s="1"/>
  <c r="CB160" i="6"/>
  <c r="CB158" i="6"/>
  <c r="CB159" i="6"/>
  <c r="P161" i="6" a="1"/>
  <c r="P163" i="6" s="1"/>
  <c r="BO158" i="6" a="1"/>
  <c r="BO160" i="6" s="1"/>
  <c r="AW162" i="6"/>
  <c r="CE163" i="6"/>
  <c r="CG158" i="6" a="1"/>
  <c r="CG160" i="6" s="1"/>
  <c r="AW161" i="6"/>
  <c r="AF158" i="6"/>
  <c r="CJ160" i="6"/>
  <c r="DA162" i="6"/>
  <c r="CV158" i="6" a="1"/>
  <c r="CV160" i="6" s="1"/>
  <c r="AF160" i="6"/>
  <c r="Y162" i="6"/>
  <c r="U163" i="6"/>
  <c r="F158" i="6" a="1"/>
  <c r="F160" i="6" s="1"/>
  <c r="CP163" i="6"/>
  <c r="CJ162" i="6"/>
  <c r="CJ159" i="6"/>
  <c r="T163" i="6"/>
  <c r="AB163" i="6"/>
  <c r="CP162" i="6"/>
  <c r="CT158" i="6" a="1"/>
  <c r="CT158" i="6" s="1"/>
  <c r="CV163" i="6"/>
  <c r="AL161" i="6"/>
  <c r="AL162" i="6"/>
  <c r="CO160" i="6"/>
  <c r="M161" i="6"/>
  <c r="CF161" i="6" a="1"/>
  <c r="CF162" i="6" s="1"/>
  <c r="AY158" i="6"/>
  <c r="AY159" i="6"/>
  <c r="AW160" i="6"/>
  <c r="CE158" i="6"/>
  <c r="Q158" i="6"/>
  <c r="Z158" i="6" a="1"/>
  <c r="Z160" i="6" s="1"/>
  <c r="Q160" i="6"/>
  <c r="AY163" i="6"/>
  <c r="AY162" i="6"/>
  <c r="AY161" i="6"/>
  <c r="T161" i="6"/>
  <c r="AB161" i="6"/>
  <c r="G158" i="6"/>
  <c r="BS159" i="6"/>
  <c r="Z163" i="6"/>
  <c r="AD161" i="6"/>
  <c r="Z161" i="6"/>
  <c r="CE160" i="6"/>
  <c r="AD162" i="6"/>
  <c r="N158" i="6" a="1"/>
  <c r="N158" i="6" s="1"/>
  <c r="BW158" i="6" a="1"/>
  <c r="BW158" i="6" s="1"/>
  <c r="BI158" i="6" a="1"/>
  <c r="BI158" i="6" s="1"/>
  <c r="BS160" i="6"/>
  <c r="I161" i="6" a="1"/>
  <c r="I161" i="6" s="1"/>
  <c r="Y159" i="6"/>
  <c r="AU158" i="6" a="1"/>
  <c r="AU159" i="6" s="1"/>
  <c r="AN158" i="6" a="1"/>
  <c r="AN158" i="6" s="1"/>
  <c r="BO161" i="6"/>
  <c r="CZ158" i="6" a="1"/>
  <c r="CZ160" i="6" s="1"/>
  <c r="CA160" i="6"/>
  <c r="G159" i="6"/>
  <c r="AX158" i="6" a="1"/>
  <c r="AX158" i="6" s="1"/>
  <c r="BW162" i="6"/>
  <c r="N161" i="6" a="1"/>
  <c r="N163" i="6" s="1"/>
  <c r="BT158" i="6" a="1"/>
  <c r="BT158" i="6" s="1"/>
  <c r="CT162" i="6"/>
  <c r="U162" i="6"/>
  <c r="X158" i="6" a="1"/>
  <c r="X159" i="6" s="1"/>
  <c r="CT161" i="6"/>
  <c r="BB161" i="6" a="1"/>
  <c r="BB162" i="6" s="1"/>
  <c r="BU158" i="6" a="1"/>
  <c r="BU158" i="6" s="1"/>
  <c r="J158" i="6" a="1"/>
  <c r="J160" i="6" s="1"/>
  <c r="BI161" i="6"/>
  <c r="BI162" i="6"/>
  <c r="BI163" i="6"/>
  <c r="CQ158" i="6" a="1"/>
  <c r="CQ160" i="6" s="1"/>
  <c r="CI161" i="6" a="1"/>
  <c r="CI163" i="6" s="1"/>
  <c r="CI158" i="6" a="1"/>
  <c r="CI158" i="6" s="1"/>
  <c r="AS161" i="6" a="1"/>
  <c r="AS161" i="6" s="1"/>
  <c r="AV161" i="6" a="1"/>
  <c r="AV163" i="6" s="1"/>
  <c r="AR163" i="6"/>
  <c r="AR161" i="6"/>
  <c r="AR162" i="6"/>
  <c r="CL158" i="6" a="1"/>
  <c r="CL159" i="6" s="1"/>
  <c r="AH161" i="6" a="1"/>
  <c r="AH161" i="6" s="1"/>
  <c r="BF158" i="6" a="1"/>
  <c r="BF158" i="6" s="1"/>
  <c r="AV158" i="6" a="1"/>
  <c r="AV158" i="6" s="1"/>
  <c r="BO163" i="6"/>
  <c r="CH158" i="6" a="1"/>
  <c r="CH160" i="6" s="1"/>
  <c r="AU161" i="6" a="1"/>
  <c r="AU161" i="6" s="1"/>
  <c r="BV161" i="6" a="1"/>
  <c r="BV163" i="6" s="1"/>
  <c r="BF161" i="6" a="1"/>
  <c r="BF161" i="6" s="1"/>
  <c r="AC161" i="6" a="1"/>
  <c r="AC163" i="6" s="1"/>
  <c r="CU158" i="6" a="1"/>
  <c r="CU160" i="6" s="1"/>
  <c r="AQ161" i="6"/>
  <c r="AQ162" i="6"/>
  <c r="AQ163" i="6"/>
  <c r="CN158" i="6" a="1"/>
  <c r="CN159" i="6" s="1"/>
  <c r="BX159" i="6"/>
  <c r="AR158" i="6"/>
  <c r="AR159" i="6"/>
  <c r="AR160" i="6"/>
  <c r="CQ161" i="6" a="1"/>
  <c r="CQ162" i="6" s="1"/>
  <c r="CW158" i="6" a="1"/>
  <c r="CW159" i="6" s="1"/>
  <c r="O161" i="6" a="1"/>
  <c r="O161" i="6" s="1"/>
  <c r="K158" i="6" a="1"/>
  <c r="K160" i="6" s="1"/>
  <c r="BN158" i="6" a="1"/>
  <c r="BN160" i="6" s="1"/>
  <c r="AW158" i="6"/>
  <c r="BX158" i="6"/>
  <c r="CZ161" i="6" a="1"/>
  <c r="CZ161" i="6" s="1"/>
  <c r="BC161" i="6" a="1"/>
  <c r="BC162" i="6" s="1"/>
  <c r="BJ161" i="6" a="1"/>
  <c r="BJ162" i="6" s="1"/>
  <c r="BY158" i="6" a="1"/>
  <c r="AA158" i="6" a="1"/>
  <c r="CY158" i="6" a="1"/>
  <c r="CU161" i="6" a="1"/>
  <c r="BZ162" i="6"/>
  <c r="BZ161" i="6"/>
  <c r="BZ163" i="6"/>
  <c r="AI158" i="6" a="1"/>
  <c r="BX161" i="6"/>
  <c r="BX163" i="6"/>
  <c r="BX162" i="6"/>
  <c r="AC158" i="6" a="1"/>
  <c r="Q167" i="6" a="1"/>
  <c r="CH161" i="6" a="1"/>
  <c r="CD160" i="6"/>
  <c r="CF158" i="6" a="1"/>
  <c r="I158" i="6" a="1"/>
  <c r="O158" i="6" a="1"/>
  <c r="AH158" i="6" a="1"/>
  <c r="AA161" i="6" a="1"/>
  <c r="BH158" i="6"/>
  <c r="BH159" i="6"/>
  <c r="BH160" i="6"/>
  <c r="CY161" i="6" a="1"/>
  <c r="BJ158" i="6" a="1"/>
  <c r="AI161" i="6" a="1"/>
  <c r="BL158" i="6" a="1"/>
  <c r="CN161" i="6" a="1"/>
  <c r="V158" i="6" a="1"/>
  <c r="BL161" i="6" a="1"/>
  <c r="X161" i="6" a="1"/>
  <c r="J161" i="6" a="1"/>
  <c r="AX161" i="6" a="1"/>
  <c r="R158" i="6" a="1"/>
  <c r="L158" i="6" a="1"/>
  <c r="AZ167" i="6" a="1"/>
  <c r="K161" i="6" a="1"/>
  <c r="BK158" i="6" a="1"/>
  <c r="BR161" i="6" a="1"/>
  <c r="S158" i="6" a="1"/>
  <c r="AO167" i="6" a="1"/>
  <c r="CO167" i="6" a="1"/>
  <c r="AS158" i="6" a="1"/>
  <c r="AT158" i="6" a="1"/>
  <c r="AE158" i="6" a="1"/>
  <c r="AG158" i="6" a="1"/>
  <c r="CW161" i="6" a="1"/>
  <c r="BG158" i="6" a="1"/>
  <c r="BD161" i="6" a="1"/>
  <c r="V161" i="6" a="1"/>
  <c r="BZ159" i="6"/>
  <c r="BZ158" i="6"/>
  <c r="BZ160" i="6"/>
  <c r="CR167" i="6" a="1"/>
  <c r="CL161" i="6" a="1"/>
  <c r="S161" i="6" a="1"/>
  <c r="BV158" i="6" a="1"/>
  <c r="BS167" i="6" a="1"/>
  <c r="BG161" i="6" a="1"/>
  <c r="L161" i="6" a="1"/>
  <c r="BK161" i="6" a="1"/>
  <c r="AJ158" i="6" a="1"/>
  <c r="BE158" i="6" a="1"/>
  <c r="AT161" i="6" a="1"/>
  <c r="AE161" i="6" a="1"/>
  <c r="BH162" i="6"/>
  <c r="BH161" i="6"/>
  <c r="BH163" i="6"/>
  <c r="AG161" i="6" a="1"/>
  <c r="H158" i="6" a="1"/>
  <c r="AP158" i="6" a="1"/>
  <c r="CX158" i="6" a="1"/>
  <c r="CC161" i="6" a="1"/>
  <c r="U159" i="6"/>
  <c r="U158" i="6"/>
  <c r="U160" i="6"/>
  <c r="CM161" i="6" a="1"/>
  <c r="BD158" i="6" a="1"/>
  <c r="BB158" i="6" a="1"/>
  <c r="R161" i="6" a="1"/>
  <c r="BR158" i="6" a="1"/>
  <c r="BU161" i="6" a="1"/>
  <c r="BN161" i="6" a="1"/>
  <c r="AJ161" i="6" a="1"/>
  <c r="BE161" i="6" a="1"/>
  <c r="BT161" i="6" a="1"/>
  <c r="BC158" i="6" a="1"/>
  <c r="H161" i="6" a="1"/>
  <c r="AP161" i="6" a="1"/>
  <c r="CX161" i="6" a="1"/>
  <c r="CP160" i="6"/>
  <c r="BY161" i="6" a="1"/>
  <c r="CC158" i="6" a="1"/>
  <c r="CM158" i="6" a="1"/>
  <c r="AF167" i="6" a="1"/>
  <c r="BE68" i="6" l="1"/>
  <c r="BE74" i="6" s="1"/>
  <c r="BD68" i="6"/>
  <c r="U66" i="6"/>
  <c r="CN68" i="6"/>
  <c r="AZ64" i="6"/>
  <c r="AD158" i="6"/>
  <c r="AD164" i="6" s="1" a="1"/>
  <c r="CH69" i="6"/>
  <c r="CH75" i="6" s="1"/>
  <c r="CP159" i="6"/>
  <c r="AD160" i="6"/>
  <c r="AI69" i="6"/>
  <c r="AU66" i="6"/>
  <c r="BE67" i="6"/>
  <c r="BE73" i="6" s="1"/>
  <c r="L69" i="6"/>
  <c r="L75" i="6" s="1"/>
  <c r="BF66" i="6"/>
  <c r="AO158" i="6"/>
  <c r="AO164" i="6" s="1" a="1"/>
  <c r="AO166" i="6" s="1"/>
  <c r="AO172" i="6" s="1"/>
  <c r="AD68" i="6"/>
  <c r="CN67" i="6"/>
  <c r="Q66" i="6"/>
  <c r="AU69" i="6"/>
  <c r="CC69" i="6"/>
  <c r="CC75" i="6" s="1"/>
  <c r="Q65" i="6"/>
  <c r="AU67" i="6"/>
  <c r="AU73" i="6" s="1"/>
  <c r="CC67" i="6"/>
  <c r="CC73" i="6" s="1"/>
  <c r="CH68" i="6"/>
  <c r="AO160" i="6"/>
  <c r="BO69" i="6"/>
  <c r="L68" i="6"/>
  <c r="BN66" i="6"/>
  <c r="BL64" i="6"/>
  <c r="CI68" i="6"/>
  <c r="CI74" i="6" s="1"/>
  <c r="BU66" i="6"/>
  <c r="BU72" i="6" s="1"/>
  <c r="AI64" i="6"/>
  <c r="AC69" i="6"/>
  <c r="CI67" i="6"/>
  <c r="CI73" i="6" s="1"/>
  <c r="CU67" i="6"/>
  <c r="AI66" i="6"/>
  <c r="CJ65" i="6"/>
  <c r="CL66" i="6"/>
  <c r="CL72" i="6" s="1"/>
  <c r="CL64" i="6"/>
  <c r="M167" i="6" a="1"/>
  <c r="AR65" i="6"/>
  <c r="AR71" i="6" s="1"/>
  <c r="BU64" i="6"/>
  <c r="AC68" i="6"/>
  <c r="U65" i="6"/>
  <c r="AZ66" i="6"/>
  <c r="CU68" i="6"/>
  <c r="R68" i="6"/>
  <c r="CJ64" i="6"/>
  <c r="CJ70" i="6" s="1"/>
  <c r="AR64" i="6"/>
  <c r="CQ64" i="6"/>
  <c r="CC65" i="6"/>
  <c r="CC71" i="6" s="1"/>
  <c r="CJ69" i="6"/>
  <c r="CJ75" i="6" s="1"/>
  <c r="BA67" i="6"/>
  <c r="BA73" i="6" s="1"/>
  <c r="BK67" i="6"/>
  <c r="BK73" i="6" s="1"/>
  <c r="I66" i="6"/>
  <c r="H65" i="6"/>
  <c r="CB67" i="6"/>
  <c r="CB73" i="6" s="1"/>
  <c r="CW69" i="6"/>
  <c r="CW75" i="6" s="1"/>
  <c r="AK68" i="6"/>
  <c r="CX67" i="6"/>
  <c r="CX73" i="6" s="1"/>
  <c r="CB69" i="6"/>
  <c r="CB75" i="6" s="1"/>
  <c r="CW67" i="6"/>
  <c r="CW73" i="6" s="1"/>
  <c r="AK69" i="6"/>
  <c r="F68" i="6"/>
  <c r="F74" i="6" s="1"/>
  <c r="CX69" i="6"/>
  <c r="CX75" i="6" s="1"/>
  <c r="BC66" i="6"/>
  <c r="BP64" i="6"/>
  <c r="M66" i="6"/>
  <c r="M72" i="6" s="1"/>
  <c r="BM68" i="6"/>
  <c r="BM74" i="6" s="1"/>
  <c r="BA68" i="6"/>
  <c r="BA74" i="6" s="1"/>
  <c r="F67" i="6"/>
  <c r="F73" i="6" s="1"/>
  <c r="CH64" i="6"/>
  <c r="CH70" i="6" s="1"/>
  <c r="BP65" i="6"/>
  <c r="M65" i="6"/>
  <c r="M69" i="6"/>
  <c r="CC66" i="6"/>
  <c r="AT64" i="6"/>
  <c r="BE65" i="6"/>
  <c r="CD66" i="6"/>
  <c r="AQ65" i="6"/>
  <c r="CF69" i="6"/>
  <c r="CF75" i="6" s="1"/>
  <c r="CD65" i="6"/>
  <c r="CD71" i="6" s="1"/>
  <c r="K69" i="6"/>
  <c r="K68" i="6"/>
  <c r="K74" i="6" s="1"/>
  <c r="AJ65" i="6"/>
  <c r="AJ71" i="6" s="1"/>
  <c r="CV66" i="6"/>
  <c r="CH66" i="6"/>
  <c r="BZ69" i="6"/>
  <c r="BZ75" i="6" s="1"/>
  <c r="AQ64" i="6"/>
  <c r="AD65" i="6"/>
  <c r="AD71" i="6" s="1"/>
  <c r="BZ68" i="6"/>
  <c r="G68" i="6"/>
  <c r="G74" i="6" s="1"/>
  <c r="AL67" i="6"/>
  <c r="AL73" i="6" s="1"/>
  <c r="AW79" i="6" a="1"/>
  <c r="AW81" i="6" s="1"/>
  <c r="BJ67" i="6"/>
  <c r="CG69" i="6"/>
  <c r="CG75" i="6" s="1"/>
  <c r="L64" i="6"/>
  <c r="L70" i="6" s="1"/>
  <c r="G67" i="6"/>
  <c r="CG68" i="6"/>
  <c r="CG74" i="6" s="1"/>
  <c r="BJ69" i="6"/>
  <c r="BJ75" i="6" s="1"/>
  <c r="BM69" i="6"/>
  <c r="BM75" i="6" s="1"/>
  <c r="BQ69" i="6"/>
  <c r="L65" i="6"/>
  <c r="L71" i="6" s="1"/>
  <c r="BL66" i="6"/>
  <c r="BL72" i="6" s="1"/>
  <c r="BQ67" i="6"/>
  <c r="BQ73" i="6" s="1"/>
  <c r="BY64" i="6"/>
  <c r="CR68" i="6"/>
  <c r="CR74" i="6" s="1"/>
  <c r="CU72" i="6"/>
  <c r="AE69" i="6"/>
  <c r="AE75" i="6" s="1"/>
  <c r="CQ65" i="6"/>
  <c r="AM67" i="6"/>
  <c r="AM73" i="6" s="1"/>
  <c r="BY65" i="6"/>
  <c r="CR67" i="6"/>
  <c r="CR73" i="6" s="1"/>
  <c r="AE67" i="6"/>
  <c r="AE73" i="6" s="1"/>
  <c r="AT66" i="6"/>
  <c r="BC64" i="6"/>
  <c r="CO67" i="6"/>
  <c r="CO73" i="6" s="1"/>
  <c r="BI67" i="6"/>
  <c r="BI70" i="6" s="1"/>
  <c r="CO69" i="6"/>
  <c r="CZ67" i="6"/>
  <c r="CZ73" i="6" s="1"/>
  <c r="CZ68" i="6"/>
  <c r="CZ74" i="6" s="1"/>
  <c r="CZ69" i="6"/>
  <c r="CZ75" i="6" s="1"/>
  <c r="BK68" i="6"/>
  <c r="BK74" i="6" s="1"/>
  <c r="AL68" i="6"/>
  <c r="AL74" i="6" s="1"/>
  <c r="CJ68" i="6"/>
  <c r="CJ74" i="6" s="1"/>
  <c r="CJ79" i="6" s="1" a="1"/>
  <c r="BF64" i="6"/>
  <c r="CY69" i="6"/>
  <c r="CY75" i="6" s="1"/>
  <c r="O65" i="6"/>
  <c r="CD69" i="6"/>
  <c r="O64" i="6"/>
  <c r="CD67" i="6"/>
  <c r="CD73" i="6" s="1"/>
  <c r="CB64" i="6"/>
  <c r="BV67" i="6"/>
  <c r="BV73" i="6" s="1"/>
  <c r="AM65" i="6"/>
  <c r="AM71" i="6" s="1"/>
  <c r="Y68" i="6"/>
  <c r="Y74" i="6" s="1"/>
  <c r="AO69" i="6"/>
  <c r="AO75" i="6" s="1"/>
  <c r="CB65" i="6"/>
  <c r="CB71" i="6" s="1"/>
  <c r="BV69" i="6"/>
  <c r="BV75" i="6" s="1"/>
  <c r="AM64" i="6"/>
  <c r="Y67" i="6"/>
  <c r="Y73" i="6" s="1"/>
  <c r="T69" i="6"/>
  <c r="T72" i="6" s="1"/>
  <c r="BO66" i="6"/>
  <c r="BO72" i="6" s="1"/>
  <c r="M68" i="6"/>
  <c r="M74" i="6" s="1"/>
  <c r="AD66" i="6"/>
  <c r="AD72" i="6" s="1"/>
  <c r="CV65" i="6"/>
  <c r="CF67" i="6"/>
  <c r="CF73" i="6" s="1"/>
  <c r="AP69" i="6"/>
  <c r="AP75" i="6" s="1"/>
  <c r="AS68" i="6"/>
  <c r="AS74" i="6" s="1"/>
  <c r="AP67" i="6"/>
  <c r="AP73" i="6" s="1"/>
  <c r="AS67" i="6"/>
  <c r="AS73" i="6" s="1"/>
  <c r="AN68" i="6"/>
  <c r="AN74" i="6" s="1"/>
  <c r="BJ64" i="6"/>
  <c r="AN67" i="6"/>
  <c r="AN73" i="6" s="1"/>
  <c r="BT67" i="6"/>
  <c r="BT73" i="6" s="1"/>
  <c r="CP65" i="6"/>
  <c r="CP71" i="6" s="1"/>
  <c r="AJ64" i="6"/>
  <c r="AJ70" i="6" s="1"/>
  <c r="BT68" i="6"/>
  <c r="BT74" i="6" s="1"/>
  <c r="CP64" i="6"/>
  <c r="CP70" i="6" s="1"/>
  <c r="BB67" i="6"/>
  <c r="BB73" i="6" s="1"/>
  <c r="BJ66" i="6"/>
  <c r="BI69" i="6"/>
  <c r="BI72" i="6" s="1"/>
  <c r="AO67" i="6"/>
  <c r="BE64" i="6"/>
  <c r="BO64" i="6"/>
  <c r="BO70" i="6" s="1"/>
  <c r="J79" i="6" a="1"/>
  <c r="J81" i="6" s="1"/>
  <c r="CE69" i="6"/>
  <c r="CE75" i="6" s="1"/>
  <c r="AE64" i="6"/>
  <c r="BZ66" i="6"/>
  <c r="CY67" i="6"/>
  <c r="AX68" i="6"/>
  <c r="AX71" i="6" s="1"/>
  <c r="AE71" i="6"/>
  <c r="V67" i="6"/>
  <c r="V73" i="6" s="1"/>
  <c r="BU67" i="6"/>
  <c r="BU73" i="6" s="1"/>
  <c r="AX75" i="6"/>
  <c r="AX72" i="6"/>
  <c r="BB69" i="6"/>
  <c r="BB75" i="6" s="1"/>
  <c r="BO71" i="6"/>
  <c r="BU68" i="6"/>
  <c r="BU74" i="6" s="1"/>
  <c r="V68" i="6"/>
  <c r="V74" i="6" s="1"/>
  <c r="BZ65" i="6"/>
  <c r="BZ71" i="6" s="1"/>
  <c r="T67" i="6"/>
  <c r="T73" i="6" s="1"/>
  <c r="AX67" i="6"/>
  <c r="AX73" i="6" s="1"/>
  <c r="AE66" i="6"/>
  <c r="CY64" i="6"/>
  <c r="AH72" i="6"/>
  <c r="L72" i="6"/>
  <c r="CY66" i="6"/>
  <c r="W66" i="6"/>
  <c r="W72" i="6" s="1"/>
  <c r="AR70" i="6"/>
  <c r="BZ70" i="6"/>
  <c r="W65" i="6"/>
  <c r="W71" i="6" s="1"/>
  <c r="AI70" i="6"/>
  <c r="R65" i="6"/>
  <c r="CL67" i="6"/>
  <c r="CL73" i="6" s="1"/>
  <c r="BR64" i="6"/>
  <c r="CP167" i="6" a="1"/>
  <c r="CP167" i="6" s="1"/>
  <c r="CP173" i="6" s="1"/>
  <c r="R66" i="6"/>
  <c r="R72" i="6" s="1"/>
  <c r="CL68" i="6"/>
  <c r="CL71" i="6" s="1"/>
  <c r="BR65" i="6"/>
  <c r="BG67" i="6"/>
  <c r="BG73" i="6" s="1"/>
  <c r="BG69" i="6"/>
  <c r="BG75" i="6" s="1"/>
  <c r="BG68" i="6"/>
  <c r="BG74" i="6" s="1"/>
  <c r="CY71" i="6"/>
  <c r="L63" i="6"/>
  <c r="L62" i="6"/>
  <c r="L61" i="6"/>
  <c r="AE61" i="6"/>
  <c r="AE63" i="6"/>
  <c r="AE62" i="6"/>
  <c r="AK75" i="6"/>
  <c r="BS68" i="6"/>
  <c r="BS69" i="6"/>
  <c r="BS67" i="6"/>
  <c r="BX63" i="6"/>
  <c r="BX61" i="6"/>
  <c r="BX62" i="6"/>
  <c r="BS66" i="6"/>
  <c r="BS64" i="6"/>
  <c r="BS65" i="6"/>
  <c r="BT64" i="6"/>
  <c r="BT65" i="6"/>
  <c r="BT66" i="6"/>
  <c r="BT72" i="6" s="1"/>
  <c r="BB74" i="6"/>
  <c r="X73" i="6"/>
  <c r="AM63" i="6"/>
  <c r="AM61" i="6"/>
  <c r="AM62" i="6"/>
  <c r="CS70" i="6"/>
  <c r="CX64" i="6"/>
  <c r="CX65" i="6"/>
  <c r="CX71" i="6" s="1"/>
  <c r="CX66" i="6"/>
  <c r="AD70" i="6"/>
  <c r="AD73" i="6"/>
  <c r="BU75" i="6"/>
  <c r="AK63" i="6"/>
  <c r="AK61" i="6"/>
  <c r="AK62" i="6"/>
  <c r="AP66" i="6"/>
  <c r="AP64" i="6"/>
  <c r="AP65" i="6"/>
  <c r="AP71" i="6" s="1"/>
  <c r="CT75" i="6"/>
  <c r="AJ73" i="6"/>
  <c r="CN74" i="6"/>
  <c r="CE64" i="6"/>
  <c r="CE70" i="6" s="1"/>
  <c r="CE66" i="6"/>
  <c r="CE65" i="6"/>
  <c r="CE71" i="6" s="1"/>
  <c r="CA74" i="6"/>
  <c r="BZ62" i="6"/>
  <c r="BZ63" i="6"/>
  <c r="BZ61" i="6"/>
  <c r="CJ61" i="6"/>
  <c r="CJ63" i="6"/>
  <c r="CJ62" i="6"/>
  <c r="BG64" i="6"/>
  <c r="BG65" i="6"/>
  <c r="BG66" i="6"/>
  <c r="K65" i="6"/>
  <c r="K64" i="6"/>
  <c r="K70" i="6" s="1"/>
  <c r="K66" i="6"/>
  <c r="K72" i="6" s="1"/>
  <c r="V75" i="6"/>
  <c r="V72" i="6"/>
  <c r="CA75" i="6"/>
  <c r="CU75" i="6"/>
  <c r="AH75" i="6"/>
  <c r="AQ68" i="6"/>
  <c r="AQ69" i="6"/>
  <c r="AQ67" i="6"/>
  <c r="AT69" i="6"/>
  <c r="AT68" i="6"/>
  <c r="AT67" i="6"/>
  <c r="BL71" i="6"/>
  <c r="BL74" i="6"/>
  <c r="CD74" i="6"/>
  <c r="Q61" i="6"/>
  <c r="Q63" i="6"/>
  <c r="Q62" i="6"/>
  <c r="BY62" i="6"/>
  <c r="BY63" i="6"/>
  <c r="BY61" i="6"/>
  <c r="BC62" i="6"/>
  <c r="BC61" i="6"/>
  <c r="BC63" i="6"/>
  <c r="BP69" i="6"/>
  <c r="BP67" i="6"/>
  <c r="BP68" i="6"/>
  <c r="CZ66" i="6"/>
  <c r="CZ65" i="6"/>
  <c r="CZ64" i="6"/>
  <c r="BE75" i="6"/>
  <c r="BE72" i="6"/>
  <c r="X74" i="6"/>
  <c r="BS63" i="6"/>
  <c r="BS62" i="6"/>
  <c r="BS61" i="6"/>
  <c r="CS61" i="6"/>
  <c r="CS63" i="6"/>
  <c r="CS62" i="6"/>
  <c r="AD74" i="6"/>
  <c r="BN69" i="6"/>
  <c r="BN68" i="6"/>
  <c r="BN67" i="6"/>
  <c r="DA67" i="6"/>
  <c r="DA68" i="6"/>
  <c r="DA69" i="6"/>
  <c r="X66" i="6"/>
  <c r="X72" i="6" s="1"/>
  <c r="X65" i="6"/>
  <c r="X71" i="6" s="1"/>
  <c r="X64" i="6"/>
  <c r="X70" i="6" s="1"/>
  <c r="AJ74" i="6"/>
  <c r="CN73" i="6"/>
  <c r="AV62" i="6"/>
  <c r="AV63" i="6"/>
  <c r="AV61" i="6"/>
  <c r="AY64" i="6"/>
  <c r="AY66" i="6"/>
  <c r="AY65" i="6"/>
  <c r="BW68" i="6"/>
  <c r="BW67" i="6"/>
  <c r="BW69" i="6"/>
  <c r="BD74" i="6"/>
  <c r="BD79" i="6" s="1" a="1"/>
  <c r="F65" i="6"/>
  <c r="F64" i="6"/>
  <c r="F66" i="6"/>
  <c r="F72" i="6" s="1"/>
  <c r="CN66" i="6"/>
  <c r="CN72" i="6" s="1"/>
  <c r="CN65" i="6"/>
  <c r="CN71" i="6" s="1"/>
  <c r="CN64" i="6"/>
  <c r="CN70" i="6" s="1"/>
  <c r="CO74" i="6"/>
  <c r="CA73" i="6"/>
  <c r="AH63" i="6"/>
  <c r="AH61" i="6"/>
  <c r="AH62" i="6"/>
  <c r="BM65" i="6"/>
  <c r="BM64" i="6"/>
  <c r="BM70" i="6" s="1"/>
  <c r="BM66" i="6"/>
  <c r="BL75" i="6"/>
  <c r="R73" i="6"/>
  <c r="R70" i="6"/>
  <c r="CM68" i="6"/>
  <c r="CM69" i="6"/>
  <c r="CM67" i="6"/>
  <c r="CW74" i="6"/>
  <c r="AI62" i="6"/>
  <c r="AI61" i="6"/>
  <c r="AI63" i="6"/>
  <c r="AI75" i="6"/>
  <c r="CS72" i="6"/>
  <c r="CS75" i="6"/>
  <c r="CS79" i="6" s="1" a="1"/>
  <c r="CS81" i="6" s="1"/>
  <c r="AO61" i="6"/>
  <c r="AO63" i="6"/>
  <c r="AO62" i="6"/>
  <c r="BX67" i="6"/>
  <c r="BX69" i="6"/>
  <c r="BX68" i="6"/>
  <c r="AB66" i="6"/>
  <c r="AB72" i="6" s="1"/>
  <c r="AB64" i="6"/>
  <c r="AB70" i="6" s="1"/>
  <c r="AB65" i="6"/>
  <c r="AB71" i="6" s="1"/>
  <c r="AP74" i="6"/>
  <c r="X75" i="6"/>
  <c r="BJ62" i="6"/>
  <c r="BJ61" i="6"/>
  <c r="BJ63" i="6"/>
  <c r="AD75" i="6"/>
  <c r="O69" i="6"/>
  <c r="O68" i="6"/>
  <c r="O67" i="6"/>
  <c r="Z67" i="6"/>
  <c r="Z69" i="6"/>
  <c r="Z68" i="6"/>
  <c r="T71" i="6"/>
  <c r="T74" i="6"/>
  <c r="CB62" i="6"/>
  <c r="CB63" i="6"/>
  <c r="CB61" i="6"/>
  <c r="CE61" i="6"/>
  <c r="CE63" i="6"/>
  <c r="CE62" i="6"/>
  <c r="BF61" i="6"/>
  <c r="BF62" i="6"/>
  <c r="BF63" i="6"/>
  <c r="M61" i="6"/>
  <c r="M63" i="6"/>
  <c r="M62" i="6"/>
  <c r="CY63" i="6"/>
  <c r="CY62" i="6"/>
  <c r="CY61" i="6"/>
  <c r="J66" i="6"/>
  <c r="J72" i="6" s="1"/>
  <c r="J64" i="6"/>
  <c r="J70" i="6" s="1"/>
  <c r="J65" i="6"/>
  <c r="J71" i="6" s="1"/>
  <c r="CM65" i="6"/>
  <c r="CM64" i="6"/>
  <c r="CM66" i="6"/>
  <c r="CK71" i="6"/>
  <c r="CK74" i="6"/>
  <c r="Y75" i="6"/>
  <c r="Q69" i="6"/>
  <c r="Q68" i="6"/>
  <c r="Q67" i="6"/>
  <c r="AV69" i="6"/>
  <c r="AV68" i="6"/>
  <c r="AV67" i="6"/>
  <c r="DA65" i="6"/>
  <c r="DA66" i="6"/>
  <c r="DA64" i="6"/>
  <c r="AB75" i="6"/>
  <c r="AR61" i="6"/>
  <c r="AR62" i="6"/>
  <c r="AR63" i="6"/>
  <c r="BW66" i="6"/>
  <c r="BW65" i="6"/>
  <c r="BW64" i="6"/>
  <c r="CO75" i="6"/>
  <c r="AU72" i="6"/>
  <c r="AU75" i="6"/>
  <c r="CU61" i="6"/>
  <c r="CU62" i="6"/>
  <c r="CU63" i="6"/>
  <c r="CA65" i="6"/>
  <c r="CA71" i="6" s="1"/>
  <c r="CA64" i="6"/>
  <c r="CA70" i="6" s="1"/>
  <c r="CA66" i="6"/>
  <c r="CA72" i="6" s="1"/>
  <c r="BL70" i="6"/>
  <c r="BL73" i="6"/>
  <c r="R75" i="6"/>
  <c r="BO75" i="6"/>
  <c r="BY68" i="6"/>
  <c r="BY67" i="6"/>
  <c r="BY69" i="6"/>
  <c r="BC68" i="6"/>
  <c r="BC67" i="6"/>
  <c r="BC69" i="6"/>
  <c r="G66" i="6"/>
  <c r="G72" i="6" s="1"/>
  <c r="G65" i="6"/>
  <c r="G64" i="6"/>
  <c r="AI71" i="6"/>
  <c r="AI74" i="6"/>
  <c r="BV62" i="6"/>
  <c r="BV61" i="6"/>
  <c r="BV63" i="6"/>
  <c r="CI64" i="6"/>
  <c r="CI66" i="6"/>
  <c r="CI72" i="6" s="1"/>
  <c r="CI65" i="6"/>
  <c r="CM62" i="6"/>
  <c r="CM63" i="6"/>
  <c r="CM61" i="6"/>
  <c r="AG73" i="6"/>
  <c r="CP72" i="6"/>
  <c r="CP75" i="6"/>
  <c r="K75" i="6"/>
  <c r="P63" i="6"/>
  <c r="P62" i="6"/>
  <c r="P61" i="6"/>
  <c r="AW64" i="6"/>
  <c r="AW70" i="6" s="1"/>
  <c r="AW66" i="6"/>
  <c r="AW72" i="6" s="1"/>
  <c r="AW65" i="6"/>
  <c r="AW71" i="6" s="1"/>
  <c r="CF66" i="6"/>
  <c r="CF64" i="6"/>
  <c r="CF65" i="6"/>
  <c r="CF71" i="6" s="1"/>
  <c r="BH69" i="6"/>
  <c r="BH68" i="6"/>
  <c r="BH67" i="6"/>
  <c r="CK70" i="6"/>
  <c r="CK73" i="6"/>
  <c r="BK66" i="6"/>
  <c r="BK72" i="6" s="1"/>
  <c r="BK64" i="6"/>
  <c r="BK65" i="6"/>
  <c r="AB74" i="6"/>
  <c r="N62" i="6"/>
  <c r="N61" i="6"/>
  <c r="N63" i="6"/>
  <c r="CE74" i="6"/>
  <c r="AG64" i="6"/>
  <c r="AG70" i="6" s="1"/>
  <c r="AG65" i="6"/>
  <c r="AG71" i="6" s="1"/>
  <c r="AG66" i="6"/>
  <c r="AG72" i="6" s="1"/>
  <c r="G73" i="6"/>
  <c r="U63" i="6"/>
  <c r="U61" i="6"/>
  <c r="U62" i="6"/>
  <c r="AS66" i="6"/>
  <c r="AS72" i="6" s="1"/>
  <c r="AS64" i="6"/>
  <c r="AS65" i="6"/>
  <c r="BQ75" i="6"/>
  <c r="R74" i="6"/>
  <c r="BO73" i="6"/>
  <c r="AZ63" i="6"/>
  <c r="AZ62" i="6"/>
  <c r="AZ61" i="6"/>
  <c r="AG61" i="6"/>
  <c r="AG63" i="6"/>
  <c r="AG62" i="6"/>
  <c r="AO64" i="6"/>
  <c r="AO65" i="6"/>
  <c r="AO71" i="6" s="1"/>
  <c r="AO66" i="6"/>
  <c r="CI75" i="6"/>
  <c r="CO64" i="6"/>
  <c r="CO66" i="6"/>
  <c r="CO65" i="6"/>
  <c r="CO71" i="6" s="1"/>
  <c r="AG74" i="6"/>
  <c r="CP74" i="6"/>
  <c r="BF68" i="6"/>
  <c r="BF69" i="6"/>
  <c r="BF67" i="6"/>
  <c r="P69" i="6"/>
  <c r="P67" i="6"/>
  <c r="P68" i="6"/>
  <c r="BA66" i="6"/>
  <c r="BA72" i="6" s="1"/>
  <c r="BA65" i="6"/>
  <c r="BA64" i="6"/>
  <c r="CH71" i="6"/>
  <c r="CH74" i="6"/>
  <c r="CK75" i="6"/>
  <c r="CK72" i="6"/>
  <c r="AF63" i="6"/>
  <c r="AF62" i="6"/>
  <c r="AF61" i="6"/>
  <c r="AF65" i="6"/>
  <c r="AF64" i="6"/>
  <c r="AF66" i="6"/>
  <c r="CT63" i="6"/>
  <c r="CT61" i="6"/>
  <c r="CT62" i="6"/>
  <c r="N67" i="6"/>
  <c r="N73" i="6" s="1"/>
  <c r="N69" i="6"/>
  <c r="N68" i="6"/>
  <c r="CZ63" i="6"/>
  <c r="CZ62" i="6"/>
  <c r="CZ61" i="6"/>
  <c r="BQ64" i="6"/>
  <c r="BQ66" i="6"/>
  <c r="BQ65" i="6"/>
  <c r="BQ71" i="6" s="1"/>
  <c r="AU71" i="6"/>
  <c r="AU74" i="6"/>
  <c r="P66" i="6"/>
  <c r="P65" i="6"/>
  <c r="P64" i="6"/>
  <c r="AC61" i="6"/>
  <c r="AC63" i="6"/>
  <c r="AC62" i="6"/>
  <c r="AS61" i="6"/>
  <c r="AS62" i="6"/>
  <c r="AS63" i="6"/>
  <c r="CG65" i="6"/>
  <c r="CG66" i="6"/>
  <c r="CG64" i="6"/>
  <c r="CG70" i="6" s="1"/>
  <c r="AN66" i="6"/>
  <c r="AN72" i="6" s="1"/>
  <c r="AN65" i="6"/>
  <c r="AN64" i="6"/>
  <c r="AX62" i="6"/>
  <c r="AX61" i="6"/>
  <c r="AX63" i="6"/>
  <c r="BM61" i="6"/>
  <c r="BM62" i="6"/>
  <c r="BM63" i="6"/>
  <c r="CG73" i="6"/>
  <c r="AH70" i="6"/>
  <c r="AH73" i="6"/>
  <c r="BA75" i="6"/>
  <c r="BA61" i="6"/>
  <c r="BA63" i="6"/>
  <c r="BA62" i="6"/>
  <c r="CV63" i="6"/>
  <c r="CV61" i="6"/>
  <c r="CV62" i="6"/>
  <c r="BD64" i="6"/>
  <c r="BD70" i="6" s="1"/>
  <c r="BD65" i="6"/>
  <c r="BD71" i="6" s="1"/>
  <c r="BD66" i="6"/>
  <c r="BD72" i="6" s="1"/>
  <c r="M70" i="6"/>
  <c r="M73" i="6"/>
  <c r="CR75" i="6"/>
  <c r="CU70" i="6"/>
  <c r="CU73" i="6"/>
  <c r="AB61" i="6"/>
  <c r="AB62" i="6"/>
  <c r="AB63" i="6"/>
  <c r="CP73" i="6"/>
  <c r="K73" i="6"/>
  <c r="BO61" i="6"/>
  <c r="BO63" i="6"/>
  <c r="BO62" i="6"/>
  <c r="CR64" i="6"/>
  <c r="CR66" i="6"/>
  <c r="CR72" i="6" s="1"/>
  <c r="CR65" i="6"/>
  <c r="CH73" i="6"/>
  <c r="AC75" i="6"/>
  <c r="AN75" i="6"/>
  <c r="AF67" i="6"/>
  <c r="AF68" i="6"/>
  <c r="AF69" i="6"/>
  <c r="CL75" i="6"/>
  <c r="CV69" i="6"/>
  <c r="CV68" i="6"/>
  <c r="CV67" i="6"/>
  <c r="BK75" i="6"/>
  <c r="AL75" i="6"/>
  <c r="Z64" i="6"/>
  <c r="Z65" i="6"/>
  <c r="Z66" i="6"/>
  <c r="BZ74" i="6"/>
  <c r="S68" i="6"/>
  <c r="S69" i="6"/>
  <c r="S67" i="6"/>
  <c r="V61" i="6"/>
  <c r="V62" i="6"/>
  <c r="V63" i="6"/>
  <c r="CQ63" i="6"/>
  <c r="CQ61" i="6"/>
  <c r="CQ62" i="6"/>
  <c r="H67" i="6"/>
  <c r="H68" i="6"/>
  <c r="H69" i="6"/>
  <c r="AH71" i="6"/>
  <c r="AH74" i="6"/>
  <c r="M75" i="6"/>
  <c r="CU74" i="6"/>
  <c r="CU71" i="6"/>
  <c r="G63" i="6"/>
  <c r="G61" i="6"/>
  <c r="G62" i="6"/>
  <c r="BJ74" i="6"/>
  <c r="BJ71" i="6"/>
  <c r="AL66" i="6"/>
  <c r="AL72" i="6" s="1"/>
  <c r="AL64" i="6"/>
  <c r="AL65" i="6"/>
  <c r="AC74" i="6"/>
  <c r="BR69" i="6"/>
  <c r="BR67" i="6"/>
  <c r="BR68" i="6"/>
  <c r="BE71" i="6"/>
  <c r="AY68" i="6"/>
  <c r="AY69" i="6"/>
  <c r="AY67" i="6"/>
  <c r="AR72" i="6"/>
  <c r="AR75" i="6"/>
  <c r="AA61" i="6"/>
  <c r="AA63" i="6"/>
  <c r="AA62" i="6"/>
  <c r="BD61" i="6"/>
  <c r="BD62" i="6"/>
  <c r="BD63" i="6"/>
  <c r="L74" i="6"/>
  <c r="U68" i="6"/>
  <c r="U67" i="6"/>
  <c r="U69" i="6"/>
  <c r="W75" i="6"/>
  <c r="DA61" i="6"/>
  <c r="DA62" i="6"/>
  <c r="DA63" i="6"/>
  <c r="AZ68" i="6"/>
  <c r="AZ67" i="6"/>
  <c r="AZ69" i="6"/>
  <c r="BV66" i="6"/>
  <c r="BV64" i="6"/>
  <c r="BV65" i="6"/>
  <c r="BV71" i="6" s="1"/>
  <c r="AM75" i="6"/>
  <c r="AM72" i="6"/>
  <c r="AW63" i="6"/>
  <c r="AW62" i="6"/>
  <c r="AW61" i="6"/>
  <c r="CQ68" i="6"/>
  <c r="CQ67" i="6"/>
  <c r="CQ69" i="6"/>
  <c r="AK74" i="6"/>
  <c r="CF62" i="6"/>
  <c r="CF63" i="6"/>
  <c r="CF61" i="6"/>
  <c r="Y65" i="6"/>
  <c r="Y64" i="6"/>
  <c r="Y66" i="6"/>
  <c r="Y72" i="6" s="1"/>
  <c r="AK66" i="6"/>
  <c r="AK72" i="6" s="1"/>
  <c r="AK65" i="6"/>
  <c r="AK71" i="6" s="1"/>
  <c r="AK64" i="6"/>
  <c r="AK70" i="6" s="1"/>
  <c r="AC66" i="6"/>
  <c r="AC64" i="6"/>
  <c r="AC70" i="6" s="1"/>
  <c r="AC65" i="6"/>
  <c r="AC71" i="6" s="1"/>
  <c r="BB66" i="6"/>
  <c r="BB64" i="6"/>
  <c r="BB65" i="6"/>
  <c r="BB71" i="6" s="1"/>
  <c r="BJ73" i="6"/>
  <c r="BN61" i="6"/>
  <c r="BN62" i="6"/>
  <c r="BN63" i="6"/>
  <c r="CH63" i="6"/>
  <c r="CH61" i="6"/>
  <c r="CH62" i="6"/>
  <c r="CW66" i="6"/>
  <c r="CW65" i="6"/>
  <c r="CW71" i="6" s="1"/>
  <c r="CW64" i="6"/>
  <c r="CT73" i="6"/>
  <c r="AJ75" i="6"/>
  <c r="AJ72" i="6"/>
  <c r="CN75" i="6"/>
  <c r="BI61" i="6"/>
  <c r="BI62" i="6"/>
  <c r="BI63" i="6"/>
  <c r="BE61" i="6"/>
  <c r="BE62" i="6"/>
  <c r="BE63" i="6"/>
  <c r="AO73" i="6"/>
  <c r="AR74" i="6"/>
  <c r="BT75" i="6"/>
  <c r="AA69" i="6"/>
  <c r="AA68" i="6"/>
  <c r="AA67" i="6"/>
  <c r="CT64" i="6"/>
  <c r="CT70" i="6" s="1"/>
  <c r="CT65" i="6"/>
  <c r="CT71" i="6" s="1"/>
  <c r="CT66" i="6"/>
  <c r="CT72" i="6" s="1"/>
  <c r="L73" i="6"/>
  <c r="BW63" i="6"/>
  <c r="BW61" i="6"/>
  <c r="BW62" i="6"/>
  <c r="AQ63" i="6"/>
  <c r="AQ62" i="6"/>
  <c r="AQ61" i="6"/>
  <c r="AT61" i="6"/>
  <c r="AT62" i="6"/>
  <c r="AT63" i="6"/>
  <c r="I67" i="6"/>
  <c r="I68" i="6"/>
  <c r="I69" i="6"/>
  <c r="W73" i="6"/>
  <c r="W70" i="6"/>
  <c r="Z63" i="6"/>
  <c r="Z61" i="6"/>
  <c r="Z62" i="6"/>
  <c r="CD158" i="6"/>
  <c r="CD164" i="6" s="1" a="1"/>
  <c r="BW167" i="6" a="1"/>
  <c r="Y158" i="6"/>
  <c r="W158" i="6"/>
  <c r="CA164" i="6" a="1"/>
  <c r="CA165" i="6" s="1"/>
  <c r="CA171" i="6" s="1"/>
  <c r="M160" i="6"/>
  <c r="W160" i="6"/>
  <c r="AK167" i="6" a="1"/>
  <c r="AK169" i="6" s="1"/>
  <c r="AK175" i="6" s="1"/>
  <c r="W167" i="6" a="1"/>
  <c r="W168" i="6" s="1"/>
  <c r="W174" i="6" s="1"/>
  <c r="CK167" i="6" a="1"/>
  <c r="CK168" i="6" s="1"/>
  <c r="CK174" i="6" s="1"/>
  <c r="CD167" i="6" a="1"/>
  <c r="CD168" i="6" s="1"/>
  <c r="CD174" i="6" s="1"/>
  <c r="G163" i="6"/>
  <c r="G162" i="6"/>
  <c r="M158" i="6"/>
  <c r="CE167" i="6" a="1"/>
  <c r="BQ158" i="6"/>
  <c r="DA159" i="6"/>
  <c r="DA160" i="6"/>
  <c r="Y167" i="6" a="1"/>
  <c r="Y169" i="6" s="1"/>
  <c r="Y175" i="6" s="1"/>
  <c r="AM167" i="6" a="1"/>
  <c r="AM169" i="6" s="1"/>
  <c r="AM175" i="6" s="1"/>
  <c r="CS167" i="6" a="1"/>
  <c r="CS169" i="6" s="1"/>
  <c r="CS175" i="6" s="1"/>
  <c r="CV159" i="6"/>
  <c r="CS158" i="6"/>
  <c r="CS159" i="6"/>
  <c r="AQ160" i="6"/>
  <c r="CJ167" i="6" a="1"/>
  <c r="CJ168" i="6" s="1"/>
  <c r="CJ174" i="6" s="1"/>
  <c r="BQ160" i="6"/>
  <c r="P164" i="6" a="1"/>
  <c r="P165" i="6" s="1"/>
  <c r="P171" i="6" s="1"/>
  <c r="AN167" i="6" a="1"/>
  <c r="AN167" i="6" s="1"/>
  <c r="AN173" i="6" s="1"/>
  <c r="F167" i="6" a="1"/>
  <c r="F169" i="6" s="1"/>
  <c r="F175" i="6" s="1"/>
  <c r="AK160" i="6"/>
  <c r="CB167" i="6" a="1"/>
  <c r="CB169" i="6" s="1"/>
  <c r="CB175" i="6" s="1"/>
  <c r="CV167" i="6" a="1"/>
  <c r="CV169" i="6" s="1"/>
  <c r="CV175" i="6" s="1"/>
  <c r="BQ167" i="6" a="1"/>
  <c r="BQ168" i="6" s="1"/>
  <c r="BQ174" i="6" s="1"/>
  <c r="BP160" i="6"/>
  <c r="CR160" i="6"/>
  <c r="BP159" i="6"/>
  <c r="AL160" i="6"/>
  <c r="AB164" i="6" a="1"/>
  <c r="AB165" i="6" s="1"/>
  <c r="AB171" i="6" s="1"/>
  <c r="AL158" i="6"/>
  <c r="CV158" i="6"/>
  <c r="CO164" i="6" a="1"/>
  <c r="CO166" i="6" s="1"/>
  <c r="CO172" i="6" s="1"/>
  <c r="DA167" i="6" a="1"/>
  <c r="DA169" i="6" s="1"/>
  <c r="DA175" i="6" s="1"/>
  <c r="BA167" i="6" a="1"/>
  <c r="BA167" i="6" s="1"/>
  <c r="BA173" i="6" s="1"/>
  <c r="BI159" i="6"/>
  <c r="BM158" i="6"/>
  <c r="BW160" i="6"/>
  <c r="CK160" i="6"/>
  <c r="CT159" i="6"/>
  <c r="CR158" i="6"/>
  <c r="BA159" i="6"/>
  <c r="AZ158" i="6"/>
  <c r="CJ164" i="6" a="1"/>
  <c r="CJ166" i="6" s="1"/>
  <c r="CJ172" i="6" s="1"/>
  <c r="CA167" i="6" a="1"/>
  <c r="CA167" i="6" s="1"/>
  <c r="CA173" i="6" s="1"/>
  <c r="BA158" i="6"/>
  <c r="CT160" i="6"/>
  <c r="AQ158" i="6"/>
  <c r="T158" i="6"/>
  <c r="CK158" i="6"/>
  <c r="T160" i="6"/>
  <c r="AZ159" i="6"/>
  <c r="AM158" i="6"/>
  <c r="BM167" i="6" a="1"/>
  <c r="BM168" i="6" s="1"/>
  <c r="BM174" i="6" s="1"/>
  <c r="CF163" i="6"/>
  <c r="AM159" i="6"/>
  <c r="AF164" i="6" a="1"/>
  <c r="AF165" i="6" s="1"/>
  <c r="AF171" i="6" s="1"/>
  <c r="AK159" i="6"/>
  <c r="CB164" i="6" a="1"/>
  <c r="CB165" i="6" s="1"/>
  <c r="CB171" i="6" s="1"/>
  <c r="CG158" i="6"/>
  <c r="CZ162" i="6"/>
  <c r="BM160" i="6"/>
  <c r="X158" i="6"/>
  <c r="AW167" i="6" a="1"/>
  <c r="AW169" i="6" s="1"/>
  <c r="AW175" i="6" s="1"/>
  <c r="CF161" i="6"/>
  <c r="BI160" i="6"/>
  <c r="CG159" i="6"/>
  <c r="AY164" i="6" a="1"/>
  <c r="AY165" i="6" s="1"/>
  <c r="AY171" i="6" s="1"/>
  <c r="BO159" i="6"/>
  <c r="AB167" i="6" a="1"/>
  <c r="AB169" i="6" s="1"/>
  <c r="AB175" i="6" s="1"/>
  <c r="BO158" i="6"/>
  <c r="W169" i="6"/>
  <c r="W175" i="6" s="1"/>
  <c r="P161" i="6"/>
  <c r="Z167" i="6" a="1"/>
  <c r="Z169" i="6" s="1"/>
  <c r="Z175" i="6" s="1"/>
  <c r="T167" i="6" a="1"/>
  <c r="T167" i="6" s="1"/>
  <c r="T173" i="6" s="1"/>
  <c r="BB163" i="6"/>
  <c r="AX160" i="6"/>
  <c r="U167" i="6" a="1"/>
  <c r="U168" i="6" s="1"/>
  <c r="U174" i="6" s="1"/>
  <c r="P162" i="6"/>
  <c r="Z158" i="6"/>
  <c r="AL167" i="6" a="1"/>
  <c r="AL169" i="6" s="1"/>
  <c r="AL175" i="6" s="1"/>
  <c r="G164" i="6" a="1"/>
  <c r="G164" i="6" s="1"/>
  <c r="G170" i="6" s="1"/>
  <c r="F159" i="6"/>
  <c r="F158" i="6"/>
  <c r="AD167" i="6" a="1"/>
  <c r="AD167" i="6" s="1"/>
  <c r="AD173" i="6" s="1"/>
  <c r="AY167" i="6" a="1"/>
  <c r="AY169" i="6" s="1"/>
  <c r="AY175" i="6" s="1"/>
  <c r="Q164" i="6" a="1"/>
  <c r="Q166" i="6" s="1"/>
  <c r="Q172" i="6" s="1"/>
  <c r="AV160" i="6"/>
  <c r="CZ163" i="6"/>
  <c r="X160" i="6"/>
  <c r="CI160" i="6"/>
  <c r="CN158" i="6"/>
  <c r="CI159" i="6"/>
  <c r="Z159" i="6"/>
  <c r="CE164" i="6" a="1"/>
  <c r="CE165" i="6" s="1"/>
  <c r="CE171" i="6" s="1"/>
  <c r="CU158" i="6"/>
  <c r="BS164" i="6" a="1"/>
  <c r="BS165" i="6" s="1"/>
  <c r="BS171" i="6" s="1"/>
  <c r="CN160" i="6"/>
  <c r="AH162" i="6"/>
  <c r="AW164" i="6" a="1"/>
  <c r="AW165" i="6" s="1"/>
  <c r="AW171" i="6" s="1"/>
  <c r="CT167" i="6" a="1"/>
  <c r="CT168" i="6" s="1"/>
  <c r="CT174" i="6" s="1"/>
  <c r="AH163" i="6"/>
  <c r="BO167" i="6" a="1"/>
  <c r="BO167" i="6" s="1"/>
  <c r="BO173" i="6" s="1"/>
  <c r="N162" i="6"/>
  <c r="AU160" i="6"/>
  <c r="I163" i="6"/>
  <c r="BC163" i="6"/>
  <c r="CG169" i="6"/>
  <c r="CG175" i="6" s="1"/>
  <c r="AU163" i="6"/>
  <c r="N160" i="6"/>
  <c r="BF160" i="6"/>
  <c r="AV161" i="6"/>
  <c r="I162" i="6"/>
  <c r="O163" i="6"/>
  <c r="AU162" i="6"/>
  <c r="CQ158" i="6"/>
  <c r="N161" i="6"/>
  <c r="N159" i="6"/>
  <c r="BW159" i="6"/>
  <c r="BW164" i="6" s="1" a="1"/>
  <c r="Y164" i="6" a="1"/>
  <c r="Y164" i="6" s="1"/>
  <c r="Y170" i="6" s="1"/>
  <c r="BV161" i="6"/>
  <c r="CQ159" i="6"/>
  <c r="CI161" i="6"/>
  <c r="AN160" i="6"/>
  <c r="AV162" i="6"/>
  <c r="BB161" i="6"/>
  <c r="O162" i="6"/>
  <c r="CI162" i="6"/>
  <c r="AN159" i="6"/>
  <c r="CQ161" i="6"/>
  <c r="CQ163" i="6"/>
  <c r="AU158" i="6"/>
  <c r="AX159" i="6"/>
  <c r="J159" i="6"/>
  <c r="BV162" i="6"/>
  <c r="CZ158" i="6"/>
  <c r="BT159" i="6"/>
  <c r="AR167" i="6" a="1"/>
  <c r="AR167" i="6" s="1"/>
  <c r="AR173" i="6" s="1"/>
  <c r="J158" i="6"/>
  <c r="CZ159" i="6"/>
  <c r="BT160" i="6"/>
  <c r="CL160" i="6"/>
  <c r="AS163" i="6"/>
  <c r="CU159" i="6"/>
  <c r="AV159" i="6"/>
  <c r="BC161" i="6"/>
  <c r="AS162" i="6"/>
  <c r="AQ167" i="6" a="1"/>
  <c r="AQ168" i="6" s="1"/>
  <c r="AQ174" i="6" s="1"/>
  <c r="BI167" i="6" a="1"/>
  <c r="AC161" i="6"/>
  <c r="BN158" i="6"/>
  <c r="CW160" i="6"/>
  <c r="K159" i="6"/>
  <c r="AC162" i="6"/>
  <c r="BU159" i="6"/>
  <c r="BF159" i="6"/>
  <c r="AM168" i="6"/>
  <c r="AM174" i="6" s="1"/>
  <c r="CW158" i="6"/>
  <c r="BU160" i="6"/>
  <c r="CL158" i="6"/>
  <c r="BN159" i="6"/>
  <c r="BH167" i="6" a="1"/>
  <c r="BH168" i="6" s="1"/>
  <c r="BH174" i="6" s="1"/>
  <c r="CG168" i="6"/>
  <c r="CG174" i="6" s="1"/>
  <c r="K158" i="6"/>
  <c r="BJ163" i="6"/>
  <c r="AR164" i="6" a="1"/>
  <c r="BJ161" i="6"/>
  <c r="BF163" i="6"/>
  <c r="CH158" i="6"/>
  <c r="BX164" i="6" a="1"/>
  <c r="BF162" i="6"/>
  <c r="CH159" i="6"/>
  <c r="AW79" i="6"/>
  <c r="AW80" i="6"/>
  <c r="H163" i="6"/>
  <c r="H162" i="6"/>
  <c r="H161" i="6"/>
  <c r="AG158" i="6"/>
  <c r="AG159" i="6"/>
  <c r="AG160" i="6"/>
  <c r="R160" i="6"/>
  <c r="R159" i="6"/>
  <c r="R158" i="6"/>
  <c r="O159" i="6"/>
  <c r="O160" i="6"/>
  <c r="O158" i="6"/>
  <c r="AP162" i="6"/>
  <c r="AP161" i="6"/>
  <c r="AP163" i="6"/>
  <c r="U164" i="6" a="1"/>
  <c r="BG161" i="6"/>
  <c r="BG163" i="6"/>
  <c r="BG162" i="6"/>
  <c r="BV158" i="6"/>
  <c r="BV159" i="6"/>
  <c r="BV160" i="6"/>
  <c r="BR161" i="6"/>
  <c r="BR162" i="6"/>
  <c r="BR163" i="6"/>
  <c r="L159" i="6"/>
  <c r="L160" i="6"/>
  <c r="L158" i="6"/>
  <c r="CF159" i="6"/>
  <c r="CF160" i="6"/>
  <c r="CF158" i="6"/>
  <c r="AC159" i="6"/>
  <c r="AC158" i="6"/>
  <c r="AC160" i="6"/>
  <c r="BZ167" i="6" a="1"/>
  <c r="CY158" i="6"/>
  <c r="CY160" i="6"/>
  <c r="CY159" i="6"/>
  <c r="CE168" i="6"/>
  <c r="CE174" i="6" s="1"/>
  <c r="CE169" i="6"/>
  <c r="CE175" i="6" s="1"/>
  <c r="CE167" i="6"/>
  <c r="CE173" i="6" s="1"/>
  <c r="CC160" i="6"/>
  <c r="CC158" i="6"/>
  <c r="CC159" i="6"/>
  <c r="BR160" i="6"/>
  <c r="BR159" i="6"/>
  <c r="BR158" i="6"/>
  <c r="R161" i="6"/>
  <c r="R163" i="6"/>
  <c r="R162" i="6"/>
  <c r="CM161" i="6"/>
  <c r="CM163" i="6"/>
  <c r="CM162" i="6"/>
  <c r="H160" i="6"/>
  <c r="H158" i="6"/>
  <c r="H159" i="6"/>
  <c r="AJ160" i="6"/>
  <c r="AJ158" i="6"/>
  <c r="AJ159" i="6"/>
  <c r="BS168" i="6"/>
  <c r="BS174" i="6" s="1"/>
  <c r="BS169" i="6"/>
  <c r="BS175" i="6" s="1"/>
  <c r="BS167" i="6"/>
  <c r="BS173" i="6" s="1"/>
  <c r="AO169" i="6"/>
  <c r="AO175" i="6" s="1"/>
  <c r="AO167" i="6"/>
  <c r="AO173" i="6" s="1"/>
  <c r="AO168" i="6"/>
  <c r="AO174" i="6" s="1"/>
  <c r="BW167" i="6"/>
  <c r="BW173" i="6" s="1"/>
  <c r="BW168" i="6"/>
  <c r="BW174" i="6" s="1"/>
  <c r="BW169" i="6"/>
  <c r="BW175" i="6" s="1"/>
  <c r="BL158" i="6"/>
  <c r="BL160" i="6"/>
  <c r="BL159" i="6"/>
  <c r="AI163" i="6"/>
  <c r="AI162" i="6"/>
  <c r="AI161" i="6"/>
  <c r="AH159" i="6"/>
  <c r="AH160" i="6"/>
  <c r="AH158" i="6"/>
  <c r="BE161" i="6"/>
  <c r="BE163" i="6"/>
  <c r="BE162" i="6"/>
  <c r="AA161" i="6"/>
  <c r="AA163" i="6"/>
  <c r="AA162" i="6"/>
  <c r="AF169" i="6"/>
  <c r="AF175" i="6" s="1"/>
  <c r="AF167" i="6"/>
  <c r="AF173" i="6" s="1"/>
  <c r="AF168" i="6"/>
  <c r="AF174" i="6" s="1"/>
  <c r="CC163" i="6"/>
  <c r="CC161" i="6"/>
  <c r="CC162" i="6"/>
  <c r="BE160" i="6"/>
  <c r="BE159" i="6"/>
  <c r="BE158" i="6"/>
  <c r="CH163" i="6"/>
  <c r="CH161" i="6"/>
  <c r="CH162" i="6"/>
  <c r="CU163" i="6"/>
  <c r="CU162" i="6"/>
  <c r="CU161" i="6"/>
  <c r="BD162" i="6"/>
  <c r="BD161" i="6"/>
  <c r="BD163" i="6"/>
  <c r="AT160" i="6"/>
  <c r="AT159" i="6"/>
  <c r="AT158" i="6"/>
  <c r="BH164" i="6" a="1"/>
  <c r="BX167" i="6" a="1"/>
  <c r="M168" i="6"/>
  <c r="M174" i="6" s="1"/>
  <c r="M169" i="6"/>
  <c r="M175" i="6" s="1"/>
  <c r="M167" i="6"/>
  <c r="M173" i="6" s="1"/>
  <c r="CP164" i="6" a="1"/>
  <c r="AE161" i="6"/>
  <c r="AE162" i="6"/>
  <c r="AE163" i="6"/>
  <c r="S163" i="6"/>
  <c r="S162" i="6"/>
  <c r="S161" i="6"/>
  <c r="BG160" i="6"/>
  <c r="BG158" i="6"/>
  <c r="BG159" i="6"/>
  <c r="AS160" i="6"/>
  <c r="AS159" i="6"/>
  <c r="AS158" i="6"/>
  <c r="AX162" i="6"/>
  <c r="AX163" i="6"/>
  <c r="AX161" i="6"/>
  <c r="V159" i="6"/>
  <c r="V158" i="6"/>
  <c r="V160" i="6"/>
  <c r="CY162" i="6"/>
  <c r="CY161" i="6"/>
  <c r="CY163" i="6"/>
  <c r="I158" i="6"/>
  <c r="I159" i="6"/>
  <c r="I160" i="6"/>
  <c r="Q169" i="6"/>
  <c r="Q175" i="6" s="1"/>
  <c r="Q167" i="6"/>
  <c r="Q173" i="6" s="1"/>
  <c r="Q168" i="6"/>
  <c r="Q174" i="6" s="1"/>
  <c r="AI160" i="6"/>
  <c r="AI159" i="6"/>
  <c r="AI158" i="6"/>
  <c r="CW163" i="6"/>
  <c r="CW162" i="6"/>
  <c r="CW161" i="6"/>
  <c r="BY161" i="6"/>
  <c r="BY163" i="6"/>
  <c r="BY162" i="6"/>
  <c r="BU162" i="6"/>
  <c r="BU163" i="6"/>
  <c r="BU161" i="6"/>
  <c r="AG163" i="6"/>
  <c r="AG161" i="6"/>
  <c r="AG162" i="6"/>
  <c r="BK163" i="6"/>
  <c r="BK162" i="6"/>
  <c r="BK161" i="6"/>
  <c r="CR168" i="6"/>
  <c r="CR174" i="6" s="1"/>
  <c r="CR167" i="6"/>
  <c r="CR173" i="6" s="1"/>
  <c r="CR169" i="6"/>
  <c r="CR175" i="6" s="1"/>
  <c r="AE159" i="6"/>
  <c r="AE160" i="6"/>
  <c r="AE158" i="6"/>
  <c r="BD159" i="6"/>
  <c r="BD158" i="6"/>
  <c r="BD160" i="6"/>
  <c r="BZ164" i="6" a="1"/>
  <c r="BK159" i="6"/>
  <c r="BK160" i="6"/>
  <c r="BK158" i="6"/>
  <c r="BC159" i="6"/>
  <c r="BC160" i="6"/>
  <c r="BC158" i="6"/>
  <c r="CL161" i="6"/>
  <c r="CL163" i="6"/>
  <c r="CL162" i="6"/>
  <c r="CO169" i="6"/>
  <c r="CO175" i="6" s="1"/>
  <c r="CO167" i="6"/>
  <c r="CO173" i="6" s="1"/>
  <c r="CO168" i="6"/>
  <c r="CO174" i="6" s="1"/>
  <c r="J161" i="6"/>
  <c r="J163" i="6"/>
  <c r="J162" i="6"/>
  <c r="BL163" i="6"/>
  <c r="BL161" i="6"/>
  <c r="BL162" i="6"/>
  <c r="BY158" i="6"/>
  <c r="BY159" i="6"/>
  <c r="BY160" i="6"/>
  <c r="CX162" i="6"/>
  <c r="CX163" i="6"/>
  <c r="CX161" i="6"/>
  <c r="BN161" i="6"/>
  <c r="BN162" i="6"/>
  <c r="BN163" i="6"/>
  <c r="AP159" i="6"/>
  <c r="AP160" i="6"/>
  <c r="AP158" i="6"/>
  <c r="AZ169" i="6"/>
  <c r="AZ175" i="6" s="1"/>
  <c r="AZ167" i="6"/>
  <c r="AZ173" i="6" s="1"/>
  <c r="AZ168" i="6"/>
  <c r="AZ174" i="6" s="1"/>
  <c r="L162" i="6"/>
  <c r="L161" i="6"/>
  <c r="L163" i="6"/>
  <c r="BJ159" i="6"/>
  <c r="BJ158" i="6"/>
  <c r="BJ160" i="6"/>
  <c r="S160" i="6"/>
  <c r="S158" i="6"/>
  <c r="S159" i="6"/>
  <c r="BP168" i="6"/>
  <c r="BP174" i="6" s="1"/>
  <c r="BP167" i="6"/>
  <c r="BP173" i="6" s="1"/>
  <c r="BP169" i="6"/>
  <c r="BP175" i="6" s="1"/>
  <c r="CM160" i="6"/>
  <c r="CM159" i="6"/>
  <c r="CM158" i="6"/>
  <c r="BT163" i="6"/>
  <c r="BT161" i="6"/>
  <c r="BT162" i="6"/>
  <c r="AJ163" i="6"/>
  <c r="AJ162" i="6"/>
  <c r="AJ161" i="6"/>
  <c r="BB159" i="6"/>
  <c r="BB158" i="6"/>
  <c r="BB160" i="6"/>
  <c r="CX159" i="6"/>
  <c r="CX160" i="6"/>
  <c r="CX158" i="6"/>
  <c r="AT162" i="6"/>
  <c r="AT163" i="6"/>
  <c r="AT161" i="6"/>
  <c r="V163" i="6"/>
  <c r="V162" i="6"/>
  <c r="V161" i="6"/>
  <c r="K161" i="6"/>
  <c r="K163" i="6"/>
  <c r="K162" i="6"/>
  <c r="X161" i="6"/>
  <c r="X163" i="6"/>
  <c r="X162" i="6"/>
  <c r="CN162" i="6"/>
  <c r="CN161" i="6"/>
  <c r="CN163" i="6"/>
  <c r="AA158" i="6"/>
  <c r="AA160" i="6"/>
  <c r="AA159" i="6"/>
  <c r="AI72" i="6" l="1"/>
  <c r="AD164" i="6"/>
  <c r="AD170" i="6" s="1"/>
  <c r="AD165" i="6"/>
  <c r="AD171" i="6" s="1"/>
  <c r="CX70" i="6"/>
  <c r="CA166" i="6"/>
  <c r="CA172" i="6" s="1"/>
  <c r="CP169" i="6"/>
  <c r="CP175" i="6" s="1"/>
  <c r="CP168" i="6"/>
  <c r="CP174" i="6" s="1"/>
  <c r="CA164" i="6"/>
  <c r="CA170" i="6" s="1"/>
  <c r="CA185" i="6" s="1"/>
  <c r="AU70" i="6"/>
  <c r="CC70" i="6"/>
  <c r="CH72" i="6"/>
  <c r="BE70" i="6"/>
  <c r="G70" i="6"/>
  <c r="CF70" i="6"/>
  <c r="M164" i="6" a="1"/>
  <c r="M164" i="6" s="1"/>
  <c r="M170" i="6" s="1"/>
  <c r="CC72" i="6"/>
  <c r="G167" i="6" a="1"/>
  <c r="CI71" i="6"/>
  <c r="CI76" i="6" s="1" a="1"/>
  <c r="R71" i="6"/>
  <c r="AC72" i="6"/>
  <c r="CI70" i="6"/>
  <c r="J79" i="6"/>
  <c r="CG72" i="6"/>
  <c r="G71" i="6"/>
  <c r="CJ72" i="6"/>
  <c r="F70" i="6"/>
  <c r="BB70" i="6"/>
  <c r="CB70" i="6"/>
  <c r="Y71" i="6"/>
  <c r="F71" i="6"/>
  <c r="T70" i="6"/>
  <c r="T76" i="6" s="1" a="1"/>
  <c r="BU70" i="6"/>
  <c r="CD72" i="6"/>
  <c r="CO72" i="6"/>
  <c r="BJ70" i="6"/>
  <c r="BA70" i="6"/>
  <c r="AL70" i="6"/>
  <c r="CX72" i="6"/>
  <c r="CO70" i="6"/>
  <c r="BK70" i="6"/>
  <c r="BQ70" i="6"/>
  <c r="CD75" i="6"/>
  <c r="CD79" i="6" s="1" a="1"/>
  <c r="CD81" i="6" s="1"/>
  <c r="CF72" i="6"/>
  <c r="CW72" i="6"/>
  <c r="CR70" i="6"/>
  <c r="CZ71" i="6"/>
  <c r="BM72" i="6"/>
  <c r="CB72" i="6"/>
  <c r="K71" i="6"/>
  <c r="K76" i="6" s="1" a="1"/>
  <c r="T75" i="6"/>
  <c r="T79" i="6" s="1" a="1"/>
  <c r="BT71" i="6"/>
  <c r="Y70" i="6"/>
  <c r="CJ71" i="6"/>
  <c r="AE72" i="6"/>
  <c r="BG71" i="6"/>
  <c r="CW70" i="6"/>
  <c r="BA71" i="6"/>
  <c r="BA76" i="6" s="1" a="1"/>
  <c r="AL71" i="6"/>
  <c r="AL76" i="6" s="1" a="1"/>
  <c r="BM71" i="6"/>
  <c r="AM70" i="6"/>
  <c r="CZ70" i="6"/>
  <c r="CE72" i="6"/>
  <c r="CS79" i="6"/>
  <c r="AO72" i="6"/>
  <c r="BZ72" i="6"/>
  <c r="CG71" i="6"/>
  <c r="CG76" i="6" s="1" a="1"/>
  <c r="BK71" i="6"/>
  <c r="CR71" i="6"/>
  <c r="CR76" i="6" s="1" a="1"/>
  <c r="CR76" i="6" s="1"/>
  <c r="AS70" i="6"/>
  <c r="BI73" i="6"/>
  <c r="J80" i="6"/>
  <c r="J85" i="6" s="1" a="1"/>
  <c r="J86" i="6" s="1"/>
  <c r="J92" i="6" s="1"/>
  <c r="BQ72" i="6"/>
  <c r="BV72" i="6"/>
  <c r="BI75" i="6"/>
  <c r="AE70" i="6"/>
  <c r="AP70" i="6"/>
  <c r="BJ72" i="6"/>
  <c r="CZ79" i="6" a="1"/>
  <c r="CY72" i="6"/>
  <c r="CZ72" i="6"/>
  <c r="CS80" i="6"/>
  <c r="BV79" i="6" a="1"/>
  <c r="BV79" i="6" s="1"/>
  <c r="CH76" i="6" a="1"/>
  <c r="CH76" i="6" s="1"/>
  <c r="AN70" i="6"/>
  <c r="CY70" i="6"/>
  <c r="AO70" i="6"/>
  <c r="BG70" i="6"/>
  <c r="BT70" i="6"/>
  <c r="CD70" i="6"/>
  <c r="CD76" i="6" s="1" a="1"/>
  <c r="CY73" i="6"/>
  <c r="CY79" i="6" s="1" a="1"/>
  <c r="CY81" i="6" s="1"/>
  <c r="AP72" i="6"/>
  <c r="BV70" i="6"/>
  <c r="AB79" i="6" a="1"/>
  <c r="AB81" i="6" s="1"/>
  <c r="AX74" i="6"/>
  <c r="AX79" i="6" s="1" a="1"/>
  <c r="BU71" i="6"/>
  <c r="N70" i="6"/>
  <c r="L79" i="6" a="1"/>
  <c r="L79" i="6" s="1"/>
  <c r="AN71" i="6"/>
  <c r="BZ79" i="6" a="1"/>
  <c r="BZ81" i="6" s="1"/>
  <c r="AS71" i="6"/>
  <c r="AS76" i="6" s="1" a="1"/>
  <c r="M71" i="6"/>
  <c r="M76" i="6" s="1" a="1"/>
  <c r="CW79" i="6" a="1"/>
  <c r="CW80" i="6" s="1"/>
  <c r="CC76" i="6" a="1"/>
  <c r="CL70" i="6"/>
  <c r="CL76" i="6" s="1" a="1"/>
  <c r="V70" i="6"/>
  <c r="AR76" i="6" a="1"/>
  <c r="AR77" i="6" s="1"/>
  <c r="CE79" i="6" a="1"/>
  <c r="CE80" i="6" s="1"/>
  <c r="BG72" i="6"/>
  <c r="CT79" i="6" a="1"/>
  <c r="CI79" i="6" a="1"/>
  <c r="CI80" i="6" s="1"/>
  <c r="AO79" i="6" a="1"/>
  <c r="AO81" i="6" s="1"/>
  <c r="BB72" i="6"/>
  <c r="AC79" i="6" a="1"/>
  <c r="AC81" i="6" s="1"/>
  <c r="AI79" i="6" a="1"/>
  <c r="AI79" i="6" s="1"/>
  <c r="V79" i="6" a="1"/>
  <c r="V79" i="6" s="1"/>
  <c r="CP76" i="6" a="1"/>
  <c r="BL79" i="6" a="1"/>
  <c r="F79" i="6" a="1"/>
  <c r="F81" i="6" s="1"/>
  <c r="V71" i="6"/>
  <c r="CL74" i="6"/>
  <c r="CL79" i="6" s="1" a="1"/>
  <c r="CA76" i="6" a="1"/>
  <c r="CA77" i="6" s="1"/>
  <c r="AX70" i="6"/>
  <c r="AX76" i="6" s="1" a="1"/>
  <c r="AK79" i="6" a="1"/>
  <c r="AK81" i="6" s="1"/>
  <c r="AE79" i="6" a="1"/>
  <c r="AE79" i="6" s="1"/>
  <c r="CC79" i="6" a="1"/>
  <c r="CC80" i="6" s="1"/>
  <c r="CA79" i="6" a="1"/>
  <c r="CA81" i="6" s="1"/>
  <c r="F76" i="6" a="1"/>
  <c r="F77" i="6" s="1"/>
  <c r="BM79" i="6" a="1"/>
  <c r="BM81" i="6" s="1"/>
  <c r="W76" i="6" a="1"/>
  <c r="CP79" i="6" a="1"/>
  <c r="BA79" i="6" a="1"/>
  <c r="BA79" i="6" s="1"/>
  <c r="X76" i="6" a="1"/>
  <c r="X78" i="6" s="1"/>
  <c r="AW76" i="6" a="1"/>
  <c r="BK79" i="6" a="1"/>
  <c r="BK79" i="6" s="1"/>
  <c r="BL76" i="6" a="1"/>
  <c r="AS79" i="6" a="1"/>
  <c r="AS79" i="6" s="1"/>
  <c r="BO79" i="6" a="1"/>
  <c r="BO80" i="6" s="1"/>
  <c r="CH79" i="6" a="1"/>
  <c r="CH80" i="6" s="1"/>
  <c r="K79" i="6" a="1"/>
  <c r="BG79" i="6" a="1"/>
  <c r="CN76" i="6" a="1"/>
  <c r="CN77" i="6" s="1"/>
  <c r="CF76" i="6" a="1"/>
  <c r="CF77" i="6" s="1"/>
  <c r="AL79" i="6" a="1"/>
  <c r="BZ76" i="6" a="1"/>
  <c r="CK76" i="6" a="1"/>
  <c r="Y76" i="6" a="1"/>
  <c r="AC76" i="6" a="1"/>
  <c r="AA74" i="6"/>
  <c r="AA71" i="6"/>
  <c r="BJ79" i="6" a="1"/>
  <c r="CQ70" i="6"/>
  <c r="CQ73" i="6"/>
  <c r="H75" i="6"/>
  <c r="H72" i="6"/>
  <c r="AF75" i="6"/>
  <c r="AF72" i="6"/>
  <c r="CU79" i="6" a="1"/>
  <c r="BD76" i="6" a="1"/>
  <c r="BQ79" i="6" a="1"/>
  <c r="P75" i="6"/>
  <c r="P72" i="6"/>
  <c r="AG79" i="6" a="1"/>
  <c r="CK79" i="6" a="1"/>
  <c r="BY73" i="6"/>
  <c r="BY70" i="6"/>
  <c r="Q70" i="6"/>
  <c r="Q73" i="6"/>
  <c r="Z70" i="6"/>
  <c r="Z73" i="6"/>
  <c r="BW71" i="6"/>
  <c r="BW74" i="6"/>
  <c r="BN71" i="6"/>
  <c r="BN74" i="6"/>
  <c r="BE76" i="6" a="1"/>
  <c r="BP70" i="6"/>
  <c r="BP73" i="6"/>
  <c r="BS71" i="6"/>
  <c r="BS74" i="6"/>
  <c r="AA75" i="6"/>
  <c r="AA72" i="6"/>
  <c r="CQ71" i="6"/>
  <c r="CQ74" i="6"/>
  <c r="AY73" i="6"/>
  <c r="AY70" i="6"/>
  <c r="H74" i="6"/>
  <c r="H71" i="6"/>
  <c r="AM76" i="6" a="1"/>
  <c r="BT79" i="6" a="1"/>
  <c r="AF71" i="6"/>
  <c r="AF74" i="6"/>
  <c r="BF73" i="6"/>
  <c r="BF70" i="6"/>
  <c r="AU76" i="6" a="1"/>
  <c r="BY71" i="6"/>
  <c r="BY74" i="6"/>
  <c r="Q71" i="6"/>
  <c r="Q74" i="6"/>
  <c r="O70" i="6"/>
  <c r="O73" i="6"/>
  <c r="CN79" i="6" a="1"/>
  <c r="BN75" i="6"/>
  <c r="BN72" i="6"/>
  <c r="BP75" i="6"/>
  <c r="BP72" i="6"/>
  <c r="AT73" i="6"/>
  <c r="AT70" i="6"/>
  <c r="CS76" i="6" a="1"/>
  <c r="I75" i="6"/>
  <c r="I72" i="6"/>
  <c r="AZ75" i="6"/>
  <c r="AZ72" i="6"/>
  <c r="AY72" i="6"/>
  <c r="AY75" i="6"/>
  <c r="H70" i="6"/>
  <c r="H73" i="6"/>
  <c r="AM79" i="6" a="1"/>
  <c r="BT76" i="6" a="1"/>
  <c r="AF73" i="6"/>
  <c r="AF70" i="6"/>
  <c r="CH78" i="6"/>
  <c r="BF75" i="6"/>
  <c r="BF72" i="6"/>
  <c r="AU79" i="6" a="1"/>
  <c r="BH73" i="6"/>
  <c r="BH70" i="6"/>
  <c r="AG76" i="6" a="1"/>
  <c r="BO76" i="6" a="1"/>
  <c r="Q72" i="6"/>
  <c r="Q75" i="6"/>
  <c r="O74" i="6"/>
  <c r="O71" i="6"/>
  <c r="AB76" i="6" a="1"/>
  <c r="AT74" i="6"/>
  <c r="AT71" i="6"/>
  <c r="I71" i="6"/>
  <c r="I74" i="6"/>
  <c r="AZ73" i="6"/>
  <c r="AZ70" i="6"/>
  <c r="AY74" i="6"/>
  <c r="AY71" i="6"/>
  <c r="S70" i="6"/>
  <c r="S73" i="6"/>
  <c r="CV70" i="6"/>
  <c r="CV73" i="6"/>
  <c r="AH79" i="6" a="1"/>
  <c r="BF71" i="6"/>
  <c r="BF74" i="6"/>
  <c r="BH74" i="6"/>
  <c r="BH71" i="6"/>
  <c r="J76" i="6" a="1"/>
  <c r="O75" i="6"/>
  <c r="O72" i="6"/>
  <c r="CM73" i="6"/>
  <c r="CM70" i="6"/>
  <c r="CB79" i="6" a="1"/>
  <c r="AT75" i="6"/>
  <c r="AT72" i="6"/>
  <c r="I73" i="6"/>
  <c r="I70" i="6"/>
  <c r="CT76" i="6" a="1"/>
  <c r="AZ74" i="6"/>
  <c r="AZ71" i="6"/>
  <c r="U72" i="6"/>
  <c r="U75" i="6"/>
  <c r="S75" i="6"/>
  <c r="S72" i="6"/>
  <c r="CV71" i="6"/>
  <c r="CV74" i="6"/>
  <c r="M79" i="6" a="1"/>
  <c r="AH76" i="6" a="1"/>
  <c r="BI76" i="6" a="1"/>
  <c r="CX76" i="6" a="1"/>
  <c r="BH75" i="6"/>
  <c r="BH72" i="6"/>
  <c r="BC75" i="6"/>
  <c r="BC72" i="6"/>
  <c r="BX71" i="6"/>
  <c r="BX74" i="6"/>
  <c r="AI76" i="6" a="1"/>
  <c r="CM72" i="6"/>
  <c r="CM75" i="6"/>
  <c r="BD80" i="6"/>
  <c r="BD81" i="6"/>
  <c r="BD79" i="6"/>
  <c r="DA72" i="6"/>
  <c r="DA75" i="6"/>
  <c r="AP79" i="6" a="1"/>
  <c r="AQ73" i="6"/>
  <c r="AQ70" i="6"/>
  <c r="AJ76" i="6" a="1"/>
  <c r="AD79" i="6" a="1"/>
  <c r="U70" i="6"/>
  <c r="U73" i="6"/>
  <c r="BR71" i="6"/>
  <c r="BR74" i="6"/>
  <c r="AK76" i="6" a="1"/>
  <c r="S71" i="6"/>
  <c r="S74" i="6"/>
  <c r="CV75" i="6"/>
  <c r="CV72" i="6"/>
  <c r="CG79" i="6" a="1"/>
  <c r="BK76" i="6" a="1"/>
  <c r="N74" i="6"/>
  <c r="N71" i="6"/>
  <c r="AN79" i="6" a="1"/>
  <c r="CR79" i="6" a="1"/>
  <c r="G79" i="6" a="1"/>
  <c r="CX79" i="6" a="1"/>
  <c r="BC73" i="6"/>
  <c r="BC70" i="6"/>
  <c r="AV70" i="6"/>
  <c r="AV73" i="6"/>
  <c r="BX72" i="6"/>
  <c r="BX75" i="6"/>
  <c r="CM71" i="6"/>
  <c r="CM74" i="6"/>
  <c r="Y79" i="6" a="1"/>
  <c r="DA71" i="6"/>
  <c r="DA74" i="6"/>
  <c r="AQ75" i="6"/>
  <c r="AQ72" i="6"/>
  <c r="CO79" i="6" a="1"/>
  <c r="AJ79" i="6" a="1"/>
  <c r="AD76" i="6" a="1"/>
  <c r="X79" i="6" a="1"/>
  <c r="U74" i="6"/>
  <c r="U71" i="6"/>
  <c r="BR70" i="6"/>
  <c r="BR73" i="6"/>
  <c r="CJ79" i="6"/>
  <c r="CJ81" i="6"/>
  <c r="CJ80" i="6"/>
  <c r="N72" i="6"/>
  <c r="N75" i="6"/>
  <c r="P71" i="6"/>
  <c r="P74" i="6"/>
  <c r="BC74" i="6"/>
  <c r="BC71" i="6"/>
  <c r="CE76" i="6" a="1"/>
  <c r="AV74" i="6"/>
  <c r="AV71" i="6"/>
  <c r="Z74" i="6"/>
  <c r="Z71" i="6"/>
  <c r="BX70" i="6"/>
  <c r="BX73" i="6"/>
  <c r="R76" i="6" a="1"/>
  <c r="BW75" i="6"/>
  <c r="BW72" i="6"/>
  <c r="DA70" i="6"/>
  <c r="DA73" i="6"/>
  <c r="BB79" i="6" a="1"/>
  <c r="CC79" i="6"/>
  <c r="AQ74" i="6"/>
  <c r="AQ71" i="6"/>
  <c r="BS73" i="6"/>
  <c r="BS70" i="6"/>
  <c r="W79" i="6" a="1"/>
  <c r="L76" i="6" a="1"/>
  <c r="AA70" i="6"/>
  <c r="AA73" i="6"/>
  <c r="AO76" i="6" a="1"/>
  <c r="BU79" i="6" a="1"/>
  <c r="CQ72" i="6"/>
  <c r="CQ75" i="6"/>
  <c r="AR79" i="6" a="1"/>
  <c r="BR72" i="6"/>
  <c r="BR75" i="6"/>
  <c r="CU76" i="6" a="1"/>
  <c r="CF79" i="6" a="1"/>
  <c r="P73" i="6"/>
  <c r="P70" i="6"/>
  <c r="BY72" i="6"/>
  <c r="BY75" i="6"/>
  <c r="AV72" i="6"/>
  <c r="AV75" i="6"/>
  <c r="Z72" i="6"/>
  <c r="Z75" i="6"/>
  <c r="BE79" i="6" a="1"/>
  <c r="R79" i="6" a="1"/>
  <c r="BW70" i="6"/>
  <c r="BW73" i="6"/>
  <c r="BN70" i="6"/>
  <c r="BN73" i="6"/>
  <c r="BP74" i="6"/>
  <c r="BP71" i="6"/>
  <c r="BS75" i="6"/>
  <c r="BS72" i="6"/>
  <c r="W164" i="6" a="1"/>
  <c r="W166" i="6" s="1"/>
  <c r="W172" i="6" s="1"/>
  <c r="CJ167" i="6"/>
  <c r="CJ173" i="6" s="1"/>
  <c r="Y167" i="6"/>
  <c r="Y173" i="6" s="1"/>
  <c r="Y186" i="6" s="1"/>
  <c r="AF164" i="6"/>
  <c r="AF170" i="6" s="1"/>
  <c r="CB167" i="6"/>
  <c r="CB173" i="6" s="1"/>
  <c r="CV167" i="6"/>
  <c r="CV173" i="6" s="1"/>
  <c r="CB168" i="6"/>
  <c r="CB174" i="6" s="1"/>
  <c r="BQ167" i="6"/>
  <c r="BQ173" i="6" s="1"/>
  <c r="AK168" i="6"/>
  <c r="AK174" i="6" s="1"/>
  <c r="CV168" i="6"/>
  <c r="CV174" i="6" s="1"/>
  <c r="CJ164" i="6"/>
  <c r="CJ170" i="6" s="1"/>
  <c r="CJ169" i="6"/>
  <c r="CJ175" i="6" s="1"/>
  <c r="W167" i="6"/>
  <c r="W173" i="6" s="1"/>
  <c r="P166" i="6"/>
  <c r="P172" i="6" s="1"/>
  <c r="CV164" i="6" a="1"/>
  <c r="CV165" i="6" s="1"/>
  <c r="CV171" i="6" s="1"/>
  <c r="AK167" i="6"/>
  <c r="AK173" i="6" s="1"/>
  <c r="BQ164" i="6" a="1"/>
  <c r="BQ166" i="6" s="1"/>
  <c r="BQ172" i="6" s="1"/>
  <c r="DA164" i="6" a="1"/>
  <c r="DA166" i="6" s="1"/>
  <c r="DA172" i="6" s="1"/>
  <c r="CD169" i="6"/>
  <c r="CD175" i="6" s="1"/>
  <c r="AQ164" i="6" a="1"/>
  <c r="AQ165" i="6" s="1"/>
  <c r="AQ171" i="6" s="1"/>
  <c r="BM169" i="6"/>
  <c r="BM175" i="6" s="1"/>
  <c r="CS164" i="6" a="1"/>
  <c r="CS164" i="6" s="1"/>
  <c r="CS170" i="6" s="1"/>
  <c r="BM167" i="6"/>
  <c r="BM173" i="6" s="1"/>
  <c r="AD166" i="6"/>
  <c r="AD172" i="6" s="1"/>
  <c r="AD177" i="6" s="1"/>
  <c r="CD167" i="6"/>
  <c r="CD173" i="6" s="1"/>
  <c r="CO164" i="6"/>
  <c r="CO170" i="6" s="1"/>
  <c r="CO165" i="6"/>
  <c r="CO171" i="6" s="1"/>
  <c r="CK169" i="6"/>
  <c r="CK175" i="6" s="1"/>
  <c r="CK167" i="6"/>
  <c r="CK173" i="6" s="1"/>
  <c r="AK164" i="6" a="1"/>
  <c r="AK166" i="6" s="1"/>
  <c r="AK172" i="6" s="1"/>
  <c r="N167" i="6" a="1"/>
  <c r="N168" i="6" s="1"/>
  <c r="N174" i="6" s="1"/>
  <c r="AZ164" i="6" a="1"/>
  <c r="AZ165" i="6" s="1"/>
  <c r="AZ171" i="6" s="1"/>
  <c r="AN169" i="6"/>
  <c r="AN175" i="6" s="1"/>
  <c r="U167" i="6"/>
  <c r="U173" i="6" s="1"/>
  <c r="AW167" i="6"/>
  <c r="AW173" i="6" s="1"/>
  <c r="Y168" i="6"/>
  <c r="Y174" i="6" s="1"/>
  <c r="U169" i="6"/>
  <c r="U175" i="6" s="1"/>
  <c r="AN168" i="6"/>
  <c r="AN174" i="6" s="1"/>
  <c r="AB166" i="6"/>
  <c r="AB172" i="6" s="1"/>
  <c r="BM164" i="6" a="1"/>
  <c r="BM165" i="6" s="1"/>
  <c r="BM171" i="6" s="1"/>
  <c r="BA168" i="6"/>
  <c r="BA174" i="6" s="1"/>
  <c r="BI164" i="6" a="1"/>
  <c r="BI166" i="6" s="1"/>
  <c r="BI172" i="6" s="1"/>
  <c r="BQ169" i="6"/>
  <c r="BQ175" i="6" s="1"/>
  <c r="F167" i="6"/>
  <c r="F173" i="6" s="1"/>
  <c r="CS168" i="6"/>
  <c r="CS174" i="6" s="1"/>
  <c r="AB164" i="6"/>
  <c r="AB170" i="6" s="1"/>
  <c r="BA169" i="6"/>
  <c r="BA175" i="6" s="1"/>
  <c r="CS167" i="6"/>
  <c r="CS173" i="6" s="1"/>
  <c r="AM167" i="6"/>
  <c r="AM173" i="6" s="1"/>
  <c r="AM186" i="6" s="1"/>
  <c r="F168" i="6"/>
  <c r="F174" i="6" s="1"/>
  <c r="AM164" i="6" a="1"/>
  <c r="AM166" i="6" s="1"/>
  <c r="AM172" i="6" s="1"/>
  <c r="BP164" i="6" a="1"/>
  <c r="BP164" i="6" s="1"/>
  <c r="BP170" i="6" s="1"/>
  <c r="P164" i="6"/>
  <c r="P170" i="6" s="1"/>
  <c r="CR164" i="6" a="1"/>
  <c r="CR166" i="6" s="1"/>
  <c r="CR172" i="6" s="1"/>
  <c r="CW164" i="6" a="1"/>
  <c r="CW166" i="6" s="1"/>
  <c r="CW172" i="6" s="1"/>
  <c r="CK164" i="6" a="1"/>
  <c r="CK165" i="6" s="1"/>
  <c r="CK171" i="6" s="1"/>
  <c r="BA164" i="6" a="1"/>
  <c r="BA166" i="6" s="1"/>
  <c r="BA172" i="6" s="1"/>
  <c r="AL164" i="6" a="1"/>
  <c r="AL166" i="6" s="1"/>
  <c r="AL172" i="6" s="1"/>
  <c r="CG164" i="6" a="1"/>
  <c r="CG166" i="6" s="1"/>
  <c r="CG172" i="6" s="1"/>
  <c r="T164" i="6" a="1"/>
  <c r="T165" i="6" s="1"/>
  <c r="T171" i="6" s="1"/>
  <c r="X164" i="6" a="1"/>
  <c r="X165" i="6" s="1"/>
  <c r="X171" i="6" s="1"/>
  <c r="CB164" i="6"/>
  <c r="CB170" i="6" s="1"/>
  <c r="AF166" i="6"/>
  <c r="AF172" i="6" s="1"/>
  <c r="CB166" i="6"/>
  <c r="CB172" i="6" s="1"/>
  <c r="CT164" i="6" a="1"/>
  <c r="CT165" i="6" s="1"/>
  <c r="CT171" i="6" s="1"/>
  <c r="DA167" i="6"/>
  <c r="DA173" i="6" s="1"/>
  <c r="DA168" i="6"/>
  <c r="DA174" i="6" s="1"/>
  <c r="CZ167" i="6" a="1"/>
  <c r="CZ167" i="6" s="1"/>
  <c r="CZ173" i="6" s="1"/>
  <c r="AL168" i="6"/>
  <c r="AL174" i="6" s="1"/>
  <c r="BO169" i="6"/>
  <c r="BO175" i="6" s="1"/>
  <c r="CJ165" i="6"/>
  <c r="CJ171" i="6" s="1"/>
  <c r="CA169" i="6"/>
  <c r="CA175" i="6" s="1"/>
  <c r="BO164" i="6" a="1"/>
  <c r="BO164" i="6" s="1"/>
  <c r="BO170" i="6" s="1"/>
  <c r="AL167" i="6"/>
  <c r="AL173" i="6" s="1"/>
  <c r="CU164" i="6" a="1"/>
  <c r="CU166" i="6" s="1"/>
  <c r="CU172" i="6" s="1"/>
  <c r="CA168" i="6"/>
  <c r="CA174" i="6" s="1"/>
  <c r="Z167" i="6"/>
  <c r="Z173" i="6" s="1"/>
  <c r="BS164" i="6"/>
  <c r="BS170" i="6" s="1"/>
  <c r="J164" i="6" a="1"/>
  <c r="J164" i="6" s="1"/>
  <c r="J170" i="6" s="1"/>
  <c r="BV167" i="6" a="1"/>
  <c r="BV167" i="6" s="1"/>
  <c r="BV173" i="6" s="1"/>
  <c r="CF167" i="6" a="1"/>
  <c r="CF168" i="6" s="1"/>
  <c r="CF174" i="6" s="1"/>
  <c r="AO164" i="6"/>
  <c r="AO170" i="6" s="1"/>
  <c r="N164" i="6" a="1"/>
  <c r="N166" i="6" s="1"/>
  <c r="N172" i="6" s="1"/>
  <c r="BO168" i="6"/>
  <c r="BO174" i="6" s="1"/>
  <c r="BU164" i="6" a="1"/>
  <c r="BU164" i="6" s="1"/>
  <c r="BU170" i="6" s="1"/>
  <c r="CE166" i="6"/>
  <c r="CE172" i="6" s="1"/>
  <c r="P167" i="6" a="1"/>
  <c r="P168" i="6" s="1"/>
  <c r="P174" i="6" s="1"/>
  <c r="T168" i="6"/>
  <c r="T174" i="6" s="1"/>
  <c r="AW168" i="6"/>
  <c r="AW174" i="6" s="1"/>
  <c r="CN164" i="6" a="1"/>
  <c r="CN166" i="6" s="1"/>
  <c r="CN172" i="6" s="1"/>
  <c r="T169" i="6"/>
  <c r="T175" i="6" s="1"/>
  <c r="AB168" i="6"/>
  <c r="AB174" i="6" s="1"/>
  <c r="Z168" i="6"/>
  <c r="Z174" i="6" s="1"/>
  <c r="AY164" i="6"/>
  <c r="AY170" i="6" s="1"/>
  <c r="Z164" i="6" a="1"/>
  <c r="Z165" i="6" s="1"/>
  <c r="Z171" i="6" s="1"/>
  <c r="AB167" i="6"/>
  <c r="AB173" i="6" s="1"/>
  <c r="AH167" i="6" a="1"/>
  <c r="AH168" i="6" s="1"/>
  <c r="AH174" i="6" s="1"/>
  <c r="AY166" i="6"/>
  <c r="AY172" i="6" s="1"/>
  <c r="AX164" i="6" a="1"/>
  <c r="AX166" i="6" s="1"/>
  <c r="AX172" i="6" s="1"/>
  <c r="W186" i="6"/>
  <c r="M166" i="6"/>
  <c r="M172" i="6" s="1"/>
  <c r="AV167" i="6" a="1"/>
  <c r="AV167" i="6" s="1"/>
  <c r="AV173" i="6" s="1"/>
  <c r="M165" i="6"/>
  <c r="M171" i="6" s="1"/>
  <c r="BF167" i="6" a="1"/>
  <c r="BF169" i="6" s="1"/>
  <c r="BF175" i="6" s="1"/>
  <c r="BB167" i="6" a="1"/>
  <c r="BB169" i="6" s="1"/>
  <c r="BB175" i="6" s="1"/>
  <c r="Q164" i="6"/>
  <c r="Q170" i="6" s="1"/>
  <c r="G165" i="6"/>
  <c r="G171" i="6" s="1"/>
  <c r="AY168" i="6"/>
  <c r="AY174" i="6" s="1"/>
  <c r="BS166" i="6"/>
  <c r="BS172" i="6" s="1"/>
  <c r="AO165" i="6"/>
  <c r="AO171" i="6" s="1"/>
  <c r="G166" i="6"/>
  <c r="G172" i="6" s="1"/>
  <c r="AV164" i="6" a="1"/>
  <c r="AV165" i="6" s="1"/>
  <c r="AV171" i="6" s="1"/>
  <c r="AY167" i="6"/>
  <c r="AY173" i="6" s="1"/>
  <c r="AU167" i="6" a="1"/>
  <c r="AU169" i="6" s="1"/>
  <c r="AU175" i="6" s="1"/>
  <c r="AS164" i="6" a="1"/>
  <c r="AS165" i="6" s="1"/>
  <c r="AS171" i="6" s="1"/>
  <c r="Q165" i="6"/>
  <c r="Q171" i="6" s="1"/>
  <c r="AW164" i="6"/>
  <c r="AW170" i="6" s="1"/>
  <c r="CT167" i="6"/>
  <c r="CT173" i="6" s="1"/>
  <c r="W165" i="6"/>
  <c r="W171" i="6" s="1"/>
  <c r="AD168" i="6"/>
  <c r="AD174" i="6" s="1"/>
  <c r="CV164" i="6"/>
  <c r="CV170" i="6" s="1"/>
  <c r="AW166" i="6"/>
  <c r="AW172" i="6" s="1"/>
  <c r="AR169" i="6"/>
  <c r="AR175" i="6" s="1"/>
  <c r="AD169" i="6"/>
  <c r="AD175" i="6" s="1"/>
  <c r="CQ167" i="6" a="1"/>
  <c r="CQ167" i="6" s="1"/>
  <c r="CQ173" i="6" s="1"/>
  <c r="CT169" i="6"/>
  <c r="CT175" i="6" s="1"/>
  <c r="AQ169" i="6"/>
  <c r="AQ175" i="6" s="1"/>
  <c r="BC167" i="6" a="1"/>
  <c r="BC167" i="6" s="1"/>
  <c r="BC173" i="6" s="1"/>
  <c r="CZ164" i="6" a="1"/>
  <c r="CZ164" i="6" s="1"/>
  <c r="CZ170" i="6" s="1"/>
  <c r="CI164" i="6" a="1"/>
  <c r="CI164" i="6" s="1"/>
  <c r="CI170" i="6" s="1"/>
  <c r="K164" i="6" a="1"/>
  <c r="K165" i="6" s="1"/>
  <c r="K171" i="6" s="1"/>
  <c r="I167" i="6" a="1"/>
  <c r="I168" i="6" s="1"/>
  <c r="I174" i="6" s="1"/>
  <c r="F164" i="6" a="1"/>
  <c r="Y165" i="6"/>
  <c r="Y171" i="6" s="1"/>
  <c r="BT164" i="6" a="1"/>
  <c r="BT164" i="6" s="1"/>
  <c r="BT170" i="6" s="1"/>
  <c r="CQ164" i="6" a="1"/>
  <c r="CQ166" i="6" s="1"/>
  <c r="CQ172" i="6" s="1"/>
  <c r="O167" i="6" a="1"/>
  <c r="O168" i="6" s="1"/>
  <c r="O174" i="6" s="1"/>
  <c r="CE164" i="6"/>
  <c r="CE170" i="6" s="1"/>
  <c r="Y166" i="6"/>
  <c r="Y172" i="6" s="1"/>
  <c r="BF164" i="6" a="1"/>
  <c r="BF164" i="6" s="1"/>
  <c r="BF170" i="6" s="1"/>
  <c r="CL164" i="6" a="1"/>
  <c r="CL166" i="6" s="1"/>
  <c r="CL172" i="6" s="1"/>
  <c r="BH169" i="6"/>
  <c r="BH175" i="6" s="1"/>
  <c r="CM164" i="6" a="1"/>
  <c r="CM165" i="6" s="1"/>
  <c r="CM171" i="6" s="1"/>
  <c r="BH167" i="6"/>
  <c r="BH173" i="6" s="1"/>
  <c r="CI167" i="6" a="1"/>
  <c r="CI168" i="6" s="1"/>
  <c r="CI174" i="6" s="1"/>
  <c r="CH164" i="6" a="1"/>
  <c r="CH164" i="6" s="1"/>
  <c r="CH170" i="6" s="1"/>
  <c r="CG186" i="6"/>
  <c r="AS167" i="6" a="1"/>
  <c r="AS168" i="6" s="1"/>
  <c r="AS174" i="6" s="1"/>
  <c r="AU164" i="6" a="1"/>
  <c r="AU165" i="6" s="1"/>
  <c r="AU171" i="6" s="1"/>
  <c r="BN164" i="6" a="1"/>
  <c r="BN165" i="6" s="1"/>
  <c r="BN171" i="6" s="1"/>
  <c r="AR168" i="6"/>
  <c r="AR174" i="6" s="1"/>
  <c r="AN164" i="6" a="1"/>
  <c r="CE186" i="6"/>
  <c r="AC167" i="6" a="1"/>
  <c r="AC169" i="6" s="1"/>
  <c r="AC175" i="6" s="1"/>
  <c r="AP164" i="6" a="1"/>
  <c r="AP164" i="6" s="1"/>
  <c r="AP170" i="6" s="1"/>
  <c r="CW167" i="6" a="1"/>
  <c r="CW167" i="6" s="1"/>
  <c r="CW173" i="6" s="1"/>
  <c r="BE164" i="6" a="1"/>
  <c r="BE165" i="6" s="1"/>
  <c r="BE171" i="6" s="1"/>
  <c r="AT164" i="6" a="1"/>
  <c r="AT164" i="6" s="1"/>
  <c r="AT170" i="6" s="1"/>
  <c r="CM167" i="6" a="1"/>
  <c r="CM168" i="6" s="1"/>
  <c r="CM174" i="6" s="1"/>
  <c r="R167" i="6" a="1"/>
  <c r="R169" i="6" s="1"/>
  <c r="R175" i="6" s="1"/>
  <c r="CY167" i="6" a="1"/>
  <c r="CY168" i="6" s="1"/>
  <c r="CY174" i="6" s="1"/>
  <c r="AJ164" i="6" a="1"/>
  <c r="AJ166" i="6" s="1"/>
  <c r="AJ172" i="6" s="1"/>
  <c r="AQ167" i="6"/>
  <c r="AQ173" i="6" s="1"/>
  <c r="AZ186" i="6"/>
  <c r="BI168" i="6"/>
  <c r="BI174" i="6" s="1"/>
  <c r="BI169" i="6"/>
  <c r="BI175" i="6" s="1"/>
  <c r="BI167" i="6"/>
  <c r="BI173" i="6" s="1"/>
  <c r="BJ167" i="6" a="1"/>
  <c r="BJ168" i="6" s="1"/>
  <c r="BJ174" i="6" s="1"/>
  <c r="CN167" i="6" a="1"/>
  <c r="CN168" i="6" s="1"/>
  <c r="CN174" i="6" s="1"/>
  <c r="BY167" i="6" a="1"/>
  <c r="BY168" i="6" s="1"/>
  <c r="BY174" i="6" s="1"/>
  <c r="AG167" i="6" a="1"/>
  <c r="AG167" i="6" s="1"/>
  <c r="AG173" i="6" s="1"/>
  <c r="I164" i="6" a="1"/>
  <c r="I164" i="6" s="1"/>
  <c r="I170" i="6" s="1"/>
  <c r="BD167" i="6" a="1"/>
  <c r="BD169" i="6" s="1"/>
  <c r="BD175" i="6" s="1"/>
  <c r="CC167" i="6" a="1"/>
  <c r="CC169" i="6" s="1"/>
  <c r="CC175" i="6" s="1"/>
  <c r="AA167" i="6" a="1"/>
  <c r="AA167" i="6" s="1"/>
  <c r="AA173" i="6" s="1"/>
  <c r="L164" i="6" a="1"/>
  <c r="L165" i="6" s="1"/>
  <c r="L171" i="6" s="1"/>
  <c r="AA164" i="6" a="1"/>
  <c r="AA165" i="6" s="1"/>
  <c r="AA171" i="6" s="1"/>
  <c r="BN167" i="6" a="1"/>
  <c r="BN169" i="6" s="1"/>
  <c r="BN175" i="6" s="1"/>
  <c r="AG164" i="6" a="1"/>
  <c r="AG165" i="6" s="1"/>
  <c r="AG171" i="6" s="1"/>
  <c r="AJ167" i="6" a="1"/>
  <c r="AJ169" i="6" s="1"/>
  <c r="AJ175" i="6" s="1"/>
  <c r="L167" i="6" a="1"/>
  <c r="L168" i="6" s="1"/>
  <c r="L174" i="6" s="1"/>
  <c r="J167" i="6" a="1"/>
  <c r="J167" i="6" s="1"/>
  <c r="J173" i="6" s="1"/>
  <c r="S167" i="6" a="1"/>
  <c r="S169" i="6" s="1"/>
  <c r="S175" i="6" s="1"/>
  <c r="H167" i="6" a="1"/>
  <c r="H168" i="6" s="1"/>
  <c r="H174" i="6" s="1"/>
  <c r="BX164" i="6"/>
  <c r="BX170" i="6" s="1"/>
  <c r="BX165" i="6"/>
  <c r="BX171" i="6" s="1"/>
  <c r="BX166" i="6"/>
  <c r="BX172" i="6" s="1"/>
  <c r="BW164" i="6"/>
  <c r="BW170" i="6" s="1"/>
  <c r="BW166" i="6"/>
  <c r="BW172" i="6" s="1"/>
  <c r="BW165" i="6"/>
  <c r="BW171" i="6" s="1"/>
  <c r="CP186" i="6"/>
  <c r="AC164" i="6" a="1"/>
  <c r="AC164" i="6" s="1"/>
  <c r="AC170" i="6" s="1"/>
  <c r="O164" i="6" a="1"/>
  <c r="O164" i="6" s="1"/>
  <c r="O170" i="6" s="1"/>
  <c r="AR165" i="6"/>
  <c r="AR171" i="6" s="1"/>
  <c r="AR164" i="6"/>
  <c r="AR170" i="6" s="1"/>
  <c r="AR166" i="6"/>
  <c r="AR172" i="6" s="1"/>
  <c r="AW85" i="6" a="1"/>
  <c r="AW85" i="6" s="1"/>
  <c r="AW91" i="6" s="1"/>
  <c r="CX164" i="6" a="1"/>
  <c r="BJ164" i="6" a="1"/>
  <c r="CX167" i="6" a="1"/>
  <c r="G167" i="6"/>
  <c r="G173" i="6" s="1"/>
  <c r="G169" i="6"/>
  <c r="G175" i="6" s="1"/>
  <c r="G168" i="6"/>
  <c r="G174" i="6" s="1"/>
  <c r="V164" i="6" a="1"/>
  <c r="AH164" i="6" a="1"/>
  <c r="BL164" i="6" a="1"/>
  <c r="BS186" i="6"/>
  <c r="BR164" i="6" a="1"/>
  <c r="CC164" i="6" a="1"/>
  <c r="AP167" i="6" a="1"/>
  <c r="CO186" i="6"/>
  <c r="AI164" i="6" a="1"/>
  <c r="AX167" i="6" a="1"/>
  <c r="AE167" i="6" a="1"/>
  <c r="M186" i="6"/>
  <c r="CH167" i="6" a="1"/>
  <c r="BE167" i="6" a="1"/>
  <c r="BR167" i="6" a="1"/>
  <c r="BP186" i="6"/>
  <c r="AF186" i="6"/>
  <c r="CY164" i="6" a="1"/>
  <c r="X167" i="6" a="1"/>
  <c r="BY164" i="6" a="1"/>
  <c r="BZ165" i="6"/>
  <c r="BZ171" i="6" s="1"/>
  <c r="BZ164" i="6"/>
  <c r="BZ170" i="6" s="1"/>
  <c r="BZ166" i="6"/>
  <c r="BZ172" i="6" s="1"/>
  <c r="CR186" i="6"/>
  <c r="CD165" i="6"/>
  <c r="CD171" i="6" s="1"/>
  <c r="CD164" i="6"/>
  <c r="CD170" i="6" s="1"/>
  <c r="CD166" i="6"/>
  <c r="CD172" i="6" s="1"/>
  <c r="BH164" i="6"/>
  <c r="BH170" i="6" s="1"/>
  <c r="BH166" i="6"/>
  <c r="BH172" i="6" s="1"/>
  <c r="BH165" i="6"/>
  <c r="BH171" i="6" s="1"/>
  <c r="BL167" i="6" a="1"/>
  <c r="BW186" i="6"/>
  <c r="V167" i="6" a="1"/>
  <c r="AT167" i="6" a="1"/>
  <c r="BB164" i="6" a="1"/>
  <c r="CL167" i="6" a="1"/>
  <c r="BC164" i="6" a="1"/>
  <c r="AE164" i="6" a="1"/>
  <c r="BU167" i="6" a="1"/>
  <c r="Q186" i="6"/>
  <c r="CP165" i="6"/>
  <c r="CP171" i="6" s="1"/>
  <c r="CP164" i="6"/>
  <c r="CP170" i="6" s="1"/>
  <c r="CP166" i="6"/>
  <c r="CP172" i="6" s="1"/>
  <c r="BX167" i="6"/>
  <c r="BX173" i="6" s="1"/>
  <c r="BX168" i="6"/>
  <c r="BX174" i="6" s="1"/>
  <c r="BX169" i="6"/>
  <c r="BX175" i="6" s="1"/>
  <c r="CU167" i="6" a="1"/>
  <c r="BZ169" i="6"/>
  <c r="BZ175" i="6" s="1"/>
  <c r="BZ167" i="6"/>
  <c r="BZ173" i="6" s="1"/>
  <c r="BZ168" i="6"/>
  <c r="BZ174" i="6" s="1"/>
  <c r="CF164" i="6" a="1"/>
  <c r="U165" i="6"/>
  <c r="U171" i="6" s="1"/>
  <c r="U164" i="6"/>
  <c r="U170" i="6" s="1"/>
  <c r="U166" i="6"/>
  <c r="U172" i="6" s="1"/>
  <c r="R164" i="6" a="1"/>
  <c r="K167" i="6" a="1"/>
  <c r="BD164" i="6" a="1"/>
  <c r="BV164" i="6" a="1"/>
  <c r="BT167" i="6" a="1"/>
  <c r="S164" i="6" a="1"/>
  <c r="BK164" i="6" a="1"/>
  <c r="BK167" i="6" a="1"/>
  <c r="BG164" i="6" a="1"/>
  <c r="X166" i="6"/>
  <c r="X172" i="6" s="1"/>
  <c r="AI167" i="6" a="1"/>
  <c r="AO186" i="6"/>
  <c r="H164" i="6" a="1"/>
  <c r="BG167" i="6" a="1"/>
  <c r="G76" i="6" l="1" a="1"/>
  <c r="CO76" i="6" a="1"/>
  <c r="CA176" i="6"/>
  <c r="CA177" i="6"/>
  <c r="AS166" i="6"/>
  <c r="AS172" i="6" s="1"/>
  <c r="AS164" i="6"/>
  <c r="AS170" i="6" s="1"/>
  <c r="BB76" i="6" a="1"/>
  <c r="CU164" i="6"/>
  <c r="CU170" i="6" s="1"/>
  <c r="CG165" i="6"/>
  <c r="CG171" i="6" s="1"/>
  <c r="CJ177" i="6"/>
  <c r="BI165" i="6"/>
  <c r="BI171" i="6" s="1"/>
  <c r="BI164" i="6"/>
  <c r="BI170" i="6" s="1"/>
  <c r="BU76" i="6" a="1"/>
  <c r="BU78" i="6" s="1"/>
  <c r="DA165" i="6"/>
  <c r="DA171" i="6" s="1"/>
  <c r="DA185" i="6" s="1"/>
  <c r="W164" i="6"/>
  <c r="W170" i="6" s="1"/>
  <c r="CH77" i="6"/>
  <c r="H167" i="6"/>
  <c r="H173" i="6" s="1"/>
  <c r="AE81" i="6"/>
  <c r="BJ76" i="6" a="1"/>
  <c r="BJ78" i="6" s="1"/>
  <c r="CJ76" i="6" a="1"/>
  <c r="CJ77" i="6" s="1"/>
  <c r="BQ76" i="6" a="1"/>
  <c r="BQ76" i="6" s="1"/>
  <c r="CW76" i="6" a="1"/>
  <c r="CW77" i="6" s="1"/>
  <c r="CB76" i="6" a="1"/>
  <c r="BM76" i="6" a="1"/>
  <c r="BM78" i="6" s="1"/>
  <c r="AE76" i="6" a="1"/>
  <c r="CZ76" i="6" a="1"/>
  <c r="CZ78" i="6" s="1"/>
  <c r="CY76" i="6" a="1"/>
  <c r="CY78" i="6" s="1"/>
  <c r="BV80" i="6"/>
  <c r="BG76" i="6" a="1"/>
  <c r="CJ78" i="6"/>
  <c r="AB79" i="6"/>
  <c r="CJ76" i="6"/>
  <c r="CS85" i="6" a="1"/>
  <c r="CS86" i="6" s="1"/>
  <c r="CS92" i="6" s="1"/>
  <c r="CC81" i="6"/>
  <c r="CC85" i="6" s="1" a="1"/>
  <c r="CW81" i="6"/>
  <c r="AP76" i="6" a="1"/>
  <c r="AP78" i="6" s="1"/>
  <c r="L81" i="6"/>
  <c r="BK81" i="6"/>
  <c r="CY80" i="6"/>
  <c r="BK80" i="6"/>
  <c r="CY79" i="6"/>
  <c r="L80" i="6"/>
  <c r="BV81" i="6"/>
  <c r="BV85" i="6" s="1" a="1"/>
  <c r="CH79" i="6"/>
  <c r="AO79" i="6"/>
  <c r="BV76" i="6" a="1"/>
  <c r="BV77" i="6" s="1"/>
  <c r="BI79" i="6" a="1"/>
  <c r="BI80" i="6" s="1"/>
  <c r="CH81" i="6"/>
  <c r="AN76" i="6" a="1"/>
  <c r="AN76" i="6" s="1"/>
  <c r="AI81" i="6"/>
  <c r="CE81" i="6"/>
  <c r="CE79" i="6"/>
  <c r="CZ81" i="6"/>
  <c r="CZ80" i="6"/>
  <c r="CZ79" i="6"/>
  <c r="AA79" i="6" a="1"/>
  <c r="AA80" i="6" s="1"/>
  <c r="AI80" i="6"/>
  <c r="AR78" i="6"/>
  <c r="AO80" i="6"/>
  <c r="AR76" i="6"/>
  <c r="AC80" i="6"/>
  <c r="AC79" i="6"/>
  <c r="AZ76" i="6" a="1"/>
  <c r="AZ76" i="6" s="1"/>
  <c r="I76" i="6" a="1"/>
  <c r="I78" i="6" s="1"/>
  <c r="CA78" i="6"/>
  <c r="AB80" i="6"/>
  <c r="BZ79" i="6"/>
  <c r="CR78" i="6"/>
  <c r="BZ80" i="6"/>
  <c r="CR77" i="6"/>
  <c r="BM80" i="6"/>
  <c r="BN76" i="6" a="1"/>
  <c r="BN78" i="6" s="1"/>
  <c r="BM79" i="6"/>
  <c r="M78" i="6"/>
  <c r="M76" i="6"/>
  <c r="M77" i="6"/>
  <c r="CA76" i="6"/>
  <c r="AE80" i="6"/>
  <c r="AE85" i="6" s="1" a="1"/>
  <c r="V76" i="6" a="1"/>
  <c r="V77" i="6" s="1"/>
  <c r="F80" i="6"/>
  <c r="F79" i="6"/>
  <c r="BP76" i="6" a="1"/>
  <c r="BP76" i="6" s="1"/>
  <c r="X76" i="6"/>
  <c r="CI79" i="6"/>
  <c r="V80" i="6"/>
  <c r="V81" i="6"/>
  <c r="CW79" i="6"/>
  <c r="CI81" i="6"/>
  <c r="BW79" i="6" a="1"/>
  <c r="BW80" i="6" s="1"/>
  <c r="N79" i="6" a="1"/>
  <c r="N81" i="6" s="1"/>
  <c r="CF76" i="6"/>
  <c r="F78" i="6"/>
  <c r="CC77" i="6"/>
  <c r="CC76" i="6"/>
  <c r="CC78" i="6"/>
  <c r="CT81" i="6"/>
  <c r="CT79" i="6"/>
  <c r="CT80" i="6"/>
  <c r="AS81" i="6"/>
  <c r="I79" i="6" a="1"/>
  <c r="I80" i="6" s="1"/>
  <c r="CP76" i="6"/>
  <c r="CP77" i="6"/>
  <c r="CP78" i="6"/>
  <c r="AS80" i="6"/>
  <c r="BU76" i="6"/>
  <c r="CN76" i="6"/>
  <c r="X77" i="6"/>
  <c r="BO81" i="6"/>
  <c r="CN78" i="6"/>
  <c r="BN79" i="6" a="1"/>
  <c r="BN81" i="6" s="1"/>
  <c r="BO79" i="6"/>
  <c r="K78" i="6"/>
  <c r="K76" i="6"/>
  <c r="K77" i="6"/>
  <c r="BD85" i="6" a="1"/>
  <c r="CD80" i="6"/>
  <c r="CD79" i="6"/>
  <c r="AK79" i="6"/>
  <c r="AK80" i="6"/>
  <c r="BL80" i="6"/>
  <c r="BL79" i="6"/>
  <c r="BL81" i="6"/>
  <c r="CS87" i="6"/>
  <c r="CS93" i="6" s="1"/>
  <c r="P76" i="6" a="1"/>
  <c r="P78" i="6" s="1"/>
  <c r="CA79" i="6"/>
  <c r="F76" i="6"/>
  <c r="CD77" i="6"/>
  <c r="CD78" i="6"/>
  <c r="CD76" i="6"/>
  <c r="BX76" i="6" a="1"/>
  <c r="BX76" i="6" s="1"/>
  <c r="CF78" i="6"/>
  <c r="CA80" i="6"/>
  <c r="AX78" i="6"/>
  <c r="AX77" i="6"/>
  <c r="AX76" i="6"/>
  <c r="BQ77" i="6"/>
  <c r="AE78" i="6"/>
  <c r="AE76" i="6"/>
  <c r="AE77" i="6"/>
  <c r="CP80" i="6"/>
  <c r="CP81" i="6"/>
  <c r="CP79" i="6"/>
  <c r="BS79" i="6" a="1"/>
  <c r="BS79" i="6" s="1"/>
  <c r="DA79" i="6" a="1"/>
  <c r="DA79" i="6" s="1"/>
  <c r="CJ85" i="6" a="1"/>
  <c r="W76" i="6"/>
  <c r="W78" i="6"/>
  <c r="W77" i="6"/>
  <c r="DA76" i="6" a="1"/>
  <c r="DA76" i="6" s="1"/>
  <c r="AW76" i="6"/>
  <c r="AW78" i="6"/>
  <c r="AW77" i="6"/>
  <c r="H79" i="6" a="1"/>
  <c r="H80" i="6" s="1"/>
  <c r="BA80" i="6"/>
  <c r="BL76" i="6"/>
  <c r="BL78" i="6"/>
  <c r="BL77" i="6"/>
  <c r="H76" i="6" a="1"/>
  <c r="H78" i="6" s="1"/>
  <c r="BA81" i="6"/>
  <c r="BX79" i="6" a="1"/>
  <c r="BX79" i="6" s="1"/>
  <c r="AL81" i="6"/>
  <c r="AL79" i="6"/>
  <c r="AL80" i="6"/>
  <c r="BS76" i="6" a="1"/>
  <c r="BS77" i="6" s="1"/>
  <c r="BP165" i="6"/>
  <c r="BP171" i="6" s="1"/>
  <c r="BG81" i="6"/>
  <c r="BG80" i="6"/>
  <c r="BG79" i="6"/>
  <c r="CK76" i="6"/>
  <c r="CK78" i="6"/>
  <c r="CK77" i="6"/>
  <c r="K79" i="6"/>
  <c r="K81" i="6"/>
  <c r="K80" i="6"/>
  <c r="BZ77" i="6"/>
  <c r="BZ76" i="6"/>
  <c r="BZ78" i="6"/>
  <c r="CB186" i="6"/>
  <c r="R79" i="6"/>
  <c r="R81" i="6"/>
  <c r="R80" i="6"/>
  <c r="CL78" i="6"/>
  <c r="CL77" i="6"/>
  <c r="CL76" i="6"/>
  <c r="CE77" i="6"/>
  <c r="CE76" i="6"/>
  <c r="CE78" i="6"/>
  <c r="BR79" i="6" a="1"/>
  <c r="CO80" i="6"/>
  <c r="CO81" i="6"/>
  <c r="CO79" i="6"/>
  <c r="CX80" i="6"/>
  <c r="CX79" i="6"/>
  <c r="CX81" i="6"/>
  <c r="CM79" i="6" a="1"/>
  <c r="M80" i="6"/>
  <c r="M79" i="6"/>
  <c r="M81" i="6"/>
  <c r="T80" i="6"/>
  <c r="T81" i="6"/>
  <c r="T79" i="6"/>
  <c r="CV76" i="6" a="1"/>
  <c r="AY76" i="6" a="1"/>
  <c r="CK81" i="6"/>
  <c r="CK80" i="6"/>
  <c r="CK79" i="6"/>
  <c r="BQ81" i="6"/>
  <c r="BQ80" i="6"/>
  <c r="BQ79" i="6"/>
  <c r="BE81" i="6"/>
  <c r="BE79" i="6"/>
  <c r="BE80" i="6"/>
  <c r="R78" i="6"/>
  <c r="R77" i="6"/>
  <c r="R76" i="6"/>
  <c r="BR76" i="6" a="1"/>
  <c r="BK78" i="6"/>
  <c r="BK76" i="6"/>
  <c r="BK77" i="6"/>
  <c r="CX78" i="6"/>
  <c r="CX76" i="6"/>
  <c r="CX77" i="6"/>
  <c r="CT76" i="6"/>
  <c r="CT77" i="6"/>
  <c r="CT78" i="6"/>
  <c r="CB79" i="6"/>
  <c r="CB80" i="6"/>
  <c r="CB81" i="6"/>
  <c r="S79" i="6" a="1"/>
  <c r="BT81" i="6"/>
  <c r="BT80" i="6"/>
  <c r="BT79" i="6"/>
  <c r="AY79" i="6" a="1"/>
  <c r="CL81" i="6"/>
  <c r="CL79" i="6"/>
  <c r="CL80" i="6"/>
  <c r="BD76" i="6"/>
  <c r="BD77" i="6"/>
  <c r="BD78" i="6"/>
  <c r="CO77" i="6"/>
  <c r="CO76" i="6"/>
  <c r="CO78" i="6"/>
  <c r="Y78" i="6"/>
  <c r="Y76" i="6"/>
  <c r="Y77" i="6"/>
  <c r="Z79" i="6" a="1"/>
  <c r="P79" i="6" a="1"/>
  <c r="L78" i="6"/>
  <c r="L77" i="6"/>
  <c r="L76" i="6"/>
  <c r="CG81" i="6"/>
  <c r="CG80" i="6"/>
  <c r="CG79" i="6"/>
  <c r="AK78" i="6"/>
  <c r="AK77" i="6"/>
  <c r="AK76" i="6"/>
  <c r="AP81" i="6"/>
  <c r="AP80" i="6"/>
  <c r="AP79" i="6"/>
  <c r="AI78" i="6"/>
  <c r="AI77" i="6"/>
  <c r="AI76" i="6"/>
  <c r="CM76" i="6" a="1"/>
  <c r="S76" i="6" a="1"/>
  <c r="BO78" i="6"/>
  <c r="BO76" i="6"/>
  <c r="BO77" i="6"/>
  <c r="BJ77" i="6"/>
  <c r="AU77" i="6"/>
  <c r="AU76" i="6"/>
  <c r="AU78" i="6"/>
  <c r="AM78" i="6"/>
  <c r="AM77" i="6"/>
  <c r="AM76" i="6"/>
  <c r="CU79" i="6"/>
  <c r="CU81" i="6"/>
  <c r="CU80" i="6"/>
  <c r="AC78" i="6"/>
  <c r="AC77" i="6"/>
  <c r="AC76" i="6"/>
  <c r="CI77" i="6"/>
  <c r="CI76" i="6"/>
  <c r="CI78" i="6"/>
  <c r="AR81" i="6"/>
  <c r="AR80" i="6"/>
  <c r="AR79" i="6"/>
  <c r="W79" i="6"/>
  <c r="W81" i="6"/>
  <c r="W80" i="6"/>
  <c r="AD79" i="6"/>
  <c r="AD80" i="6"/>
  <c r="AD81" i="6"/>
  <c r="T76" i="6"/>
  <c r="T78" i="6"/>
  <c r="T77" i="6"/>
  <c r="AG78" i="6"/>
  <c r="AG77" i="6"/>
  <c r="AG76" i="6"/>
  <c r="CH82" i="6" a="1"/>
  <c r="CN81" i="6"/>
  <c r="CN79" i="6"/>
  <c r="CN80" i="6"/>
  <c r="BF76" i="6" a="1"/>
  <c r="BP79" i="6" a="1"/>
  <c r="AF76" i="6" a="1"/>
  <c r="AA76" i="6" a="1"/>
  <c r="CF80" i="6"/>
  <c r="CF79" i="6"/>
  <c r="CF81" i="6"/>
  <c r="BB79" i="6"/>
  <c r="BB80" i="6"/>
  <c r="BB81" i="6"/>
  <c r="Z76" i="6" a="1"/>
  <c r="AV79" i="6" a="1"/>
  <c r="G80" i="6"/>
  <c r="G81" i="6"/>
  <c r="G79" i="6"/>
  <c r="AJ76" i="6"/>
  <c r="AJ77" i="6"/>
  <c r="AJ78" i="6"/>
  <c r="BA78" i="6"/>
  <c r="BA76" i="6"/>
  <c r="BA77" i="6"/>
  <c r="CB76" i="6"/>
  <c r="CB77" i="6"/>
  <c r="CB78" i="6"/>
  <c r="BH76" i="6" a="1"/>
  <c r="CS77" i="6"/>
  <c r="CS76" i="6"/>
  <c r="CS78" i="6"/>
  <c r="O79" i="6" a="1"/>
  <c r="BF79" i="6" a="1"/>
  <c r="Q79" i="6" a="1"/>
  <c r="CU76" i="6"/>
  <c r="CU77" i="6"/>
  <c r="CU78" i="6"/>
  <c r="DA81" i="6"/>
  <c r="X79" i="6"/>
  <c r="X81" i="6"/>
  <c r="X80" i="6"/>
  <c r="AV76" i="6" a="1"/>
  <c r="CR81" i="6"/>
  <c r="CR80" i="6"/>
  <c r="CR79" i="6"/>
  <c r="AL78" i="6"/>
  <c r="AL77" i="6"/>
  <c r="AL76" i="6"/>
  <c r="AQ76" i="6" a="1"/>
  <c r="G76" i="6"/>
  <c r="G78" i="6"/>
  <c r="G77" i="6"/>
  <c r="BG76" i="6"/>
  <c r="BG78" i="6"/>
  <c r="BG77" i="6"/>
  <c r="AB78" i="6"/>
  <c r="AB77" i="6"/>
  <c r="AB76" i="6"/>
  <c r="BH79" i="6" a="1"/>
  <c r="AT76" i="6" a="1"/>
  <c r="O76" i="6" a="1"/>
  <c r="BE77" i="6"/>
  <c r="BE76" i="6"/>
  <c r="BE78" i="6"/>
  <c r="Q76" i="6" a="1"/>
  <c r="AG79" i="6"/>
  <c r="AG80" i="6"/>
  <c r="AG81" i="6"/>
  <c r="CQ79" i="6" a="1"/>
  <c r="BU81" i="6"/>
  <c r="BU79" i="6"/>
  <c r="BU80" i="6"/>
  <c r="AX81" i="6"/>
  <c r="AX80" i="6"/>
  <c r="AX79" i="6"/>
  <c r="AS78" i="6"/>
  <c r="AS76" i="6"/>
  <c r="AS77" i="6"/>
  <c r="AD77" i="6"/>
  <c r="AD76" i="6"/>
  <c r="AD78" i="6"/>
  <c r="Y81" i="6"/>
  <c r="Y79" i="6"/>
  <c r="Y80" i="6"/>
  <c r="BC76" i="6" a="1"/>
  <c r="AN81" i="6"/>
  <c r="AN80" i="6"/>
  <c r="AN79" i="6"/>
  <c r="U79" i="6" a="1"/>
  <c r="AQ79" i="6" a="1"/>
  <c r="BI76" i="6"/>
  <c r="BI78" i="6"/>
  <c r="BI77" i="6"/>
  <c r="J78" i="6"/>
  <c r="J76" i="6"/>
  <c r="J77" i="6"/>
  <c r="AH80" i="6"/>
  <c r="AH79" i="6"/>
  <c r="AH81" i="6"/>
  <c r="AZ79" i="6" a="1"/>
  <c r="AU80" i="6"/>
  <c r="AU79" i="6"/>
  <c r="AU81" i="6"/>
  <c r="BT77" i="6"/>
  <c r="BT76" i="6"/>
  <c r="BT78" i="6"/>
  <c r="AT79" i="6" a="1"/>
  <c r="BY76" i="6" a="1"/>
  <c r="CQ76" i="6" a="1"/>
  <c r="CG78" i="6"/>
  <c r="CG77" i="6"/>
  <c r="CG76" i="6"/>
  <c r="AO78" i="6"/>
  <c r="AO77" i="6"/>
  <c r="AO76" i="6"/>
  <c r="BW76" i="6" a="1"/>
  <c r="AJ81" i="6"/>
  <c r="AJ80" i="6"/>
  <c r="AJ79" i="6"/>
  <c r="BC79" i="6" a="1"/>
  <c r="N76" i="6" a="1"/>
  <c r="U76" i="6" a="1"/>
  <c r="AH77" i="6"/>
  <c r="AH76" i="6"/>
  <c r="AH78" i="6"/>
  <c r="CV79" i="6" a="1"/>
  <c r="AM80" i="6"/>
  <c r="AM81" i="6"/>
  <c r="AM79" i="6"/>
  <c r="AF79" i="6" a="1"/>
  <c r="BY79" i="6" a="1"/>
  <c r="BJ81" i="6"/>
  <c r="BJ80" i="6"/>
  <c r="BJ79" i="6"/>
  <c r="BB76" i="6"/>
  <c r="BB77" i="6"/>
  <c r="BB78" i="6"/>
  <c r="CQ169" i="6"/>
  <c r="CQ175" i="6" s="1"/>
  <c r="CV186" i="6"/>
  <c r="CJ186" i="6"/>
  <c r="AL186" i="6"/>
  <c r="U186" i="6"/>
  <c r="CD186" i="6"/>
  <c r="CF169" i="6"/>
  <c r="CF175" i="6" s="1"/>
  <c r="CF167" i="6"/>
  <c r="CF173" i="6" s="1"/>
  <c r="AF176" i="6"/>
  <c r="CQ168" i="6"/>
  <c r="CQ174" i="6" s="1"/>
  <c r="CW164" i="6"/>
  <c r="CW170" i="6" s="1"/>
  <c r="CW185" i="6" s="1"/>
  <c r="CT164" i="6"/>
  <c r="CT170" i="6" s="1"/>
  <c r="DA164" i="6"/>
  <c r="DA170" i="6" s="1"/>
  <c r="F186" i="6"/>
  <c r="BQ186" i="6"/>
  <c r="AQ166" i="6"/>
  <c r="AQ172" i="6" s="1"/>
  <c r="AQ164" i="6"/>
  <c r="AQ170" i="6" s="1"/>
  <c r="CS85" i="6"/>
  <c r="CS91" i="6" s="1"/>
  <c r="CV166" i="6"/>
  <c r="CV172" i="6" s="1"/>
  <c r="CV176" i="6" s="1"/>
  <c r="AN186" i="6"/>
  <c r="BM186" i="6"/>
  <c r="AK186" i="6"/>
  <c r="CR165" i="6"/>
  <c r="CR171" i="6" s="1"/>
  <c r="BQ164" i="6"/>
  <c r="BQ170" i="6" s="1"/>
  <c r="BQ165" i="6"/>
  <c r="BQ171" i="6" s="1"/>
  <c r="BM164" i="6"/>
  <c r="BM170" i="6" s="1"/>
  <c r="P185" i="6"/>
  <c r="CK186" i="6"/>
  <c r="CW165" i="6"/>
  <c r="CW171" i="6" s="1"/>
  <c r="CU165" i="6"/>
  <c r="CU171" i="6" s="1"/>
  <c r="CU176" i="6" s="1"/>
  <c r="N169" i="6"/>
  <c r="N175" i="6" s="1"/>
  <c r="BN164" i="6"/>
  <c r="BN170" i="6" s="1"/>
  <c r="BP166" i="6"/>
  <c r="BP172" i="6" s="1"/>
  <c r="BP177" i="6" s="1"/>
  <c r="AB186" i="6"/>
  <c r="CS166" i="6"/>
  <c r="CS172" i="6" s="1"/>
  <c r="CM164" i="6"/>
  <c r="CM170" i="6" s="1"/>
  <c r="AD176" i="6"/>
  <c r="AM164" i="6"/>
  <c r="AM170" i="6" s="1"/>
  <c r="CS165" i="6"/>
  <c r="CS171" i="6" s="1"/>
  <c r="AD185" i="6"/>
  <c r="CO177" i="6"/>
  <c r="BO186" i="6"/>
  <c r="AB177" i="6"/>
  <c r="AB176" i="6"/>
  <c r="CO185" i="6"/>
  <c r="CO187" i="6" s="1"/>
  <c r="CO188" i="6" s="1"/>
  <c r="AK165" i="6"/>
  <c r="AK171" i="6" s="1"/>
  <c r="AK164" i="6"/>
  <c r="AK170" i="6" s="1"/>
  <c r="CO176" i="6"/>
  <c r="CT186" i="6"/>
  <c r="CS186" i="6"/>
  <c r="BM166" i="6"/>
  <c r="BM172" i="6" s="1"/>
  <c r="AM165" i="6"/>
  <c r="AM171" i="6" s="1"/>
  <c r="AU167" i="6"/>
  <c r="AU173" i="6" s="1"/>
  <c r="AH169" i="6"/>
  <c r="AH175" i="6" s="1"/>
  <c r="CT166" i="6"/>
  <c r="CT172" i="6" s="1"/>
  <c r="N167" i="6"/>
  <c r="N173" i="6" s="1"/>
  <c r="AF177" i="6"/>
  <c r="AF178" i="6" s="1"/>
  <c r="AB185" i="6"/>
  <c r="T186" i="6"/>
  <c r="CK166" i="6"/>
  <c r="CK172" i="6" s="1"/>
  <c r="AW186" i="6"/>
  <c r="AZ166" i="6"/>
  <c r="AZ172" i="6" s="1"/>
  <c r="AO177" i="6"/>
  <c r="CG164" i="6"/>
  <c r="CG170" i="6" s="1"/>
  <c r="P177" i="6"/>
  <c r="AZ164" i="6"/>
  <c r="AZ170" i="6" s="1"/>
  <c r="CR164" i="6"/>
  <c r="CR170" i="6" s="1"/>
  <c r="CR176" i="6" s="1"/>
  <c r="CB177" i="6"/>
  <c r="CI165" i="6"/>
  <c r="CI171" i="6" s="1"/>
  <c r="BA186" i="6"/>
  <c r="CI166" i="6"/>
  <c r="CI172" i="6" s="1"/>
  <c r="P176" i="6"/>
  <c r="CB176" i="6"/>
  <c r="BA165" i="6"/>
  <c r="BA171" i="6" s="1"/>
  <c r="T166" i="6"/>
  <c r="T172" i="6" s="1"/>
  <c r="T164" i="6"/>
  <c r="T170" i="6" s="1"/>
  <c r="CB185" i="6"/>
  <c r="CB187" i="6" s="1"/>
  <c r="CA186" i="6"/>
  <c r="CA187" i="6" s="1"/>
  <c r="CK164" i="6"/>
  <c r="CK170" i="6" s="1"/>
  <c r="BA164" i="6"/>
  <c r="BA170" i="6" s="1"/>
  <c r="AW177" i="6"/>
  <c r="AL164" i="6"/>
  <c r="AL170" i="6" s="1"/>
  <c r="W177" i="6"/>
  <c r="AL165" i="6"/>
  <c r="AL171" i="6" s="1"/>
  <c r="BT166" i="6"/>
  <c r="BT172" i="6" s="1"/>
  <c r="AY185" i="6"/>
  <c r="CZ168" i="6"/>
  <c r="CZ174" i="6" s="1"/>
  <c r="CH166" i="6"/>
  <c r="CH172" i="6" s="1"/>
  <c r="AV164" i="6"/>
  <c r="AV170" i="6" s="1"/>
  <c r="AV166" i="6"/>
  <c r="AV172" i="6" s="1"/>
  <c r="AX165" i="6"/>
  <c r="AX171" i="6" s="1"/>
  <c r="Q185" i="6"/>
  <c r="Q187" i="6" s="1"/>
  <c r="Q188" i="6" s="1"/>
  <c r="BS177" i="6"/>
  <c r="AF185" i="6"/>
  <c r="AF187" i="6" s="1"/>
  <c r="AF188" i="6" s="1"/>
  <c r="X164" i="6"/>
  <c r="X170" i="6" s="1"/>
  <c r="X185" i="6" s="1"/>
  <c r="BU166" i="6"/>
  <c r="BU172" i="6" s="1"/>
  <c r="N164" i="6"/>
  <c r="N170" i="6" s="1"/>
  <c r="Z164" i="6"/>
  <c r="Z170" i="6" s="1"/>
  <c r="CZ169" i="6"/>
  <c r="CZ175" i="6" s="1"/>
  <c r="DA186" i="6"/>
  <c r="BU165" i="6"/>
  <c r="BU171" i="6" s="1"/>
  <c r="BF167" i="6"/>
  <c r="BF173" i="6" s="1"/>
  <c r="BO165" i="6"/>
  <c r="BO171" i="6" s="1"/>
  <c r="AY177" i="6"/>
  <c r="J87" i="6"/>
  <c r="J93" i="6" s="1"/>
  <c r="BO166" i="6"/>
  <c r="BO172" i="6" s="1"/>
  <c r="Z186" i="6"/>
  <c r="I167" i="6"/>
  <c r="I173" i="6" s="1"/>
  <c r="CJ185" i="6"/>
  <c r="I169" i="6"/>
  <c r="I175" i="6" s="1"/>
  <c r="CQ164" i="6"/>
  <c r="CQ170" i="6" s="1"/>
  <c r="M176" i="6"/>
  <c r="CJ176" i="6"/>
  <c r="CJ178" i="6" s="1"/>
  <c r="CJ184" i="6" s="1"/>
  <c r="CJ189" i="6" s="1"/>
  <c r="CQ165" i="6"/>
  <c r="CQ171" i="6" s="1"/>
  <c r="P167" i="6"/>
  <c r="P173" i="6" s="1"/>
  <c r="AY176" i="6"/>
  <c r="BV169" i="6"/>
  <c r="BV175" i="6" s="1"/>
  <c r="CE176" i="6"/>
  <c r="N165" i="6"/>
  <c r="N171" i="6" s="1"/>
  <c r="BE166" i="6"/>
  <c r="BE172" i="6" s="1"/>
  <c r="BE164" i="6"/>
  <c r="BE170" i="6" s="1"/>
  <c r="AV168" i="6"/>
  <c r="AV174" i="6" s="1"/>
  <c r="CN165" i="6"/>
  <c r="CN171" i="6" s="1"/>
  <c r="BF168" i="6"/>
  <c r="BF174" i="6" s="1"/>
  <c r="CW169" i="6"/>
  <c r="CW175" i="6" s="1"/>
  <c r="CN164" i="6"/>
  <c r="CN170" i="6" s="1"/>
  <c r="AU166" i="6"/>
  <c r="AU172" i="6" s="1"/>
  <c r="J165" i="6"/>
  <c r="J171" i="6" s="1"/>
  <c r="J185" i="6" s="1"/>
  <c r="G176" i="6"/>
  <c r="BV168" i="6"/>
  <c r="BV174" i="6" s="1"/>
  <c r="J166" i="6"/>
  <c r="J172" i="6" s="1"/>
  <c r="AH167" i="6"/>
  <c r="AH173" i="6" s="1"/>
  <c r="P169" i="6"/>
  <c r="P175" i="6" s="1"/>
  <c r="M185" i="6"/>
  <c r="M187" i="6" s="1"/>
  <c r="H169" i="6"/>
  <c r="H175" i="6" s="1"/>
  <c r="AX164" i="6"/>
  <c r="AX170" i="6" s="1"/>
  <c r="BS185" i="6"/>
  <c r="BS187" i="6" s="1"/>
  <c r="G177" i="6"/>
  <c r="Q176" i="6"/>
  <c r="AU168" i="6"/>
  <c r="AU174" i="6" s="1"/>
  <c r="S167" i="6"/>
  <c r="S173" i="6" s="1"/>
  <c r="O169" i="6"/>
  <c r="O175" i="6" s="1"/>
  <c r="CE185" i="6"/>
  <c r="CE187" i="6" s="1"/>
  <c r="CE188" i="6" s="1"/>
  <c r="BS176" i="6"/>
  <c r="G185" i="6"/>
  <c r="Z166" i="6"/>
  <c r="Z172" i="6" s="1"/>
  <c r="AV169" i="6"/>
  <c r="AV175" i="6" s="1"/>
  <c r="W176" i="6"/>
  <c r="CM166" i="6"/>
  <c r="CM172" i="6" s="1"/>
  <c r="J85" i="6"/>
  <c r="J91" i="6" s="1"/>
  <c r="M177" i="6"/>
  <c r="AU164" i="6"/>
  <c r="AU170" i="6" s="1"/>
  <c r="AO185" i="6"/>
  <c r="AO187" i="6" s="1"/>
  <c r="AR186" i="6"/>
  <c r="Q177" i="6"/>
  <c r="AJ168" i="6"/>
  <c r="AJ174" i="6" s="1"/>
  <c r="AO176" i="6"/>
  <c r="CE177" i="6"/>
  <c r="AY186" i="6"/>
  <c r="Y177" i="6"/>
  <c r="BC168" i="6"/>
  <c r="BC174" i="6" s="1"/>
  <c r="BC169" i="6"/>
  <c r="BC175" i="6" s="1"/>
  <c r="AG164" i="6"/>
  <c r="AG170" i="6" s="1"/>
  <c r="BB168" i="6"/>
  <c r="BB174" i="6" s="1"/>
  <c r="BB167" i="6"/>
  <c r="BB173" i="6" s="1"/>
  <c r="AG169" i="6"/>
  <c r="AG175" i="6" s="1"/>
  <c r="AG166" i="6"/>
  <c r="AG172" i="6" s="1"/>
  <c r="W185" i="6"/>
  <c r="W187" i="6" s="1"/>
  <c r="W188" i="6" s="1"/>
  <c r="AD186" i="6"/>
  <c r="AP166" i="6"/>
  <c r="AP172" i="6" s="1"/>
  <c r="AW176" i="6"/>
  <c r="K164" i="6"/>
  <c r="K170" i="6" s="1"/>
  <c r="CI167" i="6"/>
  <c r="CI173" i="6" s="1"/>
  <c r="CH165" i="6"/>
  <c r="CH171" i="6" s="1"/>
  <c r="AC168" i="6"/>
  <c r="AC174" i="6" s="1"/>
  <c r="N186" i="6"/>
  <c r="K166" i="6"/>
  <c r="K172" i="6" s="1"/>
  <c r="BF166" i="6"/>
  <c r="BF172" i="6" s="1"/>
  <c r="AQ186" i="6"/>
  <c r="F165" i="6"/>
  <c r="F171" i="6" s="1"/>
  <c r="F166" i="6"/>
  <c r="F172" i="6" s="1"/>
  <c r="F164" i="6"/>
  <c r="F170" i="6" s="1"/>
  <c r="CZ165" i="6"/>
  <c r="CZ171" i="6" s="1"/>
  <c r="AW185" i="6"/>
  <c r="CY169" i="6"/>
  <c r="CY175" i="6" s="1"/>
  <c r="BD168" i="6"/>
  <c r="BD174" i="6" s="1"/>
  <c r="Y176" i="6"/>
  <c r="Y185" i="6"/>
  <c r="Y187" i="6" s="1"/>
  <c r="Y188" i="6" s="1"/>
  <c r="AJ165" i="6"/>
  <c r="AJ171" i="6" s="1"/>
  <c r="AJ164" i="6"/>
  <c r="AJ170" i="6" s="1"/>
  <c r="CN169" i="6"/>
  <c r="CN175" i="6" s="1"/>
  <c r="CZ166" i="6"/>
  <c r="CZ172" i="6" s="1"/>
  <c r="AW86" i="6"/>
  <c r="AW92" i="6" s="1"/>
  <c r="BT165" i="6"/>
  <c r="BT171" i="6" s="1"/>
  <c r="CL165" i="6"/>
  <c r="CL171" i="6" s="1"/>
  <c r="CL164" i="6"/>
  <c r="CL170" i="6" s="1"/>
  <c r="AC166" i="6"/>
  <c r="AC172" i="6" s="1"/>
  <c r="AC167" i="6"/>
  <c r="AC173" i="6" s="1"/>
  <c r="BH186" i="6"/>
  <c r="CI169" i="6"/>
  <c r="CI175" i="6" s="1"/>
  <c r="CY167" i="6"/>
  <c r="CY173" i="6" s="1"/>
  <c r="L164" i="6"/>
  <c r="L170" i="6" s="1"/>
  <c r="O167" i="6"/>
  <c r="O173" i="6" s="1"/>
  <c r="BJ167" i="6"/>
  <c r="BJ173" i="6" s="1"/>
  <c r="AS169" i="6"/>
  <c r="AS175" i="6" s="1"/>
  <c r="BF165" i="6"/>
  <c r="BF171" i="6" s="1"/>
  <c r="AS167" i="6"/>
  <c r="AS173" i="6" s="1"/>
  <c r="R168" i="6"/>
  <c r="R174" i="6" s="1"/>
  <c r="R167" i="6"/>
  <c r="R173" i="6" s="1"/>
  <c r="BJ169" i="6"/>
  <c r="BJ175" i="6" s="1"/>
  <c r="CM169" i="6"/>
  <c r="CM175" i="6" s="1"/>
  <c r="BN167" i="6"/>
  <c r="BN173" i="6" s="1"/>
  <c r="CM167" i="6"/>
  <c r="CM173" i="6" s="1"/>
  <c r="BN166" i="6"/>
  <c r="BN172" i="6" s="1"/>
  <c r="CC167" i="6"/>
  <c r="CC173" i="6" s="1"/>
  <c r="CF186" i="6"/>
  <c r="AA164" i="6"/>
  <c r="AA170" i="6" s="1"/>
  <c r="I165" i="6"/>
  <c r="I171" i="6" s="1"/>
  <c r="BD167" i="6"/>
  <c r="BD173" i="6" s="1"/>
  <c r="AN166" i="6"/>
  <c r="AN172" i="6" s="1"/>
  <c r="AN164" i="6"/>
  <c r="AN170" i="6" s="1"/>
  <c r="AN165" i="6"/>
  <c r="AN171" i="6" s="1"/>
  <c r="AA168" i="6"/>
  <c r="AA174" i="6" s="1"/>
  <c r="CW168" i="6"/>
  <c r="CW174" i="6" s="1"/>
  <c r="AA166" i="6"/>
  <c r="AA172" i="6" s="1"/>
  <c r="I166" i="6"/>
  <c r="I172" i="6" s="1"/>
  <c r="AG168" i="6"/>
  <c r="AG174" i="6" s="1"/>
  <c r="AT165" i="6"/>
  <c r="AT171" i="6" s="1"/>
  <c r="CJ187" i="6"/>
  <c r="CJ208" i="6" s="1"/>
  <c r="CJ25" i="6" s="1"/>
  <c r="AP165" i="6"/>
  <c r="AP171" i="6" s="1"/>
  <c r="AC165" i="6"/>
  <c r="AC171" i="6" s="1"/>
  <c r="AT166" i="6"/>
  <c r="AT172" i="6" s="1"/>
  <c r="AA169" i="6"/>
  <c r="AA175" i="6" s="1"/>
  <c r="S168" i="6"/>
  <c r="S174" i="6" s="1"/>
  <c r="BY167" i="6"/>
  <c r="BY173" i="6" s="1"/>
  <c r="L169" i="6"/>
  <c r="L175" i="6" s="1"/>
  <c r="AJ167" i="6"/>
  <c r="AJ173" i="6" s="1"/>
  <c r="BY169" i="6"/>
  <c r="BY175" i="6" s="1"/>
  <c r="O166" i="6"/>
  <c r="O172" i="6" s="1"/>
  <c r="CN167" i="6"/>
  <c r="CN173" i="6" s="1"/>
  <c r="L167" i="6"/>
  <c r="L173" i="6" s="1"/>
  <c r="BI186" i="6"/>
  <c r="CC168" i="6"/>
  <c r="CC174" i="6" s="1"/>
  <c r="BW185" i="6"/>
  <c r="BW187" i="6" s="1"/>
  <c r="BW188" i="6" s="1"/>
  <c r="BW177" i="6"/>
  <c r="BW176" i="6"/>
  <c r="BN168" i="6"/>
  <c r="BN174" i="6" s="1"/>
  <c r="CA178" i="6"/>
  <c r="CA179" i="6" s="1"/>
  <c r="J168" i="6"/>
  <c r="J174" i="6" s="1"/>
  <c r="J169" i="6"/>
  <c r="J175" i="6" s="1"/>
  <c r="BX177" i="6"/>
  <c r="BX176" i="6"/>
  <c r="BX185" i="6"/>
  <c r="O165" i="6"/>
  <c r="O171" i="6" s="1"/>
  <c r="L166" i="6"/>
  <c r="L172" i="6" s="1"/>
  <c r="AD178" i="6"/>
  <c r="AD179" i="6" s="1"/>
  <c r="BI176" i="6"/>
  <c r="BI185" i="6"/>
  <c r="BI177" i="6"/>
  <c r="AR177" i="6"/>
  <c r="AR176" i="6"/>
  <c r="AR185" i="6"/>
  <c r="AW87" i="6"/>
  <c r="AW93" i="6" s="1"/>
  <c r="BK167" i="6"/>
  <c r="BK173" i="6" s="1"/>
  <c r="BK168" i="6"/>
  <c r="BK174" i="6" s="1"/>
  <c r="BK169" i="6"/>
  <c r="BK175" i="6" s="1"/>
  <c r="BE168" i="6"/>
  <c r="BE174" i="6" s="1"/>
  <c r="BE167" i="6"/>
  <c r="BE173" i="6" s="1"/>
  <c r="BE169" i="6"/>
  <c r="BE175" i="6" s="1"/>
  <c r="CC164" i="6"/>
  <c r="CC170" i="6" s="1"/>
  <c r="CC166" i="6"/>
  <c r="CC172" i="6" s="1"/>
  <c r="CC165" i="6"/>
  <c r="CC171" i="6" s="1"/>
  <c r="BG165" i="6"/>
  <c r="BG171" i="6" s="1"/>
  <c r="BG164" i="6"/>
  <c r="BG170" i="6" s="1"/>
  <c r="BG166" i="6"/>
  <c r="BG172" i="6" s="1"/>
  <c r="G186" i="6"/>
  <c r="CH167" i="6"/>
  <c r="CH173" i="6" s="1"/>
  <c r="CH168" i="6"/>
  <c r="CH174" i="6" s="1"/>
  <c r="CH169" i="6"/>
  <c r="CH175" i="6" s="1"/>
  <c r="H165" i="6"/>
  <c r="H171" i="6" s="1"/>
  <c r="H166" i="6"/>
  <c r="H172" i="6" s="1"/>
  <c r="H164" i="6"/>
  <c r="H170" i="6" s="1"/>
  <c r="BK165" i="6"/>
  <c r="BK171" i="6" s="1"/>
  <c r="BK166" i="6"/>
  <c r="BK172" i="6" s="1"/>
  <c r="BK164" i="6"/>
  <c r="BK170" i="6" s="1"/>
  <c r="S166" i="6"/>
  <c r="S172" i="6" s="1"/>
  <c r="S165" i="6"/>
  <c r="S171" i="6" s="1"/>
  <c r="S164" i="6"/>
  <c r="S170" i="6" s="1"/>
  <c r="CF165" i="6"/>
  <c r="CF171" i="6" s="1"/>
  <c r="CF164" i="6"/>
  <c r="CF170" i="6" s="1"/>
  <c r="CF166" i="6"/>
  <c r="CF172" i="6" s="1"/>
  <c r="CD177" i="6"/>
  <c r="CD176" i="6"/>
  <c r="CD185" i="6"/>
  <c r="AS177" i="6"/>
  <c r="AS176" i="6"/>
  <c r="AS185" i="6"/>
  <c r="AE168" i="6"/>
  <c r="AE174" i="6" s="1"/>
  <c r="AE169" i="6"/>
  <c r="AE175" i="6" s="1"/>
  <c r="AE167" i="6"/>
  <c r="AE173" i="6" s="1"/>
  <c r="AI166" i="6"/>
  <c r="AI172" i="6" s="1"/>
  <c r="AI165" i="6"/>
  <c r="AI171" i="6" s="1"/>
  <c r="AI164" i="6"/>
  <c r="AI170" i="6" s="1"/>
  <c r="BV166" i="6"/>
  <c r="BV172" i="6" s="1"/>
  <c r="BV165" i="6"/>
  <c r="BV171" i="6" s="1"/>
  <c r="BV164" i="6"/>
  <c r="BV170" i="6" s="1"/>
  <c r="AP167" i="6"/>
  <c r="AP173" i="6" s="1"/>
  <c r="AP168" i="6"/>
  <c r="AP174" i="6" s="1"/>
  <c r="AP169" i="6"/>
  <c r="AP175" i="6" s="1"/>
  <c r="BH177" i="6"/>
  <c r="BH176" i="6"/>
  <c r="BH185" i="6"/>
  <c r="BL164" i="6"/>
  <c r="BL170" i="6" s="1"/>
  <c r="BL166" i="6"/>
  <c r="BL172" i="6" s="1"/>
  <c r="BL165" i="6"/>
  <c r="BL171" i="6" s="1"/>
  <c r="BZ186" i="6"/>
  <c r="BU167" i="6"/>
  <c r="BU173" i="6" s="1"/>
  <c r="BU169" i="6"/>
  <c r="BU175" i="6" s="1"/>
  <c r="BU168" i="6"/>
  <c r="BU174" i="6" s="1"/>
  <c r="CL168" i="6"/>
  <c r="CL174" i="6" s="1"/>
  <c r="CL169" i="6"/>
  <c r="CL175" i="6" s="1"/>
  <c r="CL167" i="6"/>
  <c r="CL173" i="6" s="1"/>
  <c r="V169" i="6"/>
  <c r="V175" i="6" s="1"/>
  <c r="V168" i="6"/>
  <c r="V174" i="6" s="1"/>
  <c r="V167" i="6"/>
  <c r="V173" i="6" s="1"/>
  <c r="AX168" i="6"/>
  <c r="AX174" i="6" s="1"/>
  <c r="AX167" i="6"/>
  <c r="AX173" i="6" s="1"/>
  <c r="AX169" i="6"/>
  <c r="AX175" i="6" s="1"/>
  <c r="AH165" i="6"/>
  <c r="AH171" i="6" s="1"/>
  <c r="AH164" i="6"/>
  <c r="AH170" i="6" s="1"/>
  <c r="AH166" i="6"/>
  <c r="AH172" i="6" s="1"/>
  <c r="V165" i="6"/>
  <c r="V171" i="6" s="1"/>
  <c r="V164" i="6"/>
  <c r="V170" i="6" s="1"/>
  <c r="V166" i="6"/>
  <c r="V172" i="6" s="1"/>
  <c r="CX169" i="6"/>
  <c r="CX175" i="6" s="1"/>
  <c r="CX167" i="6"/>
  <c r="CX173" i="6" s="1"/>
  <c r="CX168" i="6"/>
  <c r="CX174" i="6" s="1"/>
  <c r="BR166" i="6"/>
  <c r="BR172" i="6" s="1"/>
  <c r="BR165" i="6"/>
  <c r="BR171" i="6" s="1"/>
  <c r="BR164" i="6"/>
  <c r="BR170" i="6" s="1"/>
  <c r="BJ165" i="6"/>
  <c r="BJ171" i="6" s="1"/>
  <c r="BJ166" i="6"/>
  <c r="BJ172" i="6" s="1"/>
  <c r="BJ164" i="6"/>
  <c r="BJ170" i="6" s="1"/>
  <c r="BD164" i="6"/>
  <c r="BD170" i="6" s="1"/>
  <c r="BD165" i="6"/>
  <c r="BD171" i="6" s="1"/>
  <c r="BD166" i="6"/>
  <c r="BD172" i="6" s="1"/>
  <c r="U185" i="6"/>
  <c r="U177" i="6"/>
  <c r="U176" i="6"/>
  <c r="BX186" i="6"/>
  <c r="AT167" i="6"/>
  <c r="AT173" i="6" s="1"/>
  <c r="AT169" i="6"/>
  <c r="AT175" i="6" s="1"/>
  <c r="AT168" i="6"/>
  <c r="AT174" i="6" s="1"/>
  <c r="BZ176" i="6"/>
  <c r="BZ177" i="6"/>
  <c r="BZ185" i="6"/>
  <c r="AI167" i="6"/>
  <c r="AI173" i="6" s="1"/>
  <c r="AI168" i="6"/>
  <c r="AI174" i="6" s="1"/>
  <c r="AI169" i="6"/>
  <c r="AI175" i="6" s="1"/>
  <c r="CQ186" i="6"/>
  <c r="CP176" i="6"/>
  <c r="CP177" i="6"/>
  <c r="CP185" i="6"/>
  <c r="CP187" i="6" s="1"/>
  <c r="BC164" i="6"/>
  <c r="BC170" i="6" s="1"/>
  <c r="BC165" i="6"/>
  <c r="BC171" i="6" s="1"/>
  <c r="BC166" i="6"/>
  <c r="BC172" i="6" s="1"/>
  <c r="BY164" i="6"/>
  <c r="BY170" i="6" s="1"/>
  <c r="BY165" i="6"/>
  <c r="BY171" i="6" s="1"/>
  <c r="BY166" i="6"/>
  <c r="BY172" i="6" s="1"/>
  <c r="BR167" i="6"/>
  <c r="BR173" i="6" s="1"/>
  <c r="BR169" i="6"/>
  <c r="BR175" i="6" s="1"/>
  <c r="BR168" i="6"/>
  <c r="BR174" i="6" s="1"/>
  <c r="CX165" i="6"/>
  <c r="CX171" i="6" s="1"/>
  <c r="CX166" i="6"/>
  <c r="CX172" i="6" s="1"/>
  <c r="CX164" i="6"/>
  <c r="CX170" i="6" s="1"/>
  <c r="CU167" i="6"/>
  <c r="CU173" i="6" s="1"/>
  <c r="CU169" i="6"/>
  <c r="CU175" i="6" s="1"/>
  <c r="CU168" i="6"/>
  <c r="CU174" i="6" s="1"/>
  <c r="K168" i="6"/>
  <c r="K174" i="6" s="1"/>
  <c r="K169" i="6"/>
  <c r="K175" i="6" s="1"/>
  <c r="K167" i="6"/>
  <c r="K173" i="6" s="1"/>
  <c r="BB164" i="6"/>
  <c r="BB170" i="6" s="1"/>
  <c r="BB166" i="6"/>
  <c r="BB172" i="6" s="1"/>
  <c r="BB165" i="6"/>
  <c r="BB171" i="6" s="1"/>
  <c r="BL169" i="6"/>
  <c r="BL175" i="6" s="1"/>
  <c r="BL168" i="6"/>
  <c r="BL174" i="6" s="1"/>
  <c r="BL167" i="6"/>
  <c r="BL173" i="6" s="1"/>
  <c r="CY164" i="6"/>
  <c r="CY170" i="6" s="1"/>
  <c r="CY166" i="6"/>
  <c r="CY172" i="6" s="1"/>
  <c r="CY165" i="6"/>
  <c r="CY171" i="6" s="1"/>
  <c r="BG167" i="6"/>
  <c r="BG173" i="6" s="1"/>
  <c r="BG168" i="6"/>
  <c r="BG174" i="6" s="1"/>
  <c r="BG169" i="6"/>
  <c r="BG175" i="6" s="1"/>
  <c r="BT169" i="6"/>
  <c r="BT175" i="6" s="1"/>
  <c r="BT167" i="6"/>
  <c r="BT173" i="6" s="1"/>
  <c r="BT168" i="6"/>
  <c r="BT174" i="6" s="1"/>
  <c r="R165" i="6"/>
  <c r="R171" i="6" s="1"/>
  <c r="R166" i="6"/>
  <c r="R172" i="6" s="1"/>
  <c r="R164" i="6"/>
  <c r="R170" i="6" s="1"/>
  <c r="AE165" i="6"/>
  <c r="AE171" i="6" s="1"/>
  <c r="AE164" i="6"/>
  <c r="AE170" i="6" s="1"/>
  <c r="AE166" i="6"/>
  <c r="AE172" i="6" s="1"/>
  <c r="X167" i="6"/>
  <c r="X173" i="6" s="1"/>
  <c r="X169" i="6"/>
  <c r="X175" i="6" s="1"/>
  <c r="X168" i="6"/>
  <c r="X174" i="6" s="1"/>
  <c r="CD187" i="6" l="1"/>
  <c r="H186" i="6"/>
  <c r="BJ76" i="6"/>
  <c r="AM185" i="6"/>
  <c r="AM187" i="6" s="1"/>
  <c r="AM208" i="6" s="1"/>
  <c r="AM25" i="6" s="1"/>
  <c r="BV76" i="6"/>
  <c r="BV78" i="6"/>
  <c r="CG177" i="6"/>
  <c r="CW176" i="6"/>
  <c r="BS80" i="6"/>
  <c r="CW76" i="6"/>
  <c r="BU77" i="6"/>
  <c r="DA177" i="6"/>
  <c r="CW177" i="6"/>
  <c r="CB178" i="6"/>
  <c r="BS81" i="6"/>
  <c r="CY76" i="6"/>
  <c r="CM185" i="6"/>
  <c r="CW78" i="6"/>
  <c r="DA176" i="6"/>
  <c r="BQ78" i="6"/>
  <c r="BS178" i="6"/>
  <c r="BK85" i="6" a="1"/>
  <c r="BK86" i="6" s="1"/>
  <c r="BK92" i="6" s="1"/>
  <c r="CZ76" i="6"/>
  <c r="V85" i="6" a="1"/>
  <c r="V85" i="6" s="1"/>
  <c r="V91" i="6" s="1"/>
  <c r="BM77" i="6"/>
  <c r="BM82" i="6" s="1" a="1"/>
  <c r="CZ77" i="6"/>
  <c r="CZ82" i="6" s="1" a="1"/>
  <c r="CZ82" i="6" s="1"/>
  <c r="CZ88" i="6" s="1"/>
  <c r="BM76" i="6"/>
  <c r="CY77" i="6"/>
  <c r="BI81" i="6"/>
  <c r="BI79" i="6"/>
  <c r="BI85" i="6" s="1" a="1"/>
  <c r="BI87" i="6" s="1"/>
  <c r="BI93" i="6" s="1"/>
  <c r="AB85" i="6" a="1"/>
  <c r="AB85" i="6" s="1"/>
  <c r="AB91" i="6" s="1"/>
  <c r="CJ82" i="6" a="1"/>
  <c r="CJ83" i="6" s="1"/>
  <c r="CJ89" i="6" s="1"/>
  <c r="BX78" i="6"/>
  <c r="AI85" i="6" a="1"/>
  <c r="AI87" i="6" s="1"/>
  <c r="AI93" i="6" s="1"/>
  <c r="AR82" i="6" a="1"/>
  <c r="AR84" i="6" s="1"/>
  <c r="AR90" i="6" s="1"/>
  <c r="CH85" i="6" a="1"/>
  <c r="CH86" i="6" s="1"/>
  <c r="CH92" i="6" s="1"/>
  <c r="AN78" i="6"/>
  <c r="CW85" i="6" a="1"/>
  <c r="CW86" i="6" s="1"/>
  <c r="CW92" i="6" s="1"/>
  <c r="BM85" i="6" a="1"/>
  <c r="BM85" i="6" s="1"/>
  <c r="BM91" i="6" s="1"/>
  <c r="BS78" i="6"/>
  <c r="F85" i="6" a="1"/>
  <c r="F85" i="6" s="1"/>
  <c r="F91" i="6" s="1"/>
  <c r="CE85" i="6" a="1"/>
  <c r="CE85" i="6" s="1"/>
  <c r="CE91" i="6" s="1"/>
  <c r="AO85" i="6" a="1"/>
  <c r="AO85" i="6" s="1"/>
  <c r="AO91" i="6" s="1"/>
  <c r="AP77" i="6"/>
  <c r="AP76" i="6"/>
  <c r="AC85" i="6" a="1"/>
  <c r="AC85" i="6" s="1"/>
  <c r="AC91" i="6" s="1"/>
  <c r="L85" i="6" a="1"/>
  <c r="L86" i="6" s="1"/>
  <c r="L92" i="6" s="1"/>
  <c r="N80" i="6"/>
  <c r="AN77" i="6"/>
  <c r="CA82" i="6" a="1"/>
  <c r="CA82" i="6" s="1"/>
  <c r="CA88" i="6" s="1"/>
  <c r="CY85" i="6" a="1"/>
  <c r="CY86" i="6" s="1"/>
  <c r="CY92" i="6" s="1"/>
  <c r="CN82" i="6" a="1"/>
  <c r="CN83" i="6" s="1"/>
  <c r="CN89" i="6" s="1"/>
  <c r="AZ78" i="6"/>
  <c r="AZ77" i="6"/>
  <c r="BN80" i="6"/>
  <c r="BN79" i="6"/>
  <c r="AK85" i="6" a="1"/>
  <c r="AK87" i="6" s="1"/>
  <c r="AK93" i="6" s="1"/>
  <c r="CZ85" i="6" a="1"/>
  <c r="CZ85" i="6" s="1"/>
  <c r="CZ91" i="6" s="1"/>
  <c r="V76" i="6"/>
  <c r="I77" i="6"/>
  <c r="AS85" i="6" a="1"/>
  <c r="AS86" i="6" s="1"/>
  <c r="AS92" i="6" s="1"/>
  <c r="AA81" i="6"/>
  <c r="AA79" i="6"/>
  <c r="V78" i="6"/>
  <c r="BN76" i="6"/>
  <c r="BN77" i="6"/>
  <c r="CD85" i="6" a="1"/>
  <c r="CD87" i="6" s="1"/>
  <c r="CD93" i="6" s="1"/>
  <c r="I76" i="6"/>
  <c r="BX81" i="6"/>
  <c r="BZ85" i="6" a="1"/>
  <c r="BZ85" i="6" s="1"/>
  <c r="BZ91" i="6" s="1"/>
  <c r="CR82" i="6" a="1"/>
  <c r="CR83" i="6" s="1"/>
  <c r="CR89" i="6" s="1"/>
  <c r="BW81" i="6"/>
  <c r="M82" i="6" a="1"/>
  <c r="M84" i="6" s="1"/>
  <c r="M90" i="6" s="1"/>
  <c r="BW79" i="6"/>
  <c r="BP78" i="6"/>
  <c r="BP77" i="6"/>
  <c r="CH87" i="6"/>
  <c r="CH93" i="6" s="1"/>
  <c r="CI85" i="6" a="1"/>
  <c r="CI85" i="6" s="1"/>
  <c r="CI91" i="6" s="1"/>
  <c r="CN84" i="6"/>
  <c r="CN90" i="6" s="1"/>
  <c r="I81" i="6"/>
  <c r="BS76" i="6"/>
  <c r="F82" i="6" a="1"/>
  <c r="I79" i="6"/>
  <c r="N79" i="6"/>
  <c r="CT85" i="6" a="1"/>
  <c r="DA80" i="6"/>
  <c r="DA85" i="6" s="1" a="1"/>
  <c r="X82" i="6" a="1"/>
  <c r="CP82" i="6" a="1"/>
  <c r="CC82" i="6" a="1"/>
  <c r="CT82" i="6" a="1"/>
  <c r="CT84" i="6" s="1"/>
  <c r="CT90" i="6" s="1"/>
  <c r="BO85" i="6" a="1"/>
  <c r="BO86" i="6" s="1"/>
  <c r="BO92" i="6" s="1"/>
  <c r="H81" i="6"/>
  <c r="AX82" i="6" a="1"/>
  <c r="CS104" i="6"/>
  <c r="BX77" i="6"/>
  <c r="CK85" i="6" a="1"/>
  <c r="CK86" i="6" s="1"/>
  <c r="CK92" i="6" s="1"/>
  <c r="CF82" i="6" a="1"/>
  <c r="CF84" i="6" s="1"/>
  <c r="CF90" i="6" s="1"/>
  <c r="BX80" i="6"/>
  <c r="K85" i="6" a="1"/>
  <c r="P77" i="6"/>
  <c r="AB87" i="6"/>
  <c r="AB93" i="6" s="1"/>
  <c r="AH85" i="6" a="1"/>
  <c r="AH85" i="6" s="1"/>
  <c r="AH91" i="6" s="1"/>
  <c r="CP85" i="6" a="1"/>
  <c r="BL85" i="6" a="1"/>
  <c r="CH85" i="6"/>
  <c r="CH91" i="6" s="1"/>
  <c r="P76" i="6"/>
  <c r="AU85" i="6" a="1"/>
  <c r="AU87" i="6" s="1"/>
  <c r="AU93" i="6" s="1"/>
  <c r="K82" i="6" a="1"/>
  <c r="BU82" i="6" a="1"/>
  <c r="AD85" i="6" a="1"/>
  <c r="H77" i="6"/>
  <c r="AO82" i="6" a="1"/>
  <c r="AO83" i="6" s="1"/>
  <c r="AO89" i="6" s="1"/>
  <c r="Y82" i="6" a="1"/>
  <c r="Y83" i="6" s="1"/>
  <c r="Y89" i="6" s="1"/>
  <c r="BQ82" i="6" a="1"/>
  <c r="BQ82" i="6" s="1"/>
  <c r="BQ88" i="6" s="1"/>
  <c r="CW82" i="6" a="1"/>
  <c r="AW82" i="6" a="1"/>
  <c r="CD82" i="6" a="1"/>
  <c r="DA77" i="6"/>
  <c r="H79" i="6"/>
  <c r="CG82" i="6" a="1"/>
  <c r="CG83" i="6" s="1"/>
  <c r="CG89" i="6" s="1"/>
  <c r="DA78" i="6"/>
  <c r="X85" i="6" a="1"/>
  <c r="AG82" i="6" a="1"/>
  <c r="AG82" i="6" s="1"/>
  <c r="AG88" i="6" s="1"/>
  <c r="AC82" i="6" a="1"/>
  <c r="AC84" i="6" s="1"/>
  <c r="AC90" i="6" s="1"/>
  <c r="AI82" i="6" a="1"/>
  <c r="AI82" i="6" s="1"/>
  <c r="AI88" i="6" s="1"/>
  <c r="BT85" i="6" a="1"/>
  <c r="BD87" i="6"/>
  <c r="BD93" i="6" s="1"/>
  <c r="BD86" i="6"/>
  <c r="BD92" i="6" s="1"/>
  <c r="BD85" i="6"/>
  <c r="BD91" i="6" s="1"/>
  <c r="CL82" i="6" a="1"/>
  <c r="CL83" i="6" s="1"/>
  <c r="CL89" i="6" s="1"/>
  <c r="BZ82" i="6" a="1"/>
  <c r="BZ84" i="6" s="1"/>
  <c r="BZ90" i="6" s="1"/>
  <c r="BG85" i="6" a="1"/>
  <c r="BG85" i="6" s="1"/>
  <c r="BG91" i="6" s="1"/>
  <c r="AL85" i="6" a="1"/>
  <c r="AL87" i="6" s="1"/>
  <c r="AL93" i="6" s="1"/>
  <c r="BA85" i="6" a="1"/>
  <c r="BA86" i="6" s="1"/>
  <c r="BA92" i="6" s="1"/>
  <c r="W82" i="6" a="1"/>
  <c r="W83" i="6" s="1"/>
  <c r="W89" i="6" s="1"/>
  <c r="CA85" i="6" a="1"/>
  <c r="AU85" i="6"/>
  <c r="AU91" i="6" s="1"/>
  <c r="H76" i="6"/>
  <c r="CJ85" i="6"/>
  <c r="CJ91" i="6" s="1"/>
  <c r="CJ86" i="6"/>
  <c r="CJ92" i="6" s="1"/>
  <c r="CJ87" i="6"/>
  <c r="CJ93" i="6" s="1"/>
  <c r="AE82" i="6" a="1"/>
  <c r="AE85" i="6"/>
  <c r="AE91" i="6" s="1"/>
  <c r="AE87" i="6"/>
  <c r="AE93" i="6" s="1"/>
  <c r="AE86" i="6"/>
  <c r="AE92" i="6" s="1"/>
  <c r="BD82" i="6" a="1"/>
  <c r="BD84" i="6" s="1"/>
  <c r="BD90" i="6" s="1"/>
  <c r="BL82" i="6" a="1"/>
  <c r="CV185" i="6"/>
  <c r="CV187" i="6" s="1"/>
  <c r="CV188" i="6" s="1"/>
  <c r="BP185" i="6"/>
  <c r="BP187" i="6" s="1"/>
  <c r="BU85" i="6" a="1"/>
  <c r="CV177" i="6"/>
  <c r="CV178" i="6" s="1"/>
  <c r="CV179" i="6" s="1"/>
  <c r="AM85" i="6" a="1"/>
  <c r="AM85" i="6" s="1"/>
  <c r="AM91" i="6" s="1"/>
  <c r="BP176" i="6"/>
  <c r="CK82" i="6" a="1"/>
  <c r="CO178" i="6"/>
  <c r="CO179" i="6" s="1"/>
  <c r="T85" i="6" a="1"/>
  <c r="N76" i="6"/>
  <c r="N78" i="6"/>
  <c r="N77" i="6"/>
  <c r="BW77" i="6"/>
  <c r="BW78" i="6"/>
  <c r="BW76" i="6"/>
  <c r="J82" i="6" a="1"/>
  <c r="BF78" i="6"/>
  <c r="BF76" i="6"/>
  <c r="BF77" i="6"/>
  <c r="AO86" i="6"/>
  <c r="AO92" i="6" s="1"/>
  <c r="AU82" i="6" a="1"/>
  <c r="S77" i="6"/>
  <c r="S76" i="6"/>
  <c r="S78" i="6"/>
  <c r="AP85" i="6" a="1"/>
  <c r="L82" i="6" a="1"/>
  <c r="BR76" i="6"/>
  <c r="BR78" i="6"/>
  <c r="BR77" i="6"/>
  <c r="CV78" i="6"/>
  <c r="CV77" i="6"/>
  <c r="CV76" i="6"/>
  <c r="CM80" i="6"/>
  <c r="CM81" i="6"/>
  <c r="CM79" i="6"/>
  <c r="CV80" i="6"/>
  <c r="CV81" i="6"/>
  <c r="CV79" i="6"/>
  <c r="BC79" i="6"/>
  <c r="BC81" i="6"/>
  <c r="BC80" i="6"/>
  <c r="CQ76" i="6"/>
  <c r="CQ78" i="6"/>
  <c r="CQ77" i="6"/>
  <c r="CQ81" i="6"/>
  <c r="CQ79" i="6"/>
  <c r="CQ80" i="6"/>
  <c r="O78" i="6"/>
  <c r="O77" i="6"/>
  <c r="O76" i="6"/>
  <c r="BH77" i="6"/>
  <c r="BH76" i="6"/>
  <c r="BH78" i="6"/>
  <c r="CM78" i="6"/>
  <c r="CM76" i="6"/>
  <c r="CM77" i="6"/>
  <c r="BY80" i="6"/>
  <c r="BY79" i="6"/>
  <c r="BY81" i="6"/>
  <c r="AI85" i="6"/>
  <c r="AI91" i="6" s="1"/>
  <c r="AI86" i="6"/>
  <c r="AI92" i="6" s="1"/>
  <c r="AJ85" i="6" a="1"/>
  <c r="BY76" i="6"/>
  <c r="BY77" i="6"/>
  <c r="BY78" i="6"/>
  <c r="BC78" i="6"/>
  <c r="BC76" i="6"/>
  <c r="BC77" i="6"/>
  <c r="AS82" i="6" a="1"/>
  <c r="AT77" i="6"/>
  <c r="AT76" i="6"/>
  <c r="AT78" i="6"/>
  <c r="G82" i="6" a="1"/>
  <c r="AV77" i="6"/>
  <c r="AV76" i="6"/>
  <c r="AV78" i="6"/>
  <c r="BO85" i="6"/>
  <c r="BO91" i="6" s="1"/>
  <c r="BO87" i="6"/>
  <c r="BO93" i="6" s="1"/>
  <c r="AJ82" i="6" a="1"/>
  <c r="BB85" i="6" a="1"/>
  <c r="CN85" i="6" a="1"/>
  <c r="T82" i="6" a="1"/>
  <c r="CY82" i="6" a="1"/>
  <c r="CL85" i="6" a="1"/>
  <c r="CX85" i="6" a="1"/>
  <c r="AZ79" i="6"/>
  <c r="AZ80" i="6"/>
  <c r="AZ81" i="6"/>
  <c r="BH81" i="6"/>
  <c r="BH80" i="6"/>
  <c r="BH79" i="6"/>
  <c r="AQ78" i="6"/>
  <c r="AQ76" i="6"/>
  <c r="AQ77" i="6"/>
  <c r="Q80" i="6"/>
  <c r="Q81" i="6"/>
  <c r="Q79" i="6"/>
  <c r="G85" i="6" a="1"/>
  <c r="CC85" i="6"/>
  <c r="CC91" i="6" s="1"/>
  <c r="CC87" i="6"/>
  <c r="CC93" i="6" s="1"/>
  <c r="CC86" i="6"/>
  <c r="CC92" i="6" s="1"/>
  <c r="CI82" i="6" a="1"/>
  <c r="CU85" i="6" a="1"/>
  <c r="BJ82" i="6" a="1"/>
  <c r="BM87" i="6"/>
  <c r="BM93" i="6" s="1"/>
  <c r="P80" i="6"/>
  <c r="P79" i="6"/>
  <c r="P81" i="6"/>
  <c r="S80" i="6"/>
  <c r="S81" i="6"/>
  <c r="S79" i="6"/>
  <c r="CX82" i="6" a="1"/>
  <c r="BE85" i="6" a="1"/>
  <c r="AF79" i="6"/>
  <c r="AF80" i="6"/>
  <c r="AF81" i="6"/>
  <c r="AH82" i="6" a="1"/>
  <c r="BV87" i="6"/>
  <c r="BV93" i="6" s="1"/>
  <c r="BV86" i="6"/>
  <c r="BV92" i="6" s="1"/>
  <c r="BV85" i="6"/>
  <c r="BV91" i="6" s="1"/>
  <c r="AT79" i="6"/>
  <c r="AT80" i="6"/>
  <c r="AT81" i="6"/>
  <c r="BI82" i="6" a="1"/>
  <c r="Y85" i="6" a="1"/>
  <c r="AG85" i="6" a="1"/>
  <c r="AB82" i="6" a="1"/>
  <c r="AL82" i="6" a="1"/>
  <c r="BF81" i="6"/>
  <c r="BF80" i="6"/>
  <c r="BF79" i="6"/>
  <c r="CB82" i="6" a="1"/>
  <c r="AA76" i="6"/>
  <c r="AA77" i="6"/>
  <c r="AA78" i="6"/>
  <c r="CH83" i="6"/>
  <c r="CH89" i="6" s="1"/>
  <c r="CH82" i="6"/>
  <c r="CH88" i="6" s="1"/>
  <c r="CH84" i="6"/>
  <c r="CH90" i="6" s="1"/>
  <c r="AM82" i="6" a="1"/>
  <c r="AK82" i="6" a="1"/>
  <c r="Z80" i="6"/>
  <c r="Z81" i="6"/>
  <c r="Z79" i="6"/>
  <c r="CO82" i="6" a="1"/>
  <c r="AY80" i="6"/>
  <c r="AY81" i="6"/>
  <c r="AY79" i="6"/>
  <c r="R82" i="6" a="1"/>
  <c r="AY76" i="6"/>
  <c r="AY77" i="6"/>
  <c r="AY78" i="6"/>
  <c r="CO85" i="6" a="1"/>
  <c r="CE82" i="6" a="1"/>
  <c r="BZ87" i="6"/>
  <c r="BZ93" i="6" s="1"/>
  <c r="AQ81" i="6"/>
  <c r="AQ80" i="6"/>
  <c r="AQ79" i="6"/>
  <c r="Q77" i="6"/>
  <c r="Q76" i="6"/>
  <c r="Q78" i="6"/>
  <c r="O80" i="6"/>
  <c r="O81" i="6"/>
  <c r="O79" i="6"/>
  <c r="CF82" i="6"/>
  <c r="CF88" i="6" s="1"/>
  <c r="BB82" i="6" a="1"/>
  <c r="U76" i="6"/>
  <c r="U77" i="6"/>
  <c r="U78" i="6"/>
  <c r="BV82" i="6" a="1"/>
  <c r="BT82" i="6" a="1"/>
  <c r="U81" i="6"/>
  <c r="U79" i="6"/>
  <c r="U80" i="6"/>
  <c r="CU82" i="6" a="1"/>
  <c r="BA82" i="6" a="1"/>
  <c r="AV79" i="6"/>
  <c r="AV81" i="6"/>
  <c r="AV80" i="6"/>
  <c r="AF77" i="6"/>
  <c r="AF76" i="6"/>
  <c r="AF78" i="6"/>
  <c r="W85" i="6" a="1"/>
  <c r="BO82" i="6" a="1"/>
  <c r="CB85" i="6" a="1"/>
  <c r="BK82" i="6" a="1"/>
  <c r="BQ85" i="6" a="1"/>
  <c r="M85" i="6" a="1"/>
  <c r="R85" i="6" a="1"/>
  <c r="BJ85" i="6" a="1"/>
  <c r="BK87" i="6"/>
  <c r="BK93" i="6" s="1"/>
  <c r="AN85" i="6" a="1"/>
  <c r="AD82" i="6" a="1"/>
  <c r="AX85" i="6" a="1"/>
  <c r="BE82" i="6" a="1"/>
  <c r="BG82" i="6" a="1"/>
  <c r="CR85" i="6" a="1"/>
  <c r="CS82" i="6" a="1"/>
  <c r="Z76" i="6"/>
  <c r="Z78" i="6"/>
  <c r="Z77" i="6"/>
  <c r="CF85" i="6" a="1"/>
  <c r="BP80" i="6"/>
  <c r="BP81" i="6"/>
  <c r="BP79" i="6"/>
  <c r="AR85" i="6" a="1"/>
  <c r="CG85" i="6" a="1"/>
  <c r="BR80" i="6"/>
  <c r="BR81" i="6"/>
  <c r="BR79" i="6"/>
  <c r="CT185" i="6"/>
  <c r="CT187" i="6" s="1"/>
  <c r="U187" i="6"/>
  <c r="O186" i="6"/>
  <c r="AQ177" i="6"/>
  <c r="AQ176" i="6"/>
  <c r="AD187" i="6"/>
  <c r="AD208" i="6" s="1"/>
  <c r="AD25" i="6" s="1"/>
  <c r="AQ185" i="6"/>
  <c r="CS176" i="6"/>
  <c r="CN185" i="6"/>
  <c r="CT176" i="6"/>
  <c r="AY187" i="6"/>
  <c r="AY208" i="6" s="1"/>
  <c r="AY25" i="6" s="1"/>
  <c r="P178" i="6"/>
  <c r="P184" i="6" s="1"/>
  <c r="P189" i="6" s="1"/>
  <c r="CT177" i="6"/>
  <c r="AX185" i="6"/>
  <c r="AO178" i="6"/>
  <c r="AO184" i="6" s="1"/>
  <c r="AO189" i="6" s="1"/>
  <c r="AO191" i="6" s="1"/>
  <c r="AO195" i="6" s="1"/>
  <c r="BM177" i="6"/>
  <c r="BQ176" i="6"/>
  <c r="BN177" i="6"/>
  <c r="CU177" i="6"/>
  <c r="BQ177" i="6"/>
  <c r="BQ185" i="6"/>
  <c r="BQ187" i="6" s="1"/>
  <c r="BQ188" i="6" s="1"/>
  <c r="W178" i="6"/>
  <c r="W179" i="6" s="1"/>
  <c r="CW186" i="6"/>
  <c r="CW187" i="6" s="1"/>
  <c r="CW188" i="6" s="1"/>
  <c r="AZ185" i="6"/>
  <c r="AZ187" i="6" s="1"/>
  <c r="AZ208" i="6" s="1"/>
  <c r="AZ25" i="6" s="1"/>
  <c r="AM176" i="6"/>
  <c r="CO184" i="6"/>
  <c r="CO189" i="6" s="1"/>
  <c r="CO191" i="6" s="1"/>
  <c r="CO192" i="6" s="1"/>
  <c r="CU185" i="6"/>
  <c r="AZ177" i="6"/>
  <c r="I186" i="6"/>
  <c r="AZ176" i="6"/>
  <c r="CI176" i="6"/>
  <c r="CK177" i="6"/>
  <c r="AB178" i="6"/>
  <c r="AB179" i="6" s="1"/>
  <c r="AB187" i="6"/>
  <c r="AB188" i="6" s="1"/>
  <c r="BV186" i="6"/>
  <c r="AX177" i="6"/>
  <c r="BA185" i="6"/>
  <c r="BA187" i="6" s="1"/>
  <c r="BA208" i="6" s="1"/>
  <c r="BA25" i="6" s="1"/>
  <c r="T176" i="6"/>
  <c r="CS177" i="6"/>
  <c r="CK176" i="6"/>
  <c r="AX176" i="6"/>
  <c r="CS185" i="6"/>
  <c r="CS187" i="6" s="1"/>
  <c r="CS208" i="6" s="1"/>
  <c r="CS25" i="6" s="1"/>
  <c r="BT177" i="6"/>
  <c r="CK185" i="6"/>
  <c r="CK187" i="6" s="1"/>
  <c r="CK208" i="6" s="1"/>
  <c r="CK25" i="6" s="1"/>
  <c r="CI185" i="6"/>
  <c r="AU186" i="6"/>
  <c r="CZ186" i="6"/>
  <c r="CR177" i="6"/>
  <c r="CR178" i="6" s="1"/>
  <c r="N176" i="6"/>
  <c r="AK177" i="6"/>
  <c r="AK185" i="6"/>
  <c r="AK187" i="6" s="1"/>
  <c r="AK176" i="6"/>
  <c r="AW178" i="6"/>
  <c r="AW179" i="6" s="1"/>
  <c r="CG176" i="6"/>
  <c r="BM185" i="6"/>
  <c r="BM187" i="6" s="1"/>
  <c r="BM188" i="6" s="1"/>
  <c r="CG185" i="6"/>
  <c r="CG187" i="6" s="1"/>
  <c r="CG188" i="6" s="1"/>
  <c r="BM176" i="6"/>
  <c r="N185" i="6"/>
  <c r="N187" i="6" s="1"/>
  <c r="N188" i="6" s="1"/>
  <c r="AV177" i="6"/>
  <c r="T185" i="6"/>
  <c r="T187" i="6" s="1"/>
  <c r="T208" i="6" s="1"/>
  <c r="T25" i="6" s="1"/>
  <c r="AM177" i="6"/>
  <c r="CA208" i="6"/>
  <c r="CA25" i="6" s="1"/>
  <c r="CA188" i="6"/>
  <c r="AF179" i="6"/>
  <c r="AF183" i="6" s="1"/>
  <c r="AF184" i="6"/>
  <c r="AF189" i="6" s="1"/>
  <c r="AF191" i="6" s="1"/>
  <c r="S186" i="6"/>
  <c r="AU176" i="6"/>
  <c r="AW187" i="6"/>
  <c r="CI177" i="6"/>
  <c r="Z185" i="6"/>
  <c r="Z187" i="6" s="1"/>
  <c r="AH186" i="6"/>
  <c r="BN185" i="6"/>
  <c r="CR185" i="6"/>
  <c r="CR187" i="6" s="1"/>
  <c r="CR188" i="6" s="1"/>
  <c r="T177" i="6"/>
  <c r="CH185" i="6"/>
  <c r="AY178" i="6"/>
  <c r="AY184" i="6" s="1"/>
  <c r="AY189" i="6" s="1"/>
  <c r="AL176" i="6"/>
  <c r="AV186" i="6"/>
  <c r="BA176" i="6"/>
  <c r="CQ185" i="6"/>
  <c r="CQ187" i="6" s="1"/>
  <c r="CQ208" i="6" s="1"/>
  <c r="CQ25" i="6" s="1"/>
  <c r="CE178" i="6"/>
  <c r="CE184" i="6" s="1"/>
  <c r="CE189" i="6" s="1"/>
  <c r="CE191" i="6" s="1"/>
  <c r="BO177" i="6"/>
  <c r="BU177" i="6"/>
  <c r="Y178" i="6"/>
  <c r="Y179" i="6" s="1"/>
  <c r="Y181" i="6" s="1"/>
  <c r="BE177" i="6"/>
  <c r="N177" i="6"/>
  <c r="CB208" i="6"/>
  <c r="CB25" i="6" s="1"/>
  <c r="CB188" i="6"/>
  <c r="BP178" i="6"/>
  <c r="BP184" i="6" s="1"/>
  <c r="BP189" i="6" s="1"/>
  <c r="BP191" i="6" s="1"/>
  <c r="BP195" i="6" s="1"/>
  <c r="BA177" i="6"/>
  <c r="M178" i="6"/>
  <c r="BF186" i="6"/>
  <c r="J177" i="6"/>
  <c r="CM176" i="6"/>
  <c r="BU176" i="6"/>
  <c r="AV185" i="6"/>
  <c r="CM177" i="6"/>
  <c r="Z176" i="6"/>
  <c r="AL177" i="6"/>
  <c r="AL185" i="6"/>
  <c r="AL187" i="6" s="1"/>
  <c r="AL188" i="6" s="1"/>
  <c r="AT176" i="6"/>
  <c r="Z177" i="6"/>
  <c r="X177" i="6"/>
  <c r="CO208" i="6"/>
  <c r="CO25" i="6" s="1"/>
  <c r="AV176" i="6"/>
  <c r="BU185" i="6"/>
  <c r="AS186" i="6"/>
  <c r="AS187" i="6" s="1"/>
  <c r="AS188" i="6" s="1"/>
  <c r="X176" i="6"/>
  <c r="CI186" i="6"/>
  <c r="DA187" i="6"/>
  <c r="DA208" i="6" s="1"/>
  <c r="DA25" i="6" s="1"/>
  <c r="Y208" i="6"/>
  <c r="Y25" i="6" s="1"/>
  <c r="J176" i="6"/>
  <c r="CG208" i="6"/>
  <c r="CG25" i="6" s="1"/>
  <c r="W208" i="6"/>
  <c r="W25" i="6" s="1"/>
  <c r="Q178" i="6"/>
  <c r="Q179" i="6" s="1"/>
  <c r="AU185" i="6"/>
  <c r="L177" i="6"/>
  <c r="CQ177" i="6"/>
  <c r="DA178" i="6"/>
  <c r="DA179" i="6" s="1"/>
  <c r="DA181" i="6" s="1"/>
  <c r="J104" i="6"/>
  <c r="G178" i="6"/>
  <c r="CN177" i="6"/>
  <c r="BO185" i="6"/>
  <c r="BO187" i="6" s="1"/>
  <c r="BO208" i="6" s="1"/>
  <c r="BO25" i="6" s="1"/>
  <c r="CQ176" i="6"/>
  <c r="AF208" i="6"/>
  <c r="AF25" i="6" s="1"/>
  <c r="AG186" i="6"/>
  <c r="AJ186" i="6"/>
  <c r="BE176" i="6"/>
  <c r="AP177" i="6"/>
  <c r="P186" i="6"/>
  <c r="P187" i="6" s="1"/>
  <c r="P188" i="6" s="1"/>
  <c r="BO176" i="6"/>
  <c r="BE185" i="6"/>
  <c r="BS179" i="6"/>
  <c r="BS181" i="6" s="1"/>
  <c r="BS184" i="6"/>
  <c r="BS189" i="6" s="1"/>
  <c r="BS191" i="6" s="1"/>
  <c r="M188" i="6"/>
  <c r="M208" i="6"/>
  <c r="M25" i="6" s="1"/>
  <c r="AU177" i="6"/>
  <c r="CN176" i="6"/>
  <c r="K177" i="6"/>
  <c r="AM188" i="6"/>
  <c r="AJ176" i="6"/>
  <c r="CZ177" i="6"/>
  <c r="BC186" i="6"/>
  <c r="BS188" i="6"/>
  <c r="BS208" i="6"/>
  <c r="BS25" i="6" s="1"/>
  <c r="AC186" i="6"/>
  <c r="CW178" i="6"/>
  <c r="CW184" i="6" s="1"/>
  <c r="CW189" i="6" s="1"/>
  <c r="AJ177" i="6"/>
  <c r="CN186" i="6"/>
  <c r="CN187" i="6" s="1"/>
  <c r="CN208" i="6" s="1"/>
  <c r="CN25" i="6" s="1"/>
  <c r="CH177" i="6"/>
  <c r="CE208" i="6"/>
  <c r="CE25" i="6" s="1"/>
  <c r="AG177" i="6"/>
  <c r="BZ187" i="6"/>
  <c r="BZ208" i="6" s="1"/>
  <c r="BZ25" i="6" s="1"/>
  <c r="K185" i="6"/>
  <c r="G187" i="6"/>
  <c r="G208" i="6" s="1"/>
  <c r="G25" i="6" s="1"/>
  <c r="BT176" i="6"/>
  <c r="K176" i="6"/>
  <c r="AG185" i="6"/>
  <c r="AR187" i="6"/>
  <c r="AR208" i="6" s="1"/>
  <c r="AR25" i="6" s="1"/>
  <c r="AG176" i="6"/>
  <c r="BF177" i="6"/>
  <c r="CZ185" i="6"/>
  <c r="CU178" i="6"/>
  <c r="CU184" i="6" s="1"/>
  <c r="CU189" i="6" s="1"/>
  <c r="I177" i="6"/>
  <c r="AJ185" i="6"/>
  <c r="BH187" i="6"/>
  <c r="BH208" i="6" s="1"/>
  <c r="BH25" i="6" s="1"/>
  <c r="Q208" i="6"/>
  <c r="Q25" i="6" s="1"/>
  <c r="CH176" i="6"/>
  <c r="BD186" i="6"/>
  <c r="BB186" i="6"/>
  <c r="CJ188" i="6"/>
  <c r="CJ191" i="6"/>
  <c r="CJ194" i="6" s="1"/>
  <c r="CZ176" i="6"/>
  <c r="AA176" i="6"/>
  <c r="F176" i="6"/>
  <c r="F177" i="6"/>
  <c r="F185" i="6"/>
  <c r="F187" i="6" s="1"/>
  <c r="R186" i="6"/>
  <c r="BJ186" i="6"/>
  <c r="CY186" i="6"/>
  <c r="CC186" i="6"/>
  <c r="BT185" i="6"/>
  <c r="BW178" i="6"/>
  <c r="BW184" i="6" s="1"/>
  <c r="BW189" i="6" s="1"/>
  <c r="BW191" i="6" s="1"/>
  <c r="BW194" i="6" s="1"/>
  <c r="AQ187" i="6"/>
  <c r="AQ208" i="6" s="1"/>
  <c r="AQ25" i="6" s="1"/>
  <c r="AW104" i="6"/>
  <c r="AC185" i="6"/>
  <c r="AA177" i="6"/>
  <c r="BF176" i="6"/>
  <c r="BF185" i="6"/>
  <c r="AC176" i="6"/>
  <c r="J186" i="6"/>
  <c r="J187" i="6" s="1"/>
  <c r="J188" i="6" s="1"/>
  <c r="AT177" i="6"/>
  <c r="CM186" i="6"/>
  <c r="CM187" i="6" s="1"/>
  <c r="CM208" i="6" s="1"/>
  <c r="CM25" i="6" s="1"/>
  <c r="CL185" i="6"/>
  <c r="CL177" i="6"/>
  <c r="CL176" i="6"/>
  <c r="AC177" i="6"/>
  <c r="BN186" i="6"/>
  <c r="AP176" i="6"/>
  <c r="CV208" i="6"/>
  <c r="CV25" i="6" s="1"/>
  <c r="AP185" i="6"/>
  <c r="BI187" i="6"/>
  <c r="BI188" i="6" s="1"/>
  <c r="I176" i="6"/>
  <c r="AA186" i="6"/>
  <c r="BN176" i="6"/>
  <c r="CJ179" i="6"/>
  <c r="CJ180" i="6" s="1"/>
  <c r="BI178" i="6"/>
  <c r="BI184" i="6" s="1"/>
  <c r="BI189" i="6" s="1"/>
  <c r="BY186" i="6"/>
  <c r="AA185" i="6"/>
  <c r="AT185" i="6"/>
  <c r="L185" i="6"/>
  <c r="AS178" i="6"/>
  <c r="AS179" i="6" s="1"/>
  <c r="I185" i="6"/>
  <c r="L186" i="6"/>
  <c r="AN176" i="6"/>
  <c r="AN177" i="6"/>
  <c r="AN185" i="6"/>
  <c r="AN187" i="6" s="1"/>
  <c r="AZ188" i="6"/>
  <c r="BH178" i="6"/>
  <c r="BH179" i="6" s="1"/>
  <c r="O177" i="6"/>
  <c r="CD178" i="6"/>
  <c r="CD184" i="6" s="1"/>
  <c r="CD189" i="6" s="1"/>
  <c r="CD191" i="6" s="1"/>
  <c r="BT186" i="6"/>
  <c r="BX187" i="6"/>
  <c r="BX188" i="6" s="1"/>
  <c r="BL186" i="6"/>
  <c r="L176" i="6"/>
  <c r="CA184" i="6"/>
  <c r="CA189" i="6" s="1"/>
  <c r="CA191" i="6" s="1"/>
  <c r="CA195" i="6" s="1"/>
  <c r="V186" i="6"/>
  <c r="BW208" i="6"/>
  <c r="BW25" i="6" s="1"/>
  <c r="X186" i="6"/>
  <c r="X187" i="6" s="1"/>
  <c r="CX186" i="6"/>
  <c r="CH186" i="6"/>
  <c r="AE186" i="6"/>
  <c r="O176" i="6"/>
  <c r="O185" i="6"/>
  <c r="AD184" i="6"/>
  <c r="AD189" i="6" s="1"/>
  <c r="AR178" i="6"/>
  <c r="BX178" i="6"/>
  <c r="CX176" i="6"/>
  <c r="CX185" i="6"/>
  <c r="CX177" i="6"/>
  <c r="BR176" i="6"/>
  <c r="BR185" i="6"/>
  <c r="BR177" i="6"/>
  <c r="AE177" i="6"/>
  <c r="AE185" i="6"/>
  <c r="AE176" i="6"/>
  <c r="H177" i="6"/>
  <c r="H176" i="6"/>
  <c r="H185" i="6"/>
  <c r="H187" i="6" s="1"/>
  <c r="BE186" i="6"/>
  <c r="BU186" i="6"/>
  <c r="AO188" i="6"/>
  <c r="AO208" i="6"/>
  <c r="AO25" i="6" s="1"/>
  <c r="BK177" i="6"/>
  <c r="BK185" i="6"/>
  <c r="BK176" i="6"/>
  <c r="CC177" i="6"/>
  <c r="CC176" i="6"/>
  <c r="CC185" i="6"/>
  <c r="CY177" i="6"/>
  <c r="CY185" i="6"/>
  <c r="CY176" i="6"/>
  <c r="AD188" i="6"/>
  <c r="CP188" i="6"/>
  <c r="CP208" i="6"/>
  <c r="CP25" i="6" s="1"/>
  <c r="V176" i="6"/>
  <c r="V185" i="6"/>
  <c r="V177" i="6"/>
  <c r="BL177" i="6"/>
  <c r="BL185" i="6"/>
  <c r="BL176" i="6"/>
  <c r="BV177" i="6"/>
  <c r="BV185" i="6"/>
  <c r="BV176" i="6"/>
  <c r="CA181" i="6"/>
  <c r="CA180" i="6"/>
  <c r="CA182" i="6"/>
  <c r="CA183" i="6"/>
  <c r="AI176" i="6"/>
  <c r="AI177" i="6"/>
  <c r="AI185" i="6"/>
  <c r="U188" i="6"/>
  <c r="U208" i="6"/>
  <c r="U25" i="6" s="1"/>
  <c r="AF181" i="6"/>
  <c r="AF182" i="6"/>
  <c r="BD177" i="6"/>
  <c r="BD185" i="6"/>
  <c r="BD176" i="6"/>
  <c r="BB177" i="6"/>
  <c r="BB185" i="6"/>
  <c r="BB176" i="6"/>
  <c r="CU186" i="6"/>
  <c r="CP178" i="6"/>
  <c r="AI186" i="6"/>
  <c r="BJ177" i="6"/>
  <c r="BJ185" i="6"/>
  <c r="BJ176" i="6"/>
  <c r="AD181" i="6"/>
  <c r="AD180" i="6"/>
  <c r="AD182" i="6"/>
  <c r="AD183" i="6"/>
  <c r="AX186" i="6"/>
  <c r="CL186" i="6"/>
  <c r="CF176" i="6"/>
  <c r="CF177" i="6"/>
  <c r="CF185" i="6"/>
  <c r="CF187" i="6" s="1"/>
  <c r="R177" i="6"/>
  <c r="R176" i="6"/>
  <c r="R185" i="6"/>
  <c r="BY185" i="6"/>
  <c r="BY177" i="6"/>
  <c r="BY176" i="6"/>
  <c r="BZ178" i="6"/>
  <c r="BG186" i="6"/>
  <c r="BC177" i="6"/>
  <c r="BC176" i="6"/>
  <c r="BC185" i="6"/>
  <c r="AT186" i="6"/>
  <c r="AP186" i="6"/>
  <c r="BG177" i="6"/>
  <c r="BG176" i="6"/>
  <c r="BG185" i="6"/>
  <c r="BP208" i="6"/>
  <c r="BP25" i="6" s="1"/>
  <c r="BP188" i="6"/>
  <c r="K186" i="6"/>
  <c r="BR186" i="6"/>
  <c r="U178" i="6"/>
  <c r="AH177" i="6"/>
  <c r="AH176" i="6"/>
  <c r="AH185" i="6"/>
  <c r="CD188" i="6"/>
  <c r="CD208" i="6"/>
  <c r="CD25" i="6" s="1"/>
  <c r="S177" i="6"/>
  <c r="S185" i="6"/>
  <c r="S187" i="6" s="1"/>
  <c r="S176" i="6"/>
  <c r="BK186" i="6"/>
  <c r="BS85" i="6" l="1" a="1"/>
  <c r="BV187" i="6"/>
  <c r="BT178" i="6"/>
  <c r="BT179" i="6" s="1"/>
  <c r="BT182" i="6" s="1"/>
  <c r="AY191" i="6"/>
  <c r="CH187" i="6"/>
  <c r="CH188" i="6" s="1"/>
  <c r="BX82" i="6" a="1"/>
  <c r="BU178" i="6"/>
  <c r="CG178" i="6"/>
  <c r="CG184" i="6" s="1"/>
  <c r="CG189" i="6" s="1"/>
  <c r="CG191" i="6" s="1"/>
  <c r="AU187" i="6"/>
  <c r="AU208" i="6" s="1"/>
  <c r="AU25" i="6" s="1"/>
  <c r="CU187" i="6"/>
  <c r="O187" i="6"/>
  <c r="O208" i="6" s="1"/>
  <c r="O25" i="6" s="1"/>
  <c r="AY188" i="6"/>
  <c r="AQ178" i="6"/>
  <c r="AQ179" i="6" s="1"/>
  <c r="BK85" i="6"/>
  <c r="BK91" i="6" s="1"/>
  <c r="CB184" i="6"/>
  <c r="CB189" i="6" s="1"/>
  <c r="CB191" i="6" s="1"/>
  <c r="CB195" i="6" s="1"/>
  <c r="CB179" i="6"/>
  <c r="V87" i="6"/>
  <c r="V93" i="6" s="1"/>
  <c r="CJ82" i="6"/>
  <c r="CJ88" i="6" s="1"/>
  <c r="AD191" i="6"/>
  <c r="AD194" i="6" s="1"/>
  <c r="CO180" i="6"/>
  <c r="CO181" i="6"/>
  <c r="CO183" i="6"/>
  <c r="CO182" i="6"/>
  <c r="CE86" i="6"/>
  <c r="CE92" i="6" s="1"/>
  <c r="AR82" i="6"/>
  <c r="AR88" i="6" s="1"/>
  <c r="CZ84" i="6"/>
  <c r="CZ90" i="6" s="1"/>
  <c r="BS82" i="6" a="1"/>
  <c r="BS82" i="6" s="1"/>
  <c r="BS88" i="6" s="1"/>
  <c r="CJ84" i="6"/>
  <c r="CJ90" i="6" s="1"/>
  <c r="W184" i="6"/>
  <c r="W189" i="6" s="1"/>
  <c r="W191" i="6" s="1"/>
  <c r="AF180" i="6"/>
  <c r="AL208" i="6"/>
  <c r="AL25" i="6" s="1"/>
  <c r="I187" i="6"/>
  <c r="I208" i="6" s="1"/>
  <c r="I25" i="6" s="1"/>
  <c r="BM86" i="6"/>
  <c r="BM92" i="6" s="1"/>
  <c r="CE87" i="6"/>
  <c r="CE93" i="6" s="1"/>
  <c r="V86" i="6"/>
  <c r="V92" i="6" s="1"/>
  <c r="V104" i="6" s="1"/>
  <c r="L87" i="6"/>
  <c r="L93" i="6" s="1"/>
  <c r="AX187" i="6"/>
  <c r="BN178" i="6"/>
  <c r="Y182" i="6"/>
  <c r="AO87" i="6"/>
  <c r="AO93" i="6" s="1"/>
  <c r="AO104" i="6" s="1"/>
  <c r="CW87" i="6"/>
  <c r="CW93" i="6" s="1"/>
  <c r="AC87" i="6"/>
  <c r="AC93" i="6" s="1"/>
  <c r="CW85" i="6"/>
  <c r="CW91" i="6" s="1"/>
  <c r="CW104" i="6" s="1"/>
  <c r="BZ86" i="6"/>
  <c r="BZ92" i="6" s="1"/>
  <c r="BZ104" i="6" s="1"/>
  <c r="AC86" i="6"/>
  <c r="AC92" i="6" s="1"/>
  <c r="BX85" i="6" a="1"/>
  <c r="AB86" i="6"/>
  <c r="AB92" i="6" s="1"/>
  <c r="AB104" i="6" s="1"/>
  <c r="CF83" i="6"/>
  <c r="CF89" i="6" s="1"/>
  <c r="CF95" i="6" s="1"/>
  <c r="AR83" i="6"/>
  <c r="AR89" i="6" s="1"/>
  <c r="CK85" i="6"/>
  <c r="CK91" i="6" s="1"/>
  <c r="CN82" i="6"/>
  <c r="CN88" i="6" s="1"/>
  <c r="CN94" i="6" s="1"/>
  <c r="N85" i="6" a="1"/>
  <c r="N86" i="6" s="1"/>
  <c r="N92" i="6" s="1"/>
  <c r="BN85" i="6" a="1"/>
  <c r="BN87" i="6" s="1"/>
  <c r="BN93" i="6" s="1"/>
  <c r="AU86" i="6"/>
  <c r="AU92" i="6" s="1"/>
  <c r="AU104" i="6" s="1"/>
  <c r="H85" i="6" a="1"/>
  <c r="H87" i="6" s="1"/>
  <c r="H93" i="6" s="1"/>
  <c r="L85" i="6"/>
  <c r="L91" i="6" s="1"/>
  <c r="AN82" i="6" a="1"/>
  <c r="AN83" i="6" s="1"/>
  <c r="AN89" i="6" s="1"/>
  <c r="AK85" i="6"/>
  <c r="AK91" i="6" s="1"/>
  <c r="AK86" i="6"/>
  <c r="AK92" i="6" s="1"/>
  <c r="AK104" i="6" s="1"/>
  <c r="AZ82" i="6" a="1"/>
  <c r="AZ84" i="6" s="1"/>
  <c r="AZ90" i="6" s="1"/>
  <c r="AP82" i="6" a="1"/>
  <c r="AP84" i="6" s="1"/>
  <c r="AP90" i="6" s="1"/>
  <c r="AI83" i="6"/>
  <c r="AI89" i="6" s="1"/>
  <c r="F87" i="6"/>
  <c r="F93" i="6" s="1"/>
  <c r="F86" i="6"/>
  <c r="F92" i="6" s="1"/>
  <c r="AS87" i="6"/>
  <c r="AS93" i="6" s="1"/>
  <c r="BN82" i="6" a="1"/>
  <c r="AS85" i="6"/>
  <c r="AS91" i="6" s="1"/>
  <c r="CA83" i="6"/>
  <c r="CA89" i="6" s="1"/>
  <c r="V82" i="6" a="1"/>
  <c r="V83" i="6" s="1"/>
  <c r="V89" i="6" s="1"/>
  <c r="CA84" i="6"/>
  <c r="CA90" i="6" s="1"/>
  <c r="CY85" i="6"/>
  <c r="CY91" i="6" s="1"/>
  <c r="CY87" i="6"/>
  <c r="CY93" i="6" s="1"/>
  <c r="CZ86" i="6"/>
  <c r="CZ92" i="6" s="1"/>
  <c r="CZ87" i="6"/>
  <c r="CZ93" i="6" s="1"/>
  <c r="CH104" i="6"/>
  <c r="BQ83" i="6"/>
  <c r="BQ89" i="6" s="1"/>
  <c r="I85" i="6" a="1"/>
  <c r="I87" i="6" s="1"/>
  <c r="I93" i="6" s="1"/>
  <c r="I82" i="6" a="1"/>
  <c r="I82" i="6" s="1"/>
  <c r="I88" i="6" s="1"/>
  <c r="AA85" i="6" a="1"/>
  <c r="AA87" i="6" s="1"/>
  <c r="AA93" i="6" s="1"/>
  <c r="BQ84" i="6"/>
  <c r="BQ90" i="6" s="1"/>
  <c r="CK87" i="6"/>
  <c r="CK93" i="6" s="1"/>
  <c r="CK104" i="6" s="1"/>
  <c r="AO84" i="6"/>
  <c r="AO90" i="6" s="1"/>
  <c r="P82" i="6" a="1"/>
  <c r="P82" i="6" s="1"/>
  <c r="P88" i="6" s="1"/>
  <c r="M83" i="6"/>
  <c r="M89" i="6" s="1"/>
  <c r="M82" i="6"/>
  <c r="M88" i="6" s="1"/>
  <c r="CD85" i="6"/>
  <c r="CD91" i="6" s="1"/>
  <c r="CD86" i="6"/>
  <c r="CD92" i="6" s="1"/>
  <c r="BW85" i="6" a="1"/>
  <c r="BW86" i="6" s="1"/>
  <c r="BW92" i="6" s="1"/>
  <c r="CR82" i="6"/>
  <c r="CR88" i="6" s="1"/>
  <c r="CR84" i="6"/>
  <c r="CR90" i="6" s="1"/>
  <c r="BP82" i="6" a="1"/>
  <c r="BP84" i="6" s="1"/>
  <c r="BP90" i="6" s="1"/>
  <c r="AI84" i="6"/>
  <c r="AI90" i="6" s="1"/>
  <c r="CZ83" i="6"/>
  <c r="CZ89" i="6" s="1"/>
  <c r="CZ103" i="6" s="1"/>
  <c r="CI87" i="6"/>
  <c r="CI93" i="6" s="1"/>
  <c r="CI86" i="6"/>
  <c r="CI92" i="6" s="1"/>
  <c r="AG83" i="6"/>
  <c r="AG89" i="6" s="1"/>
  <c r="AG84" i="6"/>
  <c r="AG90" i="6" s="1"/>
  <c r="AH86" i="6"/>
  <c r="AH92" i="6" s="1"/>
  <c r="BZ83" i="6"/>
  <c r="BZ89" i="6" s="1"/>
  <c r="F83" i="6"/>
  <c r="F89" i="6" s="1"/>
  <c r="F82" i="6"/>
  <c r="F88" i="6" s="1"/>
  <c r="F84" i="6"/>
  <c r="F90" i="6" s="1"/>
  <c r="CT85" i="6"/>
  <c r="CT91" i="6" s="1"/>
  <c r="CT86" i="6"/>
  <c r="CT92" i="6" s="1"/>
  <c r="CT87" i="6"/>
  <c r="CT93" i="6" s="1"/>
  <c r="BX83" i="6"/>
  <c r="BX89" i="6" s="1"/>
  <c r="BX82" i="6"/>
  <c r="BX88" i="6" s="1"/>
  <c r="BX84" i="6"/>
  <c r="BX90" i="6" s="1"/>
  <c r="BA85" i="6"/>
  <c r="BA91" i="6" s="1"/>
  <c r="DA82" i="6" a="1"/>
  <c r="DA82" i="6" s="1"/>
  <c r="DA88" i="6" s="1"/>
  <c r="H82" i="6" a="1"/>
  <c r="H83" i="6" s="1"/>
  <c r="H89" i="6" s="1"/>
  <c r="CC82" i="6"/>
  <c r="CC88" i="6" s="1"/>
  <c r="CC83" i="6"/>
  <c r="CC89" i="6" s="1"/>
  <c r="CC84" i="6"/>
  <c r="CC90" i="6" s="1"/>
  <c r="W84" i="6"/>
  <c r="W90" i="6" s="1"/>
  <c r="CP84" i="6"/>
  <c r="CP90" i="6" s="1"/>
  <c r="CP82" i="6"/>
  <c r="CP88" i="6" s="1"/>
  <c r="CP83" i="6"/>
  <c r="CP89" i="6" s="1"/>
  <c r="BD83" i="6"/>
  <c r="BD89" i="6" s="1"/>
  <c r="X82" i="6"/>
  <c r="X88" i="6" s="1"/>
  <c r="X84" i="6"/>
  <c r="X90" i="6" s="1"/>
  <c r="X83" i="6"/>
  <c r="X89" i="6" s="1"/>
  <c r="BD82" i="6"/>
  <c r="BD88" i="6" s="1"/>
  <c r="AM87" i="6"/>
  <c r="AM93" i="6" s="1"/>
  <c r="AC83" i="6"/>
  <c r="AC89" i="6" s="1"/>
  <c r="CT82" i="6"/>
  <c r="CT88" i="6" s="1"/>
  <c r="AZ82" i="6"/>
  <c r="AZ88" i="6" s="1"/>
  <c r="AX83" i="6"/>
  <c r="AX89" i="6" s="1"/>
  <c r="AX84" i="6"/>
  <c r="AX90" i="6" s="1"/>
  <c r="AX82" i="6"/>
  <c r="AX88" i="6" s="1"/>
  <c r="CT83" i="6"/>
  <c r="CT89" i="6" s="1"/>
  <c r="AO82" i="6"/>
  <c r="AO88" i="6" s="1"/>
  <c r="CP85" i="6"/>
  <c r="CP91" i="6" s="1"/>
  <c r="CP87" i="6"/>
  <c r="CP93" i="6" s="1"/>
  <c r="CP86" i="6"/>
  <c r="CP92" i="6" s="1"/>
  <c r="BG87" i="6"/>
  <c r="BG93" i="6" s="1"/>
  <c r="BG86" i="6"/>
  <c r="BG92" i="6" s="1"/>
  <c r="BU84" i="6"/>
  <c r="BU90" i="6" s="1"/>
  <c r="BU82" i="6"/>
  <c r="BU88" i="6" s="1"/>
  <c r="BU83" i="6"/>
  <c r="BU89" i="6" s="1"/>
  <c r="AM86" i="6"/>
  <c r="AM92" i="6" s="1"/>
  <c r="AL85" i="6"/>
  <c r="AL91" i="6" s="1"/>
  <c r="K82" i="6"/>
  <c r="K88" i="6" s="1"/>
  <c r="K84" i="6"/>
  <c r="K90" i="6" s="1"/>
  <c r="K83" i="6"/>
  <c r="K89" i="6" s="1"/>
  <c r="AI104" i="6"/>
  <c r="CV85" i="6" a="1"/>
  <c r="CV85" i="6" s="1"/>
  <c r="CV91" i="6" s="1"/>
  <c r="AH87" i="6"/>
  <c r="AH93" i="6" s="1"/>
  <c r="AL86" i="6"/>
  <c r="AL92" i="6" s="1"/>
  <c r="K85" i="6"/>
  <c r="K91" i="6" s="1"/>
  <c r="K86" i="6"/>
  <c r="K92" i="6" s="1"/>
  <c r="K87" i="6"/>
  <c r="K93" i="6" s="1"/>
  <c r="BL86" i="6"/>
  <c r="BL92" i="6" s="1"/>
  <c r="BL85" i="6"/>
  <c r="BL91" i="6" s="1"/>
  <c r="BL87" i="6"/>
  <c r="BL93" i="6" s="1"/>
  <c r="AW84" i="6"/>
  <c r="AW90" i="6" s="1"/>
  <c r="AW82" i="6"/>
  <c r="AW88" i="6" s="1"/>
  <c r="AW83" i="6"/>
  <c r="AW89" i="6" s="1"/>
  <c r="AC82" i="6"/>
  <c r="AC88" i="6" s="1"/>
  <c r="CL82" i="6"/>
  <c r="CL88" i="6" s="1"/>
  <c r="AN82" i="6"/>
  <c r="AN88" i="6" s="1"/>
  <c r="CW83" i="6"/>
  <c r="CW89" i="6" s="1"/>
  <c r="CW84" i="6"/>
  <c r="CW90" i="6" s="1"/>
  <c r="CW82" i="6"/>
  <c r="CW88" i="6" s="1"/>
  <c r="CA86" i="6"/>
  <c r="CA92" i="6" s="1"/>
  <c r="CA85" i="6"/>
  <c r="CA91" i="6" s="1"/>
  <c r="CA87" i="6"/>
  <c r="CA93" i="6" s="1"/>
  <c r="BD104" i="6"/>
  <c r="X87" i="6"/>
  <c r="X93" i="6" s="1"/>
  <c r="X85" i="6"/>
  <c r="X91" i="6" s="1"/>
  <c r="X86" i="6"/>
  <c r="X92" i="6" s="1"/>
  <c r="AY85" i="6" a="1"/>
  <c r="AY85" i="6" s="1"/>
  <c r="AY91" i="6" s="1"/>
  <c r="CL84" i="6"/>
  <c r="CL90" i="6" s="1"/>
  <c r="Y82" i="6"/>
  <c r="Y88" i="6" s="1"/>
  <c r="Y84" i="6"/>
  <c r="Y90" i="6" s="1"/>
  <c r="CG84" i="6"/>
  <c r="CG90" i="6" s="1"/>
  <c r="CG82" i="6"/>
  <c r="CG88" i="6" s="1"/>
  <c r="BZ82" i="6"/>
  <c r="BZ88" i="6" s="1"/>
  <c r="BZ95" i="6" s="1"/>
  <c r="BA87" i="6"/>
  <c r="BA93" i="6" s="1"/>
  <c r="BT85" i="6"/>
  <c r="BT91" i="6" s="1"/>
  <c r="BT87" i="6"/>
  <c r="BT93" i="6" s="1"/>
  <c r="BT86" i="6"/>
  <c r="BT92" i="6" s="1"/>
  <c r="W82" i="6"/>
  <c r="W88" i="6" s="1"/>
  <c r="BX85" i="6"/>
  <c r="BX91" i="6" s="1"/>
  <c r="BX87" i="6"/>
  <c r="BX93" i="6" s="1"/>
  <c r="BX86" i="6"/>
  <c r="BX92" i="6" s="1"/>
  <c r="BP85" i="6" a="1"/>
  <c r="BP85" i="6" s="1"/>
  <c r="BP91" i="6" s="1"/>
  <c r="U85" i="6" a="1"/>
  <c r="U87" i="6" s="1"/>
  <c r="U93" i="6" s="1"/>
  <c r="AQ85" i="6" a="1"/>
  <c r="AQ86" i="6" s="1"/>
  <c r="AQ92" i="6" s="1"/>
  <c r="Z85" i="6" a="1"/>
  <c r="Z85" i="6" s="1"/>
  <c r="Z91" i="6" s="1"/>
  <c r="BV104" i="6"/>
  <c r="CD83" i="6"/>
  <c r="CD89" i="6" s="1"/>
  <c r="CD84" i="6"/>
  <c r="CD90" i="6" s="1"/>
  <c r="CD82" i="6"/>
  <c r="CD88" i="6" s="1"/>
  <c r="AD87" i="6"/>
  <c r="AD93" i="6" s="1"/>
  <c r="AD86" i="6"/>
  <c r="AD92" i="6" s="1"/>
  <c r="AD85" i="6"/>
  <c r="AD91" i="6" s="1"/>
  <c r="BI86" i="6"/>
  <c r="BI92" i="6" s="1"/>
  <c r="AZ85" i="6" a="1"/>
  <c r="AZ85" i="6" s="1"/>
  <c r="AZ91" i="6" s="1"/>
  <c r="CM82" i="6" a="1"/>
  <c r="CM83" i="6" s="1"/>
  <c r="CM89" i="6" s="1"/>
  <c r="BF82" i="6" a="1"/>
  <c r="BF84" i="6" s="1"/>
  <c r="BF90" i="6" s="1"/>
  <c r="BI85" i="6"/>
  <c r="BI91" i="6" s="1"/>
  <c r="AE82" i="6"/>
  <c r="AE88" i="6" s="1"/>
  <c r="AE84" i="6"/>
  <c r="AE90" i="6" s="1"/>
  <c r="AE83" i="6"/>
  <c r="AE89" i="6" s="1"/>
  <c r="BL84" i="6"/>
  <c r="BL90" i="6" s="1"/>
  <c r="BL83" i="6"/>
  <c r="BL89" i="6" s="1"/>
  <c r="BL82" i="6"/>
  <c r="BL88" i="6" s="1"/>
  <c r="CJ104" i="6"/>
  <c r="AE104" i="6"/>
  <c r="AR94" i="6"/>
  <c r="AR103" i="6"/>
  <c r="AR95" i="6"/>
  <c r="CK82" i="6"/>
  <c r="CK88" i="6" s="1"/>
  <c r="CK83" i="6"/>
  <c r="CK89" i="6" s="1"/>
  <c r="CK84" i="6"/>
  <c r="CK90" i="6" s="1"/>
  <c r="CS178" i="6"/>
  <c r="CS184" i="6" s="1"/>
  <c r="CS189" i="6" s="1"/>
  <c r="CS191" i="6" s="1"/>
  <c r="O82" i="6" a="1"/>
  <c r="O83" i="6" s="1"/>
  <c r="O89" i="6" s="1"/>
  <c r="AZ178" i="6"/>
  <c r="AZ179" i="6" s="1"/>
  <c r="T87" i="6"/>
  <c r="T93" i="6" s="1"/>
  <c r="T85" i="6"/>
  <c r="T91" i="6" s="1"/>
  <c r="T86" i="6"/>
  <c r="T92" i="6" s="1"/>
  <c r="BU85" i="6"/>
  <c r="BU91" i="6" s="1"/>
  <c r="BU87" i="6"/>
  <c r="BU93" i="6" s="1"/>
  <c r="BU86" i="6"/>
  <c r="BU92" i="6" s="1"/>
  <c r="BF85" i="6" a="1"/>
  <c r="BF86" i="6" s="1"/>
  <c r="BF92" i="6" s="1"/>
  <c r="Q85" i="6" a="1"/>
  <c r="Q85" i="6" s="1"/>
  <c r="Q91" i="6" s="1"/>
  <c r="BW82" i="6" a="1"/>
  <c r="BW84" i="6" s="1"/>
  <c r="BW90" i="6" s="1"/>
  <c r="CF86" i="6"/>
  <c r="CF92" i="6" s="1"/>
  <c r="CF85" i="6"/>
  <c r="CF91" i="6" s="1"/>
  <c r="CF87" i="6"/>
  <c r="CF93" i="6" s="1"/>
  <c r="BE84" i="6"/>
  <c r="BE90" i="6" s="1"/>
  <c r="BE82" i="6"/>
  <c r="BE88" i="6" s="1"/>
  <c r="BE83" i="6"/>
  <c r="BE89" i="6" s="1"/>
  <c r="BJ87" i="6"/>
  <c r="BJ93" i="6" s="1"/>
  <c r="BJ86" i="6"/>
  <c r="BJ92" i="6" s="1"/>
  <c r="BJ85" i="6"/>
  <c r="BJ91" i="6" s="1"/>
  <c r="W87" i="6"/>
  <c r="W93" i="6" s="1"/>
  <c r="W86" i="6"/>
  <c r="W92" i="6" s="1"/>
  <c r="W85" i="6"/>
  <c r="W91" i="6" s="1"/>
  <c r="BA82" i="6"/>
  <c r="BA88" i="6" s="1"/>
  <c r="BA84" i="6"/>
  <c r="BA90" i="6" s="1"/>
  <c r="BA83" i="6"/>
  <c r="BA89" i="6" s="1"/>
  <c r="BV84" i="6"/>
  <c r="BV90" i="6" s="1"/>
  <c r="BV82" i="6"/>
  <c r="BV88" i="6" s="1"/>
  <c r="BV83" i="6"/>
  <c r="BV89" i="6" s="1"/>
  <c r="R84" i="6"/>
  <c r="R90" i="6" s="1"/>
  <c r="R83" i="6"/>
  <c r="R89" i="6" s="1"/>
  <c r="R82" i="6"/>
  <c r="R88" i="6" s="1"/>
  <c r="AK84" i="6"/>
  <c r="AK90" i="6" s="1"/>
  <c r="AK82" i="6"/>
  <c r="AK88" i="6" s="1"/>
  <c r="AK83" i="6"/>
  <c r="AK89" i="6" s="1"/>
  <c r="BS84" i="6"/>
  <c r="BS90" i="6" s="1"/>
  <c r="Y85" i="6"/>
  <c r="Y91" i="6" s="1"/>
  <c r="Y86" i="6"/>
  <c r="Y92" i="6" s="1"/>
  <c r="Y87" i="6"/>
  <c r="Y93" i="6" s="1"/>
  <c r="AH84" i="6"/>
  <c r="AH90" i="6" s="1"/>
  <c r="AH82" i="6"/>
  <c r="AH88" i="6" s="1"/>
  <c r="AH83" i="6"/>
  <c r="AH89" i="6" s="1"/>
  <c r="BM104" i="6"/>
  <c r="BN85" i="6"/>
  <c r="BN91" i="6" s="1"/>
  <c r="CX86" i="6"/>
  <c r="CX92" i="6" s="1"/>
  <c r="CX85" i="6"/>
  <c r="CX91" i="6" s="1"/>
  <c r="CX87" i="6"/>
  <c r="CX93" i="6" s="1"/>
  <c r="BB85" i="6"/>
  <c r="BB91" i="6" s="1"/>
  <c r="BB87" i="6"/>
  <c r="BB93" i="6" s="1"/>
  <c r="BB86" i="6"/>
  <c r="BB92" i="6" s="1"/>
  <c r="G82" i="6"/>
  <c r="G88" i="6" s="1"/>
  <c r="G83" i="6"/>
  <c r="G89" i="6" s="1"/>
  <c r="G84" i="6"/>
  <c r="G90" i="6" s="1"/>
  <c r="BY85" i="6" a="1"/>
  <c r="AP86" i="6"/>
  <c r="AP92" i="6" s="1"/>
  <c r="AP85" i="6"/>
  <c r="AP91" i="6" s="1"/>
  <c r="AP87" i="6"/>
  <c r="AP93" i="6" s="1"/>
  <c r="R85" i="6"/>
  <c r="R91" i="6" s="1"/>
  <c r="R87" i="6"/>
  <c r="R93" i="6" s="1"/>
  <c r="R86" i="6"/>
  <c r="R92" i="6" s="1"/>
  <c r="AP82" i="6"/>
  <c r="AP88" i="6" s="1"/>
  <c r="AP83" i="6"/>
  <c r="AP89" i="6" s="1"/>
  <c r="CU83" i="6"/>
  <c r="CU89" i="6" s="1"/>
  <c r="CU84" i="6"/>
  <c r="CU90" i="6" s="1"/>
  <c r="CU82" i="6"/>
  <c r="CU88" i="6" s="1"/>
  <c r="AM83" i="6"/>
  <c r="AM89" i="6" s="1"/>
  <c r="AM84" i="6"/>
  <c r="AM90" i="6" s="1"/>
  <c r="AM82" i="6"/>
  <c r="AM88" i="6" s="1"/>
  <c r="CB82" i="6"/>
  <c r="CB88" i="6" s="1"/>
  <c r="CB83" i="6"/>
  <c r="CB89" i="6" s="1"/>
  <c r="CB84" i="6"/>
  <c r="CB90" i="6" s="1"/>
  <c r="BI84" i="6"/>
  <c r="BI90" i="6" s="1"/>
  <c r="BI82" i="6"/>
  <c r="BI88" i="6" s="1"/>
  <c r="BI83" i="6"/>
  <c r="BI89" i="6" s="1"/>
  <c r="BJ82" i="6"/>
  <c r="BJ88" i="6" s="1"/>
  <c r="BJ83" i="6"/>
  <c r="BJ89" i="6" s="1"/>
  <c r="BJ84" i="6"/>
  <c r="BJ90" i="6" s="1"/>
  <c r="G87" i="6"/>
  <c r="G93" i="6" s="1"/>
  <c r="G86" i="6"/>
  <c r="G92" i="6" s="1"/>
  <c r="G85" i="6"/>
  <c r="G91" i="6" s="1"/>
  <c r="AJ84" i="6"/>
  <c r="AJ90" i="6" s="1"/>
  <c r="AJ82" i="6"/>
  <c r="AJ88" i="6" s="1"/>
  <c r="AJ83" i="6"/>
  <c r="AJ89" i="6" s="1"/>
  <c r="AX86" i="6"/>
  <c r="AX92" i="6" s="1"/>
  <c r="AX85" i="6"/>
  <c r="AX91" i="6" s="1"/>
  <c r="AX87" i="6"/>
  <c r="AX93" i="6" s="1"/>
  <c r="M86" i="6"/>
  <c r="M92" i="6" s="1"/>
  <c r="M87" i="6"/>
  <c r="M93" i="6" s="1"/>
  <c r="M85" i="6"/>
  <c r="M91" i="6" s="1"/>
  <c r="DA86" i="6"/>
  <c r="DA92" i="6" s="1"/>
  <c r="DA87" i="6"/>
  <c r="DA93" i="6" s="1"/>
  <c r="DA85" i="6"/>
  <c r="DA91" i="6" s="1"/>
  <c r="AC104" i="6"/>
  <c r="CU86" i="6"/>
  <c r="CU92" i="6" s="1"/>
  <c r="CU87" i="6"/>
  <c r="CU93" i="6" s="1"/>
  <c r="CU85" i="6"/>
  <c r="CU91" i="6" s="1"/>
  <c r="AT82" i="6" a="1"/>
  <c r="BY82" i="6" a="1"/>
  <c r="BH82" i="6" a="1"/>
  <c r="CQ85" i="6" a="1"/>
  <c r="S82" i="6" a="1"/>
  <c r="Y180" i="6"/>
  <c r="CG85" i="6"/>
  <c r="CG91" i="6" s="1"/>
  <c r="CG87" i="6"/>
  <c r="CG93" i="6" s="1"/>
  <c r="CG86" i="6"/>
  <c r="CG92" i="6" s="1"/>
  <c r="Z82" i="6" a="1"/>
  <c r="AD83" i="6"/>
  <c r="AD89" i="6" s="1"/>
  <c r="AD82" i="6"/>
  <c r="AD88" i="6" s="1"/>
  <c r="AD84" i="6"/>
  <c r="AD90" i="6" s="1"/>
  <c r="AF82" i="6" a="1"/>
  <c r="U82" i="6" a="1"/>
  <c r="Q82" i="6" a="1"/>
  <c r="CE82" i="6"/>
  <c r="CE88" i="6" s="1"/>
  <c r="CE83" i="6"/>
  <c r="CE89" i="6" s="1"/>
  <c r="CE84" i="6"/>
  <c r="CE90" i="6" s="1"/>
  <c r="CH94" i="6"/>
  <c r="CH95" i="6"/>
  <c r="CH103" i="6"/>
  <c r="AF85" i="6" a="1"/>
  <c r="P85" i="6" a="1"/>
  <c r="CI82" i="6"/>
  <c r="CI88" i="6" s="1"/>
  <c r="CI83" i="6"/>
  <c r="CI89" i="6" s="1"/>
  <c r="CI84" i="6"/>
  <c r="CI90" i="6" s="1"/>
  <c r="CL87" i="6"/>
  <c r="CL93" i="6" s="1"/>
  <c r="CL86" i="6"/>
  <c r="CL92" i="6" s="1"/>
  <c r="CL85" i="6"/>
  <c r="CL91" i="6" s="1"/>
  <c r="AJ87" i="6"/>
  <c r="AJ93" i="6" s="1"/>
  <c r="AJ85" i="6"/>
  <c r="AJ91" i="6" s="1"/>
  <c r="AJ86" i="6"/>
  <c r="AJ92" i="6" s="1"/>
  <c r="CM85" i="6" a="1"/>
  <c r="BR82" i="6" a="1"/>
  <c r="AR85" i="6"/>
  <c r="AR91" i="6" s="1"/>
  <c r="AR87" i="6"/>
  <c r="AR93" i="6" s="1"/>
  <c r="AR86" i="6"/>
  <c r="AR92" i="6" s="1"/>
  <c r="CS82" i="6"/>
  <c r="CS88" i="6" s="1"/>
  <c r="CS84" i="6"/>
  <c r="CS90" i="6" s="1"/>
  <c r="CS83" i="6"/>
  <c r="CS89" i="6" s="1"/>
  <c r="AN86" i="6"/>
  <c r="AN92" i="6" s="1"/>
  <c r="AN85" i="6"/>
  <c r="AN91" i="6" s="1"/>
  <c r="AN87" i="6"/>
  <c r="AN93" i="6" s="1"/>
  <c r="BQ87" i="6"/>
  <c r="BQ93" i="6" s="1"/>
  <c r="BQ86" i="6"/>
  <c r="BQ92" i="6" s="1"/>
  <c r="BQ85" i="6"/>
  <c r="BQ91" i="6" s="1"/>
  <c r="CO87" i="6"/>
  <c r="CO93" i="6" s="1"/>
  <c r="CO86" i="6"/>
  <c r="CO92" i="6" s="1"/>
  <c r="CO85" i="6"/>
  <c r="CO91" i="6" s="1"/>
  <c r="CO82" i="6"/>
  <c r="CO88" i="6" s="1"/>
  <c r="CO83" i="6"/>
  <c r="CO89" i="6" s="1"/>
  <c r="CO84" i="6"/>
  <c r="CO90" i="6" s="1"/>
  <c r="AT85" i="6" a="1"/>
  <c r="BH85" i="6" a="1"/>
  <c r="BO104" i="6"/>
  <c r="AS82" i="6"/>
  <c r="AS88" i="6" s="1"/>
  <c r="AS83" i="6"/>
  <c r="AS89" i="6" s="1"/>
  <c r="AS84" i="6"/>
  <c r="AS90" i="6" s="1"/>
  <c r="BC85" i="6" a="1"/>
  <c r="AU83" i="6"/>
  <c r="AU89" i="6" s="1"/>
  <c r="AU84" i="6"/>
  <c r="AU90" i="6" s="1"/>
  <c r="AU82" i="6"/>
  <c r="AU88" i="6" s="1"/>
  <c r="BN82" i="6"/>
  <c r="BN88" i="6" s="1"/>
  <c r="BN84" i="6"/>
  <c r="BN90" i="6" s="1"/>
  <c r="BN83" i="6"/>
  <c r="BN89" i="6" s="1"/>
  <c r="BK82" i="6"/>
  <c r="BK88" i="6" s="1"/>
  <c r="BK84" i="6"/>
  <c r="BK90" i="6" s="1"/>
  <c r="BK83" i="6"/>
  <c r="BK89" i="6" s="1"/>
  <c r="AL82" i="6"/>
  <c r="AL88" i="6" s="1"/>
  <c r="AL84" i="6"/>
  <c r="AL90" i="6" s="1"/>
  <c r="AL83" i="6"/>
  <c r="AL89" i="6" s="1"/>
  <c r="BE87" i="6"/>
  <c r="BE93" i="6" s="1"/>
  <c r="BE85" i="6"/>
  <c r="BE91" i="6" s="1"/>
  <c r="BE86" i="6"/>
  <c r="BE92" i="6" s="1"/>
  <c r="BM84" i="6"/>
  <c r="BM90" i="6" s="1"/>
  <c r="BM82" i="6"/>
  <c r="BM88" i="6" s="1"/>
  <c r="BM83" i="6"/>
  <c r="BM89" i="6" s="1"/>
  <c r="BS85" i="6"/>
  <c r="BS91" i="6" s="1"/>
  <c r="BS86" i="6"/>
  <c r="BS92" i="6" s="1"/>
  <c r="BS87" i="6"/>
  <c r="BS93" i="6" s="1"/>
  <c r="CY84" i="6"/>
  <c r="CY90" i="6" s="1"/>
  <c r="CY82" i="6"/>
  <c r="CY88" i="6" s="1"/>
  <c r="CY83" i="6"/>
  <c r="CY89" i="6" s="1"/>
  <c r="BR85" i="6" a="1"/>
  <c r="CR86" i="6"/>
  <c r="CR92" i="6" s="1"/>
  <c r="CR85" i="6"/>
  <c r="CR91" i="6" s="1"/>
  <c r="CR87" i="6"/>
  <c r="CR93" i="6" s="1"/>
  <c r="BK104" i="6"/>
  <c r="CB86" i="6"/>
  <c r="CB92" i="6" s="1"/>
  <c r="CB85" i="6"/>
  <c r="CB91" i="6" s="1"/>
  <c r="CB87" i="6"/>
  <c r="CB93" i="6" s="1"/>
  <c r="AB82" i="6"/>
  <c r="AB88" i="6" s="1"/>
  <c r="AB84" i="6"/>
  <c r="AB90" i="6" s="1"/>
  <c r="AB83" i="6"/>
  <c r="AB89" i="6" s="1"/>
  <c r="CX82" i="6"/>
  <c r="CX88" i="6" s="1"/>
  <c r="CX83" i="6"/>
  <c r="CX89" i="6" s="1"/>
  <c r="CX84" i="6"/>
  <c r="CX90" i="6" s="1"/>
  <c r="CC104" i="6"/>
  <c r="T82" i="6"/>
  <c r="T88" i="6" s="1"/>
  <c r="T84" i="6"/>
  <c r="T90" i="6" s="1"/>
  <c r="T83" i="6"/>
  <c r="T89" i="6" s="1"/>
  <c r="AV82" i="6" a="1"/>
  <c r="BC82" i="6" a="1"/>
  <c r="CQ82" i="6" a="1"/>
  <c r="CV82" i="6" a="1"/>
  <c r="J83" i="6"/>
  <c r="J89" i="6" s="1"/>
  <c r="J82" i="6"/>
  <c r="J88" i="6" s="1"/>
  <c r="J84" i="6"/>
  <c r="J90" i="6" s="1"/>
  <c r="BG82" i="6"/>
  <c r="BG88" i="6" s="1"/>
  <c r="BG83" i="6"/>
  <c r="BG89" i="6" s="1"/>
  <c r="BG84" i="6"/>
  <c r="BG90" i="6" s="1"/>
  <c r="BO83" i="6"/>
  <c r="BO89" i="6" s="1"/>
  <c r="BO84" i="6"/>
  <c r="BO90" i="6" s="1"/>
  <c r="BO82" i="6"/>
  <c r="BO88" i="6" s="1"/>
  <c r="AV85" i="6" a="1"/>
  <c r="BT83" i="6"/>
  <c r="BT89" i="6" s="1"/>
  <c r="BT84" i="6"/>
  <c r="BT90" i="6" s="1"/>
  <c r="BT82" i="6"/>
  <c r="BT88" i="6" s="1"/>
  <c r="BB84" i="6"/>
  <c r="BB90" i="6" s="1"/>
  <c r="BB83" i="6"/>
  <c r="BB89" i="6" s="1"/>
  <c r="BB82" i="6"/>
  <c r="BB88" i="6" s="1"/>
  <c r="O85" i="6" a="1"/>
  <c r="AY82" i="6" a="1"/>
  <c r="AA82" i="6" a="1"/>
  <c r="AG85" i="6"/>
  <c r="AG91" i="6" s="1"/>
  <c r="AG86" i="6"/>
  <c r="AG92" i="6" s="1"/>
  <c r="AG87" i="6"/>
  <c r="AG93" i="6" s="1"/>
  <c r="S85" i="6" a="1"/>
  <c r="AQ82" i="6" a="1"/>
  <c r="CN85" i="6"/>
  <c r="CN91" i="6" s="1"/>
  <c r="CN86" i="6"/>
  <c r="CN92" i="6" s="1"/>
  <c r="CN87" i="6"/>
  <c r="CN93" i="6" s="1"/>
  <c r="L82" i="6"/>
  <c r="L88" i="6" s="1"/>
  <c r="L84" i="6"/>
  <c r="L90" i="6" s="1"/>
  <c r="L83" i="6"/>
  <c r="L89" i="6" s="1"/>
  <c r="N82" i="6" a="1"/>
  <c r="CT188" i="6"/>
  <c r="CT208" i="6"/>
  <c r="CT25" i="6" s="1"/>
  <c r="BM178" i="6"/>
  <c r="BM179" i="6" s="1"/>
  <c r="CI178" i="6"/>
  <c r="CI179" i="6" s="1"/>
  <c r="CI182" i="6" s="1"/>
  <c r="AT178" i="6"/>
  <c r="AT184" i="6" s="1"/>
  <c r="AT189" i="6" s="1"/>
  <c r="AO179" i="6"/>
  <c r="AO181" i="6" s="1"/>
  <c r="CT178" i="6"/>
  <c r="CT179" i="6" s="1"/>
  <c r="BQ208" i="6"/>
  <c r="BQ25" i="6" s="1"/>
  <c r="BM208" i="6"/>
  <c r="BM25" i="6" s="1"/>
  <c r="CB194" i="6"/>
  <c r="P179" i="6"/>
  <c r="P180" i="6" s="1"/>
  <c r="AV178" i="6"/>
  <c r="AV179" i="6" s="1"/>
  <c r="AX178" i="6"/>
  <c r="AX184" i="6" s="1"/>
  <c r="AX189" i="6" s="1"/>
  <c r="AX191" i="6" s="1"/>
  <c r="AB182" i="6"/>
  <c r="AB180" i="6"/>
  <c r="AB181" i="6"/>
  <c r="AB184" i="6"/>
  <c r="AB189" i="6" s="1"/>
  <c r="AB191" i="6" s="1"/>
  <c r="AB194" i="6" s="1"/>
  <c r="CK178" i="6"/>
  <c r="CK179" i="6" s="1"/>
  <c r="CK180" i="6" s="1"/>
  <c r="AU178" i="6"/>
  <c r="AU179" i="6" s="1"/>
  <c r="AU182" i="6" s="1"/>
  <c r="CE179" i="6"/>
  <c r="CE183" i="6" s="1"/>
  <c r="BQ178" i="6"/>
  <c r="BQ179" i="6" s="1"/>
  <c r="AF194" i="6"/>
  <c r="AF192" i="6"/>
  <c r="AY179" i="6"/>
  <c r="AY183" i="6" s="1"/>
  <c r="AM178" i="6"/>
  <c r="AM184" i="6" s="1"/>
  <c r="AM189" i="6" s="1"/>
  <c r="AM191" i="6" s="1"/>
  <c r="AM195" i="6" s="1"/>
  <c r="CC187" i="6"/>
  <c r="AH187" i="6"/>
  <c r="AH188" i="6" s="1"/>
  <c r="CZ187" i="6"/>
  <c r="CI187" i="6"/>
  <c r="CI188" i="6" s="1"/>
  <c r="AB208" i="6"/>
  <c r="AB25" i="6" s="1"/>
  <c r="T178" i="6"/>
  <c r="T184" i="6" s="1"/>
  <c r="T189" i="6" s="1"/>
  <c r="T191" i="6" s="1"/>
  <c r="AV187" i="6"/>
  <c r="AV188" i="6" s="1"/>
  <c r="AZ180" i="6"/>
  <c r="AZ182" i="6"/>
  <c r="AZ181" i="6"/>
  <c r="AZ183" i="6"/>
  <c r="BN187" i="6"/>
  <c r="BN208" i="6" s="1"/>
  <c r="BN25" i="6" s="1"/>
  <c r="BF187" i="6"/>
  <c r="BF188" i="6" s="1"/>
  <c r="G188" i="6"/>
  <c r="CS188" i="6"/>
  <c r="J178" i="6"/>
  <c r="J184" i="6" s="1"/>
  <c r="J189" i="6" s="1"/>
  <c r="J191" i="6" s="1"/>
  <c r="BE187" i="6"/>
  <c r="BE188" i="6" s="1"/>
  <c r="BP179" i="6"/>
  <c r="BP180" i="6" s="1"/>
  <c r="BA188" i="6"/>
  <c r="AL178" i="6"/>
  <c r="AB183" i="6"/>
  <c r="BE178" i="6"/>
  <c r="BE184" i="6" s="1"/>
  <c r="BE189" i="6" s="1"/>
  <c r="CK188" i="6"/>
  <c r="CM178" i="6"/>
  <c r="CM179" i="6" s="1"/>
  <c r="CM183" i="6" s="1"/>
  <c r="N178" i="6"/>
  <c r="N184" i="6" s="1"/>
  <c r="N189" i="6" s="1"/>
  <c r="N191" i="6" s="1"/>
  <c r="N195" i="6" s="1"/>
  <c r="CR179" i="6"/>
  <c r="CR184" i="6"/>
  <c r="CR189" i="6" s="1"/>
  <c r="CR191" i="6" s="1"/>
  <c r="BB187" i="6"/>
  <c r="BB208" i="6" s="1"/>
  <c r="BB25" i="6" s="1"/>
  <c r="AK178" i="6"/>
  <c r="BC187" i="6"/>
  <c r="BC188" i="6" s="1"/>
  <c r="CQ178" i="6"/>
  <c r="CQ179" i="6" s="1"/>
  <c r="CQ182" i="6" s="1"/>
  <c r="AW184" i="6"/>
  <c r="AW189" i="6" s="1"/>
  <c r="AW191" i="6" s="1"/>
  <c r="AW195" i="6" s="1"/>
  <c r="T188" i="6"/>
  <c r="AK208" i="6"/>
  <c r="AK25" i="6" s="1"/>
  <c r="AK188" i="6"/>
  <c r="BA178" i="6"/>
  <c r="BA184" i="6" s="1"/>
  <c r="BA189" i="6" s="1"/>
  <c r="BA191" i="6" s="1"/>
  <c r="CR208" i="6"/>
  <c r="CR25" i="6" s="1"/>
  <c r="AW188" i="6"/>
  <c r="AW208" i="6"/>
  <c r="AW25" i="6" s="1"/>
  <c r="CN178" i="6"/>
  <c r="CN184" i="6" s="1"/>
  <c r="CN189" i="6" s="1"/>
  <c r="CN191" i="6" s="1"/>
  <c r="CN195" i="6" s="1"/>
  <c r="Z208" i="6"/>
  <c r="Z25" i="6" s="1"/>
  <c r="Z188" i="6"/>
  <c r="BT187" i="6"/>
  <c r="BT188" i="6" s="1"/>
  <c r="CE194" i="6"/>
  <c r="CE192" i="6"/>
  <c r="CE196" i="6" s="1"/>
  <c r="CE195" i="6"/>
  <c r="Y183" i="6"/>
  <c r="BO178" i="6"/>
  <c r="DA182" i="6"/>
  <c r="Y184" i="6"/>
  <c r="Y189" i="6" s="1"/>
  <c r="Y191" i="6" s="1"/>
  <c r="Y195" i="6" s="1"/>
  <c r="AZ184" i="6"/>
  <c r="AZ189" i="6" s="1"/>
  <c r="AZ191" i="6" s="1"/>
  <c r="AZ194" i="6" s="1"/>
  <c r="K178" i="6"/>
  <c r="K184" i="6" s="1"/>
  <c r="K189" i="6" s="1"/>
  <c r="DA188" i="6"/>
  <c r="CH178" i="6"/>
  <c r="CH179" i="6" s="1"/>
  <c r="CH180" i="6" s="1"/>
  <c r="M179" i="6"/>
  <c r="M184" i="6"/>
  <c r="M189" i="6" s="1"/>
  <c r="M191" i="6" s="1"/>
  <c r="Z178" i="6"/>
  <c r="Z179" i="6" s="1"/>
  <c r="Z181" i="6" s="1"/>
  <c r="CV184" i="6"/>
  <c r="CV189" i="6" s="1"/>
  <c r="CV191" i="6" s="1"/>
  <c r="CV194" i="6" s="1"/>
  <c r="X178" i="6"/>
  <c r="X179" i="6" s="1"/>
  <c r="X183" i="6" s="1"/>
  <c r="DA180" i="6"/>
  <c r="DA184" i="6"/>
  <c r="DA189" i="6" s="1"/>
  <c r="DA191" i="6" s="1"/>
  <c r="DA195" i="6" s="1"/>
  <c r="BD187" i="6"/>
  <c r="BD208" i="6" s="1"/>
  <c r="BD25" i="6" s="1"/>
  <c r="Q184" i="6"/>
  <c r="Q189" i="6" s="1"/>
  <c r="Q191" i="6" s="1"/>
  <c r="Q194" i="6" s="1"/>
  <c r="CU179" i="6"/>
  <c r="CU180" i="6" s="1"/>
  <c r="BP183" i="6"/>
  <c r="BW179" i="6"/>
  <c r="BW181" i="6" s="1"/>
  <c r="DA183" i="6"/>
  <c r="CZ178" i="6"/>
  <c r="CZ179" i="6" s="1"/>
  <c r="CZ180" i="6" s="1"/>
  <c r="BU187" i="6"/>
  <c r="BU208" i="6" s="1"/>
  <c r="BU25" i="6" s="1"/>
  <c r="BS194" i="6"/>
  <c r="BS195" i="6"/>
  <c r="BS192" i="6"/>
  <c r="BS197" i="6" s="1"/>
  <c r="CK181" i="6"/>
  <c r="CK183" i="6"/>
  <c r="CK182" i="6"/>
  <c r="G184" i="6"/>
  <c r="G189" i="6" s="1"/>
  <c r="G191" i="6" s="1"/>
  <c r="G195" i="6" s="1"/>
  <c r="G179" i="6"/>
  <c r="CW179" i="6"/>
  <c r="CW181" i="6" s="1"/>
  <c r="N208" i="6"/>
  <c r="N25" i="6" s="1"/>
  <c r="P191" i="6"/>
  <c r="P208" i="6"/>
  <c r="P25" i="6" s="1"/>
  <c r="BO188" i="6"/>
  <c r="AJ187" i="6"/>
  <c r="AJ188" i="6" s="1"/>
  <c r="CB192" i="6"/>
  <c r="CB190" i="6" s="1"/>
  <c r="CT184" i="6"/>
  <c r="CT189" i="6" s="1"/>
  <c r="CT191" i="6" s="1"/>
  <c r="CT195" i="6" s="1"/>
  <c r="CK184" i="6"/>
  <c r="CK189" i="6" s="1"/>
  <c r="CK191" i="6" s="1"/>
  <c r="CK192" i="6" s="1"/>
  <c r="CK209" i="6" s="1"/>
  <c r="CK210" i="6" s="1"/>
  <c r="AG187" i="6"/>
  <c r="AG188" i="6" s="1"/>
  <c r="L178" i="6"/>
  <c r="L179" i="6" s="1"/>
  <c r="L181" i="6" s="1"/>
  <c r="AP178" i="6"/>
  <c r="AP179" i="6" s="1"/>
  <c r="AF195" i="6"/>
  <c r="BH188" i="6"/>
  <c r="AA187" i="6"/>
  <c r="AA208" i="6" s="1"/>
  <c r="AA25" i="6" s="1"/>
  <c r="L187" i="6"/>
  <c r="L188" i="6" s="1"/>
  <c r="AJ178" i="6"/>
  <c r="AJ184" i="6" s="1"/>
  <c r="AJ189" i="6" s="1"/>
  <c r="AA178" i="6"/>
  <c r="AA179" i="6" s="1"/>
  <c r="AA183" i="6" s="1"/>
  <c r="AG178" i="6"/>
  <c r="AG179" i="6" s="1"/>
  <c r="AG183" i="6" s="1"/>
  <c r="BS183" i="6"/>
  <c r="BS180" i="6"/>
  <c r="BS182" i="6"/>
  <c r="K187" i="6"/>
  <c r="K188" i="6" s="1"/>
  <c r="BT184" i="6"/>
  <c r="BT189" i="6" s="1"/>
  <c r="BT181" i="6"/>
  <c r="CI180" i="6"/>
  <c r="BZ188" i="6"/>
  <c r="CO194" i="6"/>
  <c r="AC187" i="6"/>
  <c r="BF178" i="6"/>
  <c r="CI183" i="6"/>
  <c r="BT183" i="6"/>
  <c r="CI181" i="6"/>
  <c r="CO195" i="6"/>
  <c r="AP187" i="6"/>
  <c r="AP208" i="6" s="1"/>
  <c r="AP25" i="6" s="1"/>
  <c r="BT180" i="6"/>
  <c r="CI184" i="6"/>
  <c r="CI189" i="6" s="1"/>
  <c r="I178" i="6"/>
  <c r="I184" i="6" s="1"/>
  <c r="I189" i="6" s="1"/>
  <c r="K179" i="6"/>
  <c r="K183" i="6" s="1"/>
  <c r="CZ208" i="6"/>
  <c r="CZ25" i="6" s="1"/>
  <c r="CZ188" i="6"/>
  <c r="BJ187" i="6"/>
  <c r="BJ188" i="6" s="1"/>
  <c r="CW208" i="6"/>
  <c r="CW25" i="6" s="1"/>
  <c r="AC178" i="6"/>
  <c r="AC184" i="6" s="1"/>
  <c r="AC189" i="6" s="1"/>
  <c r="AR188" i="6"/>
  <c r="F178" i="6"/>
  <c r="AV184" i="6"/>
  <c r="AV189" i="6" s="1"/>
  <c r="AV191" i="6" s="1"/>
  <c r="CN188" i="6"/>
  <c r="O178" i="6"/>
  <c r="O179" i="6" s="1"/>
  <c r="BI179" i="6"/>
  <c r="BI181" i="6" s="1"/>
  <c r="BY187" i="6"/>
  <c r="BY188" i="6" s="1"/>
  <c r="BE179" i="6"/>
  <c r="BE183" i="6" s="1"/>
  <c r="AN178" i="6"/>
  <c r="AN184" i="6" s="1"/>
  <c r="AN189" i="6" s="1"/>
  <c r="AN191" i="6" s="1"/>
  <c r="AN192" i="6" s="1"/>
  <c r="Q180" i="6"/>
  <c r="Q181" i="6"/>
  <c r="Q183" i="6"/>
  <c r="Q182" i="6"/>
  <c r="CJ192" i="6"/>
  <c r="CJ190" i="6" s="1"/>
  <c r="BP194" i="6"/>
  <c r="AO192" i="6"/>
  <c r="AO190" i="6" s="1"/>
  <c r="CY187" i="6"/>
  <c r="CY188" i="6" s="1"/>
  <c r="CJ195" i="6"/>
  <c r="AQ188" i="6"/>
  <c r="F208" i="6"/>
  <c r="F25" i="6" s="1"/>
  <c r="F188" i="6"/>
  <c r="R187" i="6"/>
  <c r="R208" i="6" s="1"/>
  <c r="R25" i="6" s="1"/>
  <c r="BK178" i="6"/>
  <c r="BK184" i="6" s="1"/>
  <c r="BK189" i="6" s="1"/>
  <c r="CJ182" i="6"/>
  <c r="CL187" i="6"/>
  <c r="CL208" i="6" s="1"/>
  <c r="CL25" i="6" s="1"/>
  <c r="BH184" i="6"/>
  <c r="BH189" i="6" s="1"/>
  <c r="BH191" i="6" s="1"/>
  <c r="BH194" i="6" s="1"/>
  <c r="CD179" i="6"/>
  <c r="CD182" i="6" s="1"/>
  <c r="AQ184" i="6"/>
  <c r="AQ189" i="6" s="1"/>
  <c r="AQ191" i="6" s="1"/>
  <c r="AQ195" i="6" s="1"/>
  <c r="BG187" i="6"/>
  <c r="BG208" i="6" s="1"/>
  <c r="BG25" i="6" s="1"/>
  <c r="AU188" i="6"/>
  <c r="CM188" i="6"/>
  <c r="AT187" i="6"/>
  <c r="AT188" i="6" s="1"/>
  <c r="CL178" i="6"/>
  <c r="BI191" i="6"/>
  <c r="BI192" i="6" s="1"/>
  <c r="CW191" i="6"/>
  <c r="CW192" i="6" s="1"/>
  <c r="CW190" i="6" s="1"/>
  <c r="BI208" i="6"/>
  <c r="BI25" i="6" s="1"/>
  <c r="BP192" i="6"/>
  <c r="BP209" i="6" s="1"/>
  <c r="CJ183" i="6"/>
  <c r="CJ181" i="6"/>
  <c r="BF208" i="6"/>
  <c r="BF25" i="6" s="1"/>
  <c r="AS184" i="6"/>
  <c r="AS189" i="6" s="1"/>
  <c r="AS191" i="6" s="1"/>
  <c r="AH178" i="6"/>
  <c r="AH179" i="6" s="1"/>
  <c r="BL178" i="6"/>
  <c r="BL179" i="6" s="1"/>
  <c r="H178" i="6"/>
  <c r="H179" i="6" s="1"/>
  <c r="AI187" i="6"/>
  <c r="AI208" i="6" s="1"/>
  <c r="AI25" i="6" s="1"/>
  <c r="AE187" i="6"/>
  <c r="AE188" i="6" s="1"/>
  <c r="BX208" i="6"/>
  <c r="BX25" i="6" s="1"/>
  <c r="O188" i="6"/>
  <c r="AU184" i="6"/>
  <c r="AU189" i="6" s="1"/>
  <c r="AU191" i="6" s="1"/>
  <c r="AU195" i="6" s="1"/>
  <c r="AO194" i="6"/>
  <c r="AN188" i="6"/>
  <c r="AN208" i="6"/>
  <c r="AN25" i="6" s="1"/>
  <c r="AS208" i="6"/>
  <c r="AS25" i="6" s="1"/>
  <c r="CX187" i="6"/>
  <c r="CX188" i="6" s="1"/>
  <c r="CQ188" i="6"/>
  <c r="CA194" i="6"/>
  <c r="BL187" i="6"/>
  <c r="BL188" i="6" s="1"/>
  <c r="BW192" i="6"/>
  <c r="BW196" i="6" s="1"/>
  <c r="CH208" i="6"/>
  <c r="CH25" i="6" s="1"/>
  <c r="CA192" i="6"/>
  <c r="CA196" i="6" s="1"/>
  <c r="V187" i="6"/>
  <c r="V208" i="6" s="1"/>
  <c r="V25" i="6" s="1"/>
  <c r="BW195" i="6"/>
  <c r="CX178" i="6"/>
  <c r="CX179" i="6" s="1"/>
  <c r="R178" i="6"/>
  <c r="R179" i="6" s="1"/>
  <c r="CU191" i="6"/>
  <c r="CU195" i="6" s="1"/>
  <c r="BJ178" i="6"/>
  <c r="BJ184" i="6" s="1"/>
  <c r="BJ189" i="6" s="1"/>
  <c r="BV178" i="6"/>
  <c r="BV179" i="6" s="1"/>
  <c r="AE178" i="6"/>
  <c r="AE179" i="6" s="1"/>
  <c r="BR178" i="6"/>
  <c r="BR179" i="6" s="1"/>
  <c r="BX184" i="6"/>
  <c r="BX189" i="6" s="1"/>
  <c r="BX191" i="6" s="1"/>
  <c r="BX179" i="6"/>
  <c r="AQ183" i="6"/>
  <c r="AQ180" i="6"/>
  <c r="AQ181" i="6"/>
  <c r="AQ182" i="6"/>
  <c r="BD178" i="6"/>
  <c r="BD179" i="6" s="1"/>
  <c r="J208" i="6"/>
  <c r="J25" i="6" s="1"/>
  <c r="AR179" i="6"/>
  <c r="AR184" i="6"/>
  <c r="AR189" i="6" s="1"/>
  <c r="AR191" i="6" s="1"/>
  <c r="BC178" i="6"/>
  <c r="BC179" i="6" s="1"/>
  <c r="BB178" i="6"/>
  <c r="BB184" i="6" s="1"/>
  <c r="BB189" i="6" s="1"/>
  <c r="AX188" i="6"/>
  <c r="AX208" i="6"/>
  <c r="AX25" i="6" s="1"/>
  <c r="S188" i="6"/>
  <c r="S208" i="6"/>
  <c r="S25" i="6" s="1"/>
  <c r="U179" i="6"/>
  <c r="U184" i="6"/>
  <c r="U189" i="6" s="1"/>
  <c r="U191" i="6" s="1"/>
  <c r="CM182" i="6"/>
  <c r="CM181" i="6"/>
  <c r="CF178" i="6"/>
  <c r="BH180" i="6"/>
  <c r="BH181" i="6"/>
  <c r="BH182" i="6"/>
  <c r="BH183" i="6"/>
  <c r="BG178" i="6"/>
  <c r="BY178" i="6"/>
  <c r="W182" i="6"/>
  <c r="W183" i="6"/>
  <c r="W180" i="6"/>
  <c r="W181" i="6"/>
  <c r="CO190" i="6"/>
  <c r="CO197" i="6"/>
  <c r="CO196" i="6"/>
  <c r="CO209" i="6"/>
  <c r="BU179" i="6"/>
  <c r="BU184" i="6"/>
  <c r="BU189" i="6" s="1"/>
  <c r="CD195" i="6"/>
  <c r="CD194" i="6"/>
  <c r="CD192" i="6"/>
  <c r="CU188" i="6"/>
  <c r="CU208" i="6"/>
  <c r="CU25" i="6" s="1"/>
  <c r="AY180" i="6"/>
  <c r="V178" i="6"/>
  <c r="AS180" i="6"/>
  <c r="AS181" i="6"/>
  <c r="AS183" i="6"/>
  <c r="AS182" i="6"/>
  <c r="BV208" i="6"/>
  <c r="BV25" i="6" s="1"/>
  <c r="BV188" i="6"/>
  <c r="CV181" i="6"/>
  <c r="CV183" i="6"/>
  <c r="CV180" i="6"/>
  <c r="CV182" i="6"/>
  <c r="AU183" i="6"/>
  <c r="AI178" i="6"/>
  <c r="CY178" i="6"/>
  <c r="CC188" i="6"/>
  <c r="CC208" i="6"/>
  <c r="CC25" i="6" s="1"/>
  <c r="BK187" i="6"/>
  <c r="AF190" i="6"/>
  <c r="AF196" i="6"/>
  <c r="AF209" i="6"/>
  <c r="AF197" i="6"/>
  <c r="AW180" i="6"/>
  <c r="AW182" i="6"/>
  <c r="AW183" i="6"/>
  <c r="AW181" i="6"/>
  <c r="BZ179" i="6"/>
  <c r="BZ184" i="6"/>
  <c r="BZ189" i="6" s="1"/>
  <c r="BZ191" i="6" s="1"/>
  <c r="CT183" i="6"/>
  <c r="CT181" i="6"/>
  <c r="CT180" i="6"/>
  <c r="CT182" i="6"/>
  <c r="AY195" i="6"/>
  <c r="AY194" i="6"/>
  <c r="AY192" i="6"/>
  <c r="X208" i="6"/>
  <c r="X25" i="6" s="1"/>
  <c r="X188" i="6"/>
  <c r="AO197" i="6"/>
  <c r="S178" i="6"/>
  <c r="AV183" i="6"/>
  <c r="AV182" i="6"/>
  <c r="AV180" i="6"/>
  <c r="AV181" i="6"/>
  <c r="W194" i="6"/>
  <c r="W195" i="6"/>
  <c r="W192" i="6"/>
  <c r="CF188" i="6"/>
  <c r="CF208" i="6"/>
  <c r="CF25" i="6" s="1"/>
  <c r="CP179" i="6"/>
  <c r="CP184" i="6"/>
  <c r="CP189" i="6" s="1"/>
  <c r="CP191" i="6" s="1"/>
  <c r="CC178" i="6"/>
  <c r="H208" i="6"/>
  <c r="H25" i="6" s="1"/>
  <c r="H188" i="6"/>
  <c r="BR187" i="6"/>
  <c r="CJ95" i="6" l="1"/>
  <c r="CE104" i="6"/>
  <c r="I191" i="6"/>
  <c r="I195" i="6" s="1"/>
  <c r="BD95" i="6"/>
  <c r="F104" i="6"/>
  <c r="CM180" i="6"/>
  <c r="CQ183" i="6"/>
  <c r="CQ181" i="6"/>
  <c r="I188" i="6"/>
  <c r="CQ180" i="6"/>
  <c r="AV208" i="6"/>
  <c r="AV25" i="6" s="1"/>
  <c r="CF103" i="6"/>
  <c r="L104" i="6"/>
  <c r="CG179" i="6"/>
  <c r="CG182" i="6" s="1"/>
  <c r="CF94" i="6"/>
  <c r="AS104" i="6"/>
  <c r="J179" i="6"/>
  <c r="J180" i="6" s="1"/>
  <c r="AN84" i="6"/>
  <c r="AN90" i="6" s="1"/>
  <c r="P84" i="6"/>
  <c r="P90" i="6" s="1"/>
  <c r="BS83" i="6"/>
  <c r="BS89" i="6" s="1"/>
  <c r="CJ94" i="6"/>
  <c r="CI208" i="6"/>
  <c r="CI25" i="6" s="1"/>
  <c r="CN179" i="6"/>
  <c r="CN182" i="6" s="1"/>
  <c r="AD192" i="6"/>
  <c r="AO180" i="6"/>
  <c r="AO182" i="6"/>
  <c r="AT179" i="6"/>
  <c r="AT183" i="6" s="1"/>
  <c r="AD195" i="6"/>
  <c r="CI191" i="6"/>
  <c r="CI195" i="6" s="1"/>
  <c r="N85" i="6"/>
  <c r="N91" i="6" s="1"/>
  <c r="CB181" i="6"/>
  <c r="CB183" i="6"/>
  <c r="CB182" i="6"/>
  <c r="CB180" i="6"/>
  <c r="AX179" i="6"/>
  <c r="AX183" i="6" s="1"/>
  <c r="AO183" i="6"/>
  <c r="N87" i="6"/>
  <c r="N93" i="6" s="1"/>
  <c r="CJ103" i="6"/>
  <c r="CJ105" i="6" s="1"/>
  <c r="CH105" i="6"/>
  <c r="CH126" i="6" s="1"/>
  <c r="CH21" i="6" s="1"/>
  <c r="P83" i="6"/>
  <c r="P89" i="6" s="1"/>
  <c r="P95" i="6" s="1"/>
  <c r="CV192" i="6"/>
  <c r="CV197" i="6" s="1"/>
  <c r="BB188" i="6"/>
  <c r="CV195" i="6"/>
  <c r="BT208" i="6"/>
  <c r="BT25" i="6" s="1"/>
  <c r="CM184" i="6"/>
  <c r="CM189" i="6" s="1"/>
  <c r="CM191" i="6" s="1"/>
  <c r="CM194" i="6" s="1"/>
  <c r="AM194" i="6"/>
  <c r="BB191" i="6"/>
  <c r="AM192" i="6"/>
  <c r="AM197" i="6" s="1"/>
  <c r="CN95" i="6"/>
  <c r="CN96" i="6" s="1"/>
  <c r="CN103" i="6"/>
  <c r="BN184" i="6"/>
  <c r="BN189" i="6" s="1"/>
  <c r="BN179" i="6"/>
  <c r="H86" i="6"/>
  <c r="H92" i="6" s="1"/>
  <c r="AL104" i="6"/>
  <c r="F94" i="6"/>
  <c r="H85" i="6"/>
  <c r="H91" i="6" s="1"/>
  <c r="BN86" i="6"/>
  <c r="BN92" i="6" s="1"/>
  <c r="BN104" i="6" s="1"/>
  <c r="H82" i="6"/>
  <c r="H88" i="6" s="1"/>
  <c r="V82" i="6"/>
  <c r="V88" i="6" s="1"/>
  <c r="BP86" i="6"/>
  <c r="BP92" i="6" s="1"/>
  <c r="V84" i="6"/>
  <c r="V90" i="6" s="1"/>
  <c r="AI94" i="6"/>
  <c r="CA95" i="6"/>
  <c r="AZ83" i="6"/>
  <c r="AZ89" i="6" s="1"/>
  <c r="AZ94" i="6" s="1"/>
  <c r="CY104" i="6"/>
  <c r="BD103" i="6"/>
  <c r="BD105" i="6" s="1"/>
  <c r="BD126" i="6" s="1"/>
  <c r="BD21" i="6" s="1"/>
  <c r="AC94" i="6"/>
  <c r="BD94" i="6"/>
  <c r="BD96" i="6" s="1"/>
  <c r="CA94" i="6"/>
  <c r="I84" i="6"/>
  <c r="I90" i="6" s="1"/>
  <c r="AC103" i="6"/>
  <c r="AC105" i="6" s="1"/>
  <c r="AC106" i="6" s="1"/>
  <c r="I86" i="6"/>
  <c r="I92" i="6" s="1"/>
  <c r="I85" i="6"/>
  <c r="I91" i="6" s="1"/>
  <c r="CZ104" i="6"/>
  <c r="CZ105" i="6" s="1"/>
  <c r="AI95" i="6"/>
  <c r="AY86" i="6"/>
  <c r="AY92" i="6" s="1"/>
  <c r="AI103" i="6"/>
  <c r="AI105" i="6" s="1"/>
  <c r="AI126" i="6" s="1"/>
  <c r="AI21" i="6" s="1"/>
  <c r="CA103" i="6"/>
  <c r="M95" i="6"/>
  <c r="BW85" i="6"/>
  <c r="BW91" i="6" s="1"/>
  <c r="CZ94" i="6"/>
  <c r="I83" i="6"/>
  <c r="I89" i="6" s="1"/>
  <c r="AO95" i="6"/>
  <c r="AM104" i="6"/>
  <c r="H84" i="6"/>
  <c r="H90" i="6" s="1"/>
  <c r="CT95" i="6"/>
  <c r="M94" i="6"/>
  <c r="M96" i="6" s="1"/>
  <c r="BQ95" i="6"/>
  <c r="AO94" i="6"/>
  <c r="BQ94" i="6"/>
  <c r="AO103" i="6"/>
  <c r="AO105" i="6" s="1"/>
  <c r="AO126" i="6" s="1"/>
  <c r="AO21" i="6" s="1"/>
  <c r="BQ103" i="6"/>
  <c r="DA83" i="6"/>
  <c r="DA89" i="6" s="1"/>
  <c r="DA84" i="6"/>
  <c r="DA90" i="6" s="1"/>
  <c r="CV86" i="6"/>
  <c r="CV92" i="6" s="1"/>
  <c r="BP82" i="6"/>
  <c r="BP88" i="6" s="1"/>
  <c r="CV87" i="6"/>
  <c r="CV93" i="6" s="1"/>
  <c r="BP83" i="6"/>
  <c r="BP89" i="6" s="1"/>
  <c r="AH104" i="6"/>
  <c r="AA86" i="6"/>
  <c r="AA92" i="6" s="1"/>
  <c r="AA85" i="6"/>
  <c r="AA91" i="6" s="1"/>
  <c r="BW82" i="6"/>
  <c r="BW88" i="6" s="1"/>
  <c r="BW83" i="6"/>
  <c r="BW89" i="6" s="1"/>
  <c r="BW87" i="6"/>
  <c r="BW93" i="6" s="1"/>
  <c r="AC95" i="6"/>
  <c r="AC96" i="6" s="1"/>
  <c r="CT94" i="6"/>
  <c r="BP87" i="6"/>
  <c r="BP93" i="6" s="1"/>
  <c r="M103" i="6"/>
  <c r="CZ95" i="6"/>
  <c r="CD104" i="6"/>
  <c r="BG104" i="6"/>
  <c r="BX95" i="6"/>
  <c r="BX103" i="6"/>
  <c r="CI104" i="6"/>
  <c r="BI104" i="6"/>
  <c r="AY87" i="6"/>
  <c r="AY93" i="6" s="1"/>
  <c r="AG94" i="6"/>
  <c r="CR95" i="6"/>
  <c r="CR103" i="6"/>
  <c r="CR94" i="6"/>
  <c r="CT103" i="6"/>
  <c r="AG95" i="6"/>
  <c r="AG103" i="6"/>
  <c r="BZ103" i="6"/>
  <c r="BZ105" i="6" s="1"/>
  <c r="CJ96" i="6"/>
  <c r="BA104" i="6"/>
  <c r="CT104" i="6"/>
  <c r="Z87" i="6"/>
  <c r="Z93" i="6" s="1"/>
  <c r="F103" i="6"/>
  <c r="F105" i="6" s="1"/>
  <c r="F95" i="6"/>
  <c r="BX94" i="6"/>
  <c r="X94" i="6"/>
  <c r="X103" i="6"/>
  <c r="X95" i="6"/>
  <c r="CC95" i="6"/>
  <c r="CC103" i="6"/>
  <c r="CC94" i="6"/>
  <c r="U86" i="6"/>
  <c r="U92" i="6" s="1"/>
  <c r="AZ103" i="6"/>
  <c r="CP104" i="6"/>
  <c r="AZ95" i="6"/>
  <c r="Z86" i="6"/>
  <c r="Z92" i="6" s="1"/>
  <c r="U85" i="6"/>
  <c r="U91" i="6" s="1"/>
  <c r="Q86" i="6"/>
  <c r="Q92" i="6" s="1"/>
  <c r="CP95" i="6"/>
  <c r="CP103" i="6"/>
  <c r="CP94" i="6"/>
  <c r="CM82" i="6"/>
  <c r="CM88" i="6" s="1"/>
  <c r="AX103" i="6"/>
  <c r="AX94" i="6"/>
  <c r="AX95" i="6"/>
  <c r="CC105" i="6"/>
  <c r="CC106" i="6" s="1"/>
  <c r="DA104" i="6"/>
  <c r="BU94" i="6"/>
  <c r="BU103" i="6"/>
  <c r="BU95" i="6"/>
  <c r="Q87" i="6"/>
  <c r="Q93" i="6" s="1"/>
  <c r="BZ94" i="6"/>
  <c r="BZ96" i="6" s="1"/>
  <c r="K104" i="6"/>
  <c r="Y94" i="6"/>
  <c r="CA104" i="6"/>
  <c r="BL104" i="6"/>
  <c r="K94" i="6"/>
  <c r="K95" i="6"/>
  <c r="K103" i="6"/>
  <c r="AZ86" i="6"/>
  <c r="AZ92" i="6" s="1"/>
  <c r="CM84" i="6"/>
  <c r="CM90" i="6" s="1"/>
  <c r="AZ87" i="6"/>
  <c r="AZ93" i="6" s="1"/>
  <c r="V103" i="6"/>
  <c r="V105" i="6" s="1"/>
  <c r="V94" i="6"/>
  <c r="V95" i="6"/>
  <c r="BF87" i="6"/>
  <c r="BF93" i="6" s="1"/>
  <c r="BF82" i="6"/>
  <c r="BF88" i="6" s="1"/>
  <c r="BT104" i="6"/>
  <c r="BF85" i="6"/>
  <c r="BF91" i="6" s="1"/>
  <c r="BF83" i="6"/>
  <c r="BF89" i="6" s="1"/>
  <c r="CW94" i="6"/>
  <c r="CW95" i="6"/>
  <c r="CW103" i="6"/>
  <c r="CW105" i="6" s="1"/>
  <c r="CW126" i="6" s="1"/>
  <c r="CW21" i="6" s="1"/>
  <c r="CL103" i="6"/>
  <c r="CL95" i="6"/>
  <c r="CL94" i="6"/>
  <c r="O82" i="6"/>
  <c r="O88" i="6" s="1"/>
  <c r="AQ87" i="6"/>
  <c r="AQ93" i="6" s="1"/>
  <c r="Y103" i="6"/>
  <c r="O84" i="6"/>
  <c r="O90" i="6" s="1"/>
  <c r="AQ85" i="6"/>
  <c r="AQ91" i="6" s="1"/>
  <c r="Y95" i="6"/>
  <c r="AD104" i="6"/>
  <c r="X104" i="6"/>
  <c r="BX104" i="6"/>
  <c r="CG95" i="6"/>
  <c r="CG94" i="6"/>
  <c r="CG103" i="6"/>
  <c r="AW95" i="6"/>
  <c r="AW103" i="6"/>
  <c r="AW105" i="6" s="1"/>
  <c r="AW106" i="6" s="1"/>
  <c r="AW94" i="6"/>
  <c r="AS94" i="6"/>
  <c r="CU104" i="6"/>
  <c r="W94" i="6"/>
  <c r="W103" i="6"/>
  <c r="W95" i="6"/>
  <c r="AN95" i="6"/>
  <c r="AN103" i="6"/>
  <c r="AN94" i="6"/>
  <c r="CD94" i="6"/>
  <c r="CD103" i="6"/>
  <c r="CD95" i="6"/>
  <c r="AE103" i="6"/>
  <c r="AE105" i="6" s="1"/>
  <c r="AE94" i="6"/>
  <c r="AE95" i="6"/>
  <c r="CF96" i="6"/>
  <c r="CF97" i="6" s="1"/>
  <c r="BL94" i="6"/>
  <c r="BL95" i="6"/>
  <c r="BL103" i="6"/>
  <c r="W104" i="6"/>
  <c r="CH106" i="6"/>
  <c r="CS192" i="6"/>
  <c r="CS195" i="6"/>
  <c r="CS194" i="6"/>
  <c r="P183" i="6"/>
  <c r="CS179" i="6"/>
  <c r="CB104" i="6"/>
  <c r="BU104" i="6"/>
  <c r="AO209" i="6"/>
  <c r="AU180" i="6"/>
  <c r="CU183" i="6"/>
  <c r="BJ104" i="6"/>
  <c r="CK95" i="6"/>
  <c r="CK103" i="6"/>
  <c r="CK105" i="6" s="1"/>
  <c r="CK126" i="6" s="1"/>
  <c r="CK21" i="6" s="1"/>
  <c r="CK94" i="6"/>
  <c r="AU181" i="6"/>
  <c r="AY182" i="6"/>
  <c r="CU182" i="6"/>
  <c r="CE190" i="6"/>
  <c r="CE199" i="6" s="1"/>
  <c r="BS104" i="6"/>
  <c r="CO104" i="6"/>
  <c r="H104" i="6"/>
  <c r="T104" i="6"/>
  <c r="AY181" i="6"/>
  <c r="BD188" i="6"/>
  <c r="BU188" i="6"/>
  <c r="AA184" i="6"/>
  <c r="AA189" i="6" s="1"/>
  <c r="AA191" i="6" s="1"/>
  <c r="AA195" i="6" s="1"/>
  <c r="CR104" i="6"/>
  <c r="P181" i="6"/>
  <c r="G104" i="6"/>
  <c r="Y104" i="6"/>
  <c r="AR96" i="6"/>
  <c r="N179" i="6"/>
  <c r="BM184" i="6"/>
  <c r="BM189" i="6" s="1"/>
  <c r="BM191" i="6" s="1"/>
  <c r="AQ82" i="6"/>
  <c r="AQ88" i="6" s="1"/>
  <c r="AQ83" i="6"/>
  <c r="AQ89" i="6" s="1"/>
  <c r="AQ84" i="6"/>
  <c r="AQ90" i="6" s="1"/>
  <c r="AA83" i="6"/>
  <c r="AA89" i="6" s="1"/>
  <c r="AA82" i="6"/>
  <c r="AA88" i="6" s="1"/>
  <c r="AA84" i="6"/>
  <c r="AA90" i="6" s="1"/>
  <c r="BC82" i="6"/>
  <c r="BC88" i="6" s="1"/>
  <c r="BC83" i="6"/>
  <c r="BC89" i="6" s="1"/>
  <c r="BC84" i="6"/>
  <c r="BC90" i="6" s="1"/>
  <c r="CX103" i="6"/>
  <c r="CX94" i="6"/>
  <c r="CX95" i="6"/>
  <c r="BQ104" i="6"/>
  <c r="CS95" i="6"/>
  <c r="CS94" i="6"/>
  <c r="CS103" i="6"/>
  <c r="CS105" i="6" s="1"/>
  <c r="AF87" i="6"/>
  <c r="AF93" i="6" s="1"/>
  <c r="AF86" i="6"/>
  <c r="AF92" i="6" s="1"/>
  <c r="AF85" i="6"/>
  <c r="AF91" i="6" s="1"/>
  <c r="CQ85" i="6"/>
  <c r="CQ91" i="6" s="1"/>
  <c r="CQ86" i="6"/>
  <c r="CQ92" i="6" s="1"/>
  <c r="CQ87" i="6"/>
  <c r="CQ93" i="6" s="1"/>
  <c r="N104" i="6"/>
  <c r="CU94" i="6"/>
  <c r="CU103" i="6"/>
  <c r="CU95" i="6"/>
  <c r="R104" i="6"/>
  <c r="L94" i="6"/>
  <c r="L95" i="6"/>
  <c r="L103" i="6"/>
  <c r="L105" i="6" s="1"/>
  <c r="AY84" i="6"/>
  <c r="AY90" i="6" s="1"/>
  <c r="AY83" i="6"/>
  <c r="AY89" i="6" s="1"/>
  <c r="AY82" i="6"/>
  <c r="AY88" i="6" s="1"/>
  <c r="BT95" i="6"/>
  <c r="BT94" i="6"/>
  <c r="BT103" i="6"/>
  <c r="AV83" i="6"/>
  <c r="AV89" i="6" s="1"/>
  <c r="AV82" i="6"/>
  <c r="AV88" i="6" s="1"/>
  <c r="AV84" i="6"/>
  <c r="AV90" i="6" s="1"/>
  <c r="CO94" i="6"/>
  <c r="CO95" i="6"/>
  <c r="CO103" i="6"/>
  <c r="CL104" i="6"/>
  <c r="CG104" i="6"/>
  <c r="BH84" i="6"/>
  <c r="BH90" i="6" s="1"/>
  <c r="BH83" i="6"/>
  <c r="BH89" i="6" s="1"/>
  <c r="BH82" i="6"/>
  <c r="BH88" i="6" s="1"/>
  <c r="AX104" i="6"/>
  <c r="CB103" i="6"/>
  <c r="CB94" i="6"/>
  <c r="CB95" i="6"/>
  <c r="R95" i="6"/>
  <c r="R103" i="6"/>
  <c r="R94" i="6"/>
  <c r="O86" i="6"/>
  <c r="O92" i="6" s="1"/>
  <c r="O87" i="6"/>
  <c r="O93" i="6" s="1"/>
  <c r="O85" i="6"/>
  <c r="O91" i="6" s="1"/>
  <c r="BG103" i="6"/>
  <c r="BG95" i="6"/>
  <c r="BG94" i="6"/>
  <c r="BK103" i="6"/>
  <c r="BK105" i="6" s="1"/>
  <c r="BK95" i="6"/>
  <c r="BK94" i="6"/>
  <c r="BY84" i="6"/>
  <c r="BY90" i="6" s="1"/>
  <c r="BY82" i="6"/>
  <c r="BY88" i="6" s="1"/>
  <c r="BY83" i="6"/>
  <c r="BY89" i="6" s="1"/>
  <c r="AM95" i="6"/>
  <c r="AM103" i="6"/>
  <c r="G95" i="6"/>
  <c r="G103" i="6"/>
  <c r="G94" i="6"/>
  <c r="BA94" i="6"/>
  <c r="BA103" i="6"/>
  <c r="BA95" i="6"/>
  <c r="BE103" i="6"/>
  <c r="BE94" i="6"/>
  <c r="BE95" i="6"/>
  <c r="AO106" i="6"/>
  <c r="CV83" i="6"/>
  <c r="CV89" i="6" s="1"/>
  <c r="CV84" i="6"/>
  <c r="CV90" i="6" s="1"/>
  <c r="CV82" i="6"/>
  <c r="CV88" i="6" s="1"/>
  <c r="AB95" i="6"/>
  <c r="AB103" i="6"/>
  <c r="AB105" i="6" s="1"/>
  <c r="AB94" i="6"/>
  <c r="AL103" i="6"/>
  <c r="AL94" i="6"/>
  <c r="AL95" i="6"/>
  <c r="AU95" i="6"/>
  <c r="AU94" i="6"/>
  <c r="AU103" i="6"/>
  <c r="AU105" i="6" s="1"/>
  <c r="AU106" i="6" s="1"/>
  <c r="AR104" i="6"/>
  <c r="AR105" i="6" s="1"/>
  <c r="CH96" i="6"/>
  <c r="U82" i="6"/>
  <c r="U88" i="6" s="1"/>
  <c r="U83" i="6"/>
  <c r="U89" i="6" s="1"/>
  <c r="U84" i="6"/>
  <c r="U90" i="6" s="1"/>
  <c r="AT83" i="6"/>
  <c r="AT89" i="6" s="1"/>
  <c r="AT82" i="6"/>
  <c r="AT88" i="6" s="1"/>
  <c r="AT84" i="6"/>
  <c r="AT90" i="6" s="1"/>
  <c r="BJ94" i="6"/>
  <c r="BJ95" i="6"/>
  <c r="BJ103" i="6"/>
  <c r="AM94" i="6"/>
  <c r="BS94" i="6"/>
  <c r="BS103" i="6"/>
  <c r="BS95" i="6"/>
  <c r="S85" i="6"/>
  <c r="S91" i="6" s="1"/>
  <c r="S86" i="6"/>
  <c r="S92" i="6" s="1"/>
  <c r="S87" i="6"/>
  <c r="S93" i="6" s="1"/>
  <c r="AV85" i="6"/>
  <c r="AV91" i="6" s="1"/>
  <c r="AV86" i="6"/>
  <c r="AV92" i="6" s="1"/>
  <c r="AV87" i="6"/>
  <c r="AV93" i="6" s="1"/>
  <c r="CQ82" i="6"/>
  <c r="CQ88" i="6" s="1"/>
  <c r="CQ83" i="6"/>
  <c r="CQ89" i="6" s="1"/>
  <c r="CQ84" i="6"/>
  <c r="CQ90" i="6" s="1"/>
  <c r="T95" i="6"/>
  <c r="T94" i="6"/>
  <c r="T103" i="6"/>
  <c r="BR87" i="6"/>
  <c r="BR93" i="6" s="1"/>
  <c r="BR86" i="6"/>
  <c r="BR92" i="6" s="1"/>
  <c r="BR85" i="6"/>
  <c r="BR91" i="6" s="1"/>
  <c r="BM103" i="6"/>
  <c r="BM105" i="6" s="1"/>
  <c r="BM95" i="6"/>
  <c r="BM94" i="6"/>
  <c r="AN104" i="6"/>
  <c r="BR83" i="6"/>
  <c r="BR89" i="6" s="1"/>
  <c r="BR84" i="6"/>
  <c r="BR90" i="6" s="1"/>
  <c r="BR82" i="6"/>
  <c r="BR88" i="6" s="1"/>
  <c r="AD95" i="6"/>
  <c r="AD103" i="6"/>
  <c r="AD94" i="6"/>
  <c r="AP104" i="6"/>
  <c r="N83" i="6"/>
  <c r="N89" i="6" s="1"/>
  <c r="N84" i="6"/>
  <c r="N90" i="6" s="1"/>
  <c r="N82" i="6"/>
  <c r="N88" i="6" s="1"/>
  <c r="BO103" i="6"/>
  <c r="BO105" i="6" s="1"/>
  <c r="BO95" i="6"/>
  <c r="BO94" i="6"/>
  <c r="BN94" i="6"/>
  <c r="BN95" i="6"/>
  <c r="BN103" i="6"/>
  <c r="AS103" i="6"/>
  <c r="AS105" i="6" s="1"/>
  <c r="AS95" i="6"/>
  <c r="BH85" i="6"/>
  <c r="BH91" i="6" s="1"/>
  <c r="BH86" i="6"/>
  <c r="BH92" i="6" s="1"/>
  <c r="BH87" i="6"/>
  <c r="BH93" i="6" s="1"/>
  <c r="CM85" i="6"/>
  <c r="CM91" i="6" s="1"/>
  <c r="CM86" i="6"/>
  <c r="CM92" i="6" s="1"/>
  <c r="CM87" i="6"/>
  <c r="CM93" i="6" s="1"/>
  <c r="M104" i="6"/>
  <c r="BI95" i="6"/>
  <c r="BI103" i="6"/>
  <c r="BI94" i="6"/>
  <c r="AP95" i="6"/>
  <c r="AP94" i="6"/>
  <c r="AP103" i="6"/>
  <c r="BB104" i="6"/>
  <c r="CF104" i="6"/>
  <c r="CF105" i="6" s="1"/>
  <c r="BB95" i="6"/>
  <c r="BB103" i="6"/>
  <c r="BB94" i="6"/>
  <c r="J103" i="6"/>
  <c r="J105" i="6" s="1"/>
  <c r="J95" i="6"/>
  <c r="J94" i="6"/>
  <c r="CY95" i="6"/>
  <c r="CY103" i="6"/>
  <c r="CY105" i="6" s="1"/>
  <c r="CY94" i="6"/>
  <c r="BC87" i="6"/>
  <c r="BC93" i="6" s="1"/>
  <c r="BC86" i="6"/>
  <c r="BC92" i="6" s="1"/>
  <c r="BC85" i="6"/>
  <c r="BC91" i="6" s="1"/>
  <c r="AT86" i="6"/>
  <c r="AT92" i="6" s="1"/>
  <c r="AT87" i="6"/>
  <c r="AT93" i="6" s="1"/>
  <c r="AT85" i="6"/>
  <c r="AT91" i="6" s="1"/>
  <c r="CI94" i="6"/>
  <c r="CI103" i="6"/>
  <c r="CI105" i="6" s="1"/>
  <c r="CI95" i="6"/>
  <c r="CE103" i="6"/>
  <c r="CE105" i="6" s="1"/>
  <c r="CE95" i="6"/>
  <c r="CE94" i="6"/>
  <c r="Z83" i="6"/>
  <c r="Z89" i="6" s="1"/>
  <c r="Z84" i="6"/>
  <c r="Z90" i="6" s="1"/>
  <c r="Z82" i="6"/>
  <c r="Z88" i="6" s="1"/>
  <c r="S84" i="6"/>
  <c r="S90" i="6" s="1"/>
  <c r="S83" i="6"/>
  <c r="S89" i="6" s="1"/>
  <c r="S82" i="6"/>
  <c r="S88" i="6" s="1"/>
  <c r="AJ103" i="6"/>
  <c r="AJ95" i="6"/>
  <c r="AJ94" i="6"/>
  <c r="AH95" i="6"/>
  <c r="AH103" i="6"/>
  <c r="AH105" i="6" s="1"/>
  <c r="AH94" i="6"/>
  <c r="BV95" i="6"/>
  <c r="BV103" i="6"/>
  <c r="BV105" i="6" s="1"/>
  <c r="BV94" i="6"/>
  <c r="CN104" i="6"/>
  <c r="CN105" i="6" s="1"/>
  <c r="CN126" i="6" s="1"/>
  <c r="CN21" i="6" s="1"/>
  <c r="AG104" i="6"/>
  <c r="BE104" i="6"/>
  <c r="AI96" i="6"/>
  <c r="AJ104" i="6"/>
  <c r="P86" i="6"/>
  <c r="P92" i="6" s="1"/>
  <c r="P87" i="6"/>
  <c r="P93" i="6" s="1"/>
  <c r="P85" i="6"/>
  <c r="P91" i="6" s="1"/>
  <c r="Q84" i="6"/>
  <c r="Q90" i="6" s="1"/>
  <c r="Q82" i="6"/>
  <c r="Q88" i="6" s="1"/>
  <c r="Q83" i="6"/>
  <c r="Q89" i="6" s="1"/>
  <c r="AF82" i="6"/>
  <c r="AF88" i="6" s="1"/>
  <c r="AF84" i="6"/>
  <c r="AF90" i="6" s="1"/>
  <c r="AF83" i="6"/>
  <c r="AF89" i="6" s="1"/>
  <c r="BY85" i="6"/>
  <c r="BY91" i="6" s="1"/>
  <c r="BY87" i="6"/>
  <c r="BY93" i="6" s="1"/>
  <c r="BY86" i="6"/>
  <c r="BY92" i="6" s="1"/>
  <c r="CX104" i="6"/>
  <c r="AK94" i="6"/>
  <c r="AK95" i="6"/>
  <c r="AK103" i="6"/>
  <c r="AK105" i="6" s="1"/>
  <c r="CK26" i="6"/>
  <c r="HL8" i="6"/>
  <c r="T195" i="6"/>
  <c r="T192" i="6"/>
  <c r="T196" i="6" s="1"/>
  <c r="T194" i="6"/>
  <c r="CU181" i="6"/>
  <c r="CE180" i="6"/>
  <c r="AH208" i="6"/>
  <c r="AH25" i="6" s="1"/>
  <c r="AZ192" i="6"/>
  <c r="AZ190" i="6" s="1"/>
  <c r="AZ199" i="6" s="1"/>
  <c r="BY208" i="6"/>
  <c r="BY25" i="6" s="1"/>
  <c r="CE182" i="6"/>
  <c r="BC208" i="6"/>
  <c r="BC25" i="6" s="1"/>
  <c r="Z182" i="6"/>
  <c r="CE181" i="6"/>
  <c r="P182" i="6"/>
  <c r="BN188" i="6"/>
  <c r="BT191" i="6"/>
  <c r="BT195" i="6" s="1"/>
  <c r="BQ184" i="6"/>
  <c r="BQ189" i="6" s="1"/>
  <c r="BQ191" i="6" s="1"/>
  <c r="BQ195" i="6" s="1"/>
  <c r="AW192" i="6"/>
  <c r="AW209" i="6" s="1"/>
  <c r="BE191" i="6"/>
  <c r="L208" i="6"/>
  <c r="L25" i="6" s="1"/>
  <c r="AW194" i="6"/>
  <c r="X182" i="6"/>
  <c r="BE208" i="6"/>
  <c r="BE25" i="6" s="1"/>
  <c r="X181" i="6"/>
  <c r="BN191" i="6"/>
  <c r="BN195" i="6" s="1"/>
  <c r="CG181" i="6"/>
  <c r="CG180" i="6"/>
  <c r="BA179" i="6"/>
  <c r="CT192" i="6"/>
  <c r="CT190" i="6" s="1"/>
  <c r="CQ184" i="6"/>
  <c r="CQ189" i="6" s="1"/>
  <c r="CQ191" i="6" s="1"/>
  <c r="CQ192" i="6" s="1"/>
  <c r="CQ190" i="6" s="1"/>
  <c r="CG183" i="6"/>
  <c r="BP181" i="6"/>
  <c r="BP182" i="6"/>
  <c r="AM179" i="6"/>
  <c r="T179" i="6"/>
  <c r="BQ180" i="6"/>
  <c r="BQ182" i="6"/>
  <c r="BQ183" i="6"/>
  <c r="BQ181" i="6"/>
  <c r="AA181" i="6"/>
  <c r="Y194" i="6"/>
  <c r="AB195" i="6"/>
  <c r="AT208" i="6"/>
  <c r="AT25" i="6" s="1"/>
  <c r="DA194" i="6"/>
  <c r="AB192" i="6"/>
  <c r="DA192" i="6"/>
  <c r="DA197" i="6" s="1"/>
  <c r="AL179" i="6"/>
  <c r="AL184" i="6"/>
  <c r="AL189" i="6" s="1"/>
  <c r="AL191" i="6" s="1"/>
  <c r="BM180" i="6"/>
  <c r="BM182" i="6"/>
  <c r="BM183" i="6"/>
  <c r="BM181" i="6"/>
  <c r="CR195" i="6"/>
  <c r="CR194" i="6"/>
  <c r="CR192" i="6"/>
  <c r="CR197" i="6" s="1"/>
  <c r="N182" i="6"/>
  <c r="CE209" i="6"/>
  <c r="CE211" i="6" s="1"/>
  <c r="BW183" i="6"/>
  <c r="BW180" i="6"/>
  <c r="CE197" i="6"/>
  <c r="CE200" i="6" s="1"/>
  <c r="AZ195" i="6"/>
  <c r="N180" i="6"/>
  <c r="AK179" i="6"/>
  <c r="AK184" i="6"/>
  <c r="AK189" i="6" s="1"/>
  <c r="AK191" i="6" s="1"/>
  <c r="CR182" i="6"/>
  <c r="CR183" i="6"/>
  <c r="CR181" i="6"/>
  <c r="CR180" i="6"/>
  <c r="CH182" i="6"/>
  <c r="CK211" i="6"/>
  <c r="CH181" i="6"/>
  <c r="CZ182" i="6"/>
  <c r="CH183" i="6"/>
  <c r="CZ184" i="6"/>
  <c r="CZ189" i="6" s="1"/>
  <c r="CZ191" i="6" s="1"/>
  <c r="CZ192" i="6" s="1"/>
  <c r="CG192" i="6"/>
  <c r="CG195" i="6"/>
  <c r="CG194" i="6"/>
  <c r="BA194" i="6"/>
  <c r="BA192" i="6"/>
  <c r="BA195" i="6"/>
  <c r="BW182" i="6"/>
  <c r="BS209" i="6"/>
  <c r="BS211" i="6" s="1"/>
  <c r="Q195" i="6"/>
  <c r="AA188" i="6"/>
  <c r="Z180" i="6"/>
  <c r="Z184" i="6"/>
  <c r="Z189" i="6" s="1"/>
  <c r="Z191" i="6" s="1"/>
  <c r="Z195" i="6" s="1"/>
  <c r="CH184" i="6"/>
  <c r="CH189" i="6" s="1"/>
  <c r="CH191" i="6" s="1"/>
  <c r="CH192" i="6" s="1"/>
  <c r="CH196" i="6" s="1"/>
  <c r="CZ181" i="6"/>
  <c r="Z183" i="6"/>
  <c r="CK196" i="6"/>
  <c r="CK195" i="6"/>
  <c r="CK197" i="6"/>
  <c r="Y192" i="6"/>
  <c r="Y197" i="6" s="1"/>
  <c r="BO184" i="6"/>
  <c r="BO189" i="6" s="1"/>
  <c r="BO191" i="6" s="1"/>
  <c r="BO179" i="6"/>
  <c r="X180" i="6"/>
  <c r="X184" i="6"/>
  <c r="X189" i="6" s="1"/>
  <c r="X191" i="6" s="1"/>
  <c r="X194" i="6" s="1"/>
  <c r="BL184" i="6"/>
  <c r="BL189" i="6" s="1"/>
  <c r="AQ192" i="6"/>
  <c r="AQ197" i="6" s="1"/>
  <c r="Q192" i="6"/>
  <c r="Q197" i="6" s="1"/>
  <c r="M194" i="6"/>
  <c r="M195" i="6"/>
  <c r="M192" i="6"/>
  <c r="M181" i="6"/>
  <c r="M180" i="6"/>
  <c r="M182" i="6"/>
  <c r="M183" i="6"/>
  <c r="AG208" i="6"/>
  <c r="AG25" i="6" s="1"/>
  <c r="CW183" i="6"/>
  <c r="CW182" i="6"/>
  <c r="AG181" i="6"/>
  <c r="BV184" i="6"/>
  <c r="BV189" i="6" s="1"/>
  <c r="BV191" i="6" s="1"/>
  <c r="BV195" i="6" s="1"/>
  <c r="CW180" i="6"/>
  <c r="AG184" i="6"/>
  <c r="AG189" i="6" s="1"/>
  <c r="AG191" i="6" s="1"/>
  <c r="AG195" i="6" s="1"/>
  <c r="AV192" i="6"/>
  <c r="AV195" i="6"/>
  <c r="BU191" i="6"/>
  <c r="BU195" i="6" s="1"/>
  <c r="AJ208" i="6"/>
  <c r="AJ25" i="6" s="1"/>
  <c r="CZ183" i="6"/>
  <c r="G194" i="6"/>
  <c r="CW196" i="6"/>
  <c r="K208" i="6"/>
  <c r="K25" i="6" s="1"/>
  <c r="L184" i="6"/>
  <c r="L189" i="6" s="1"/>
  <c r="L191" i="6" s="1"/>
  <c r="L194" i="6" s="1"/>
  <c r="AJ191" i="6"/>
  <c r="AJ195" i="6" s="1"/>
  <c r="CB197" i="6"/>
  <c r="L180" i="6"/>
  <c r="CR196" i="6"/>
  <c r="CR200" i="6" s="1"/>
  <c r="G192" i="6"/>
  <c r="G209" i="6" s="1"/>
  <c r="G211" i="6" s="1"/>
  <c r="CD183" i="6"/>
  <c r="G182" i="6"/>
  <c r="G181" i="6"/>
  <c r="G183" i="6"/>
  <c r="G180" i="6"/>
  <c r="BP196" i="6"/>
  <c r="CB196" i="6"/>
  <c r="AA182" i="6"/>
  <c r="CK194" i="6"/>
  <c r="CB209" i="6"/>
  <c r="CB210" i="6" s="1"/>
  <c r="K191" i="6"/>
  <c r="L182" i="6"/>
  <c r="AA180" i="6"/>
  <c r="AP184" i="6"/>
  <c r="AP189" i="6" s="1"/>
  <c r="AP191" i="6" s="1"/>
  <c r="CK190" i="6"/>
  <c r="BS196" i="6"/>
  <c r="BS200" i="6" s="1"/>
  <c r="BS190" i="6"/>
  <c r="CT194" i="6"/>
  <c r="AI188" i="6"/>
  <c r="AJ179" i="6"/>
  <c r="AJ180" i="6" s="1"/>
  <c r="L183" i="6"/>
  <c r="P192" i="6"/>
  <c r="P194" i="6"/>
  <c r="P195" i="6"/>
  <c r="CM195" i="6"/>
  <c r="AG182" i="6"/>
  <c r="I179" i="6"/>
  <c r="I180" i="6" s="1"/>
  <c r="BE182" i="6"/>
  <c r="AG180" i="6"/>
  <c r="O184" i="6"/>
  <c r="O189" i="6" s="1"/>
  <c r="O191" i="6" s="1"/>
  <c r="O194" i="6" s="1"/>
  <c r="BE181" i="6"/>
  <c r="BK179" i="6"/>
  <c r="BK181" i="6" s="1"/>
  <c r="BT192" i="6"/>
  <c r="BT190" i="6" s="1"/>
  <c r="BT194" i="6"/>
  <c r="BP190" i="6"/>
  <c r="BP198" i="6" s="1"/>
  <c r="CD180" i="6"/>
  <c r="AC191" i="6"/>
  <c r="AC194" i="6" s="1"/>
  <c r="BP197" i="6"/>
  <c r="CD181" i="6"/>
  <c r="AP188" i="6"/>
  <c r="K182" i="6"/>
  <c r="BH195" i="6"/>
  <c r="BE180" i="6"/>
  <c r="N194" i="6"/>
  <c r="AC188" i="6"/>
  <c r="AC208" i="6"/>
  <c r="AC25" i="6" s="1"/>
  <c r="BH192" i="6"/>
  <c r="BH209" i="6" s="1"/>
  <c r="CM192" i="6"/>
  <c r="CM197" i="6" s="1"/>
  <c r="K181" i="6"/>
  <c r="CN192" i="6"/>
  <c r="CN190" i="6" s="1"/>
  <c r="N192" i="6"/>
  <c r="N190" i="6" s="1"/>
  <c r="BI183" i="6"/>
  <c r="BF179" i="6"/>
  <c r="BF184" i="6"/>
  <c r="BF189" i="6" s="1"/>
  <c r="BF191" i="6" s="1"/>
  <c r="BF195" i="6" s="1"/>
  <c r="CN194" i="6"/>
  <c r="Z192" i="6"/>
  <c r="AN195" i="6"/>
  <c r="AN194" i="6"/>
  <c r="CJ196" i="6"/>
  <c r="K180" i="6"/>
  <c r="F179" i="6"/>
  <c r="F184" i="6"/>
  <c r="F189" i="6" s="1"/>
  <c r="F191" i="6" s="1"/>
  <c r="BJ208" i="6"/>
  <c r="BJ25" i="6" s="1"/>
  <c r="R188" i="6"/>
  <c r="H184" i="6"/>
  <c r="H189" i="6" s="1"/>
  <c r="H191" i="6" s="1"/>
  <c r="H195" i="6" s="1"/>
  <c r="BI182" i="6"/>
  <c r="BJ191" i="6"/>
  <c r="BJ195" i="6" s="1"/>
  <c r="CY208" i="6"/>
  <c r="CY25" i="6" s="1"/>
  <c r="CJ209" i="6"/>
  <c r="CJ210" i="6" s="1"/>
  <c r="AC179" i="6"/>
  <c r="AC182" i="6" s="1"/>
  <c r="BI180" i="6"/>
  <c r="CJ197" i="6"/>
  <c r="BG188" i="6"/>
  <c r="AN179" i="6"/>
  <c r="AN181" i="6" s="1"/>
  <c r="BW190" i="6"/>
  <c r="BW199" i="6" s="1"/>
  <c r="AQ194" i="6"/>
  <c r="AO196" i="6"/>
  <c r="AO200" i="6" s="1"/>
  <c r="CW195" i="6"/>
  <c r="CW209" i="6"/>
  <c r="CW210" i="6" s="1"/>
  <c r="AD197" i="6"/>
  <c r="CN181" i="6"/>
  <c r="CI192" i="6"/>
  <c r="CI196" i="6" s="1"/>
  <c r="CW194" i="6"/>
  <c r="CW197" i="6"/>
  <c r="CN180" i="6"/>
  <c r="CI194" i="6"/>
  <c r="CL188" i="6"/>
  <c r="AX182" i="6"/>
  <c r="AX181" i="6"/>
  <c r="X195" i="6"/>
  <c r="AT191" i="6"/>
  <c r="AT194" i="6" s="1"/>
  <c r="AT181" i="6"/>
  <c r="I194" i="6"/>
  <c r="CR190" i="6"/>
  <c r="CR198" i="6" s="1"/>
  <c r="BI195" i="6"/>
  <c r="CL179" i="6"/>
  <c r="CL184" i="6"/>
  <c r="CL189" i="6" s="1"/>
  <c r="CL191" i="6" s="1"/>
  <c r="CL194" i="6" s="1"/>
  <c r="BN194" i="6"/>
  <c r="I192" i="6"/>
  <c r="AA194" i="6"/>
  <c r="BN192" i="6"/>
  <c r="BN196" i="6" s="1"/>
  <c r="AS194" i="6"/>
  <c r="AS195" i="6"/>
  <c r="AS192" i="6"/>
  <c r="AS190" i="6" s="1"/>
  <c r="AV194" i="6"/>
  <c r="V188" i="6"/>
  <c r="AT182" i="6"/>
  <c r="BI194" i="6"/>
  <c r="AX180" i="6"/>
  <c r="AU192" i="6"/>
  <c r="AU190" i="6" s="1"/>
  <c r="BJ179" i="6"/>
  <c r="BJ182" i="6" s="1"/>
  <c r="CE198" i="6"/>
  <c r="AH184" i="6"/>
  <c r="AH189" i="6" s="1"/>
  <c r="AH191" i="6" s="1"/>
  <c r="AH195" i="6" s="1"/>
  <c r="AE208" i="6"/>
  <c r="AE25" i="6" s="1"/>
  <c r="AT180" i="6"/>
  <c r="AA192" i="6"/>
  <c r="AA190" i="6" s="1"/>
  <c r="T209" i="6"/>
  <c r="CA190" i="6"/>
  <c r="CA198" i="6" s="1"/>
  <c r="AE184" i="6"/>
  <c r="AE189" i="6" s="1"/>
  <c r="AE191" i="6" s="1"/>
  <c r="AE194" i="6" s="1"/>
  <c r="CA197" i="6"/>
  <c r="CA200" i="6" s="1"/>
  <c r="CX208" i="6"/>
  <c r="CX25" i="6" s="1"/>
  <c r="AU194" i="6"/>
  <c r="CA209" i="6"/>
  <c r="CA210" i="6" s="1"/>
  <c r="BB179" i="6"/>
  <c r="BB182" i="6" s="1"/>
  <c r="R184" i="6"/>
  <c r="R189" i="6" s="1"/>
  <c r="R191" i="6" s="1"/>
  <c r="R194" i="6" s="1"/>
  <c r="X192" i="6"/>
  <c r="X196" i="6" s="1"/>
  <c r="AN190" i="6"/>
  <c r="AN209" i="6"/>
  <c r="AN197" i="6"/>
  <c r="AN196" i="6"/>
  <c r="CU192" i="6"/>
  <c r="CU209" i="6" s="1"/>
  <c r="BW209" i="6"/>
  <c r="BW210" i="6" s="1"/>
  <c r="CN183" i="6"/>
  <c r="BW197" i="6"/>
  <c r="BW200" i="6" s="1"/>
  <c r="BL208" i="6"/>
  <c r="BL25" i="6" s="1"/>
  <c r="BL191" i="6"/>
  <c r="BL195" i="6" s="1"/>
  <c r="CX184" i="6"/>
  <c r="CX189" i="6" s="1"/>
  <c r="CX191" i="6" s="1"/>
  <c r="CX195" i="6" s="1"/>
  <c r="CU194" i="6"/>
  <c r="BD184" i="6"/>
  <c r="BD189" i="6" s="1"/>
  <c r="BD191" i="6" s="1"/>
  <c r="BD195" i="6" s="1"/>
  <c r="BX183" i="6"/>
  <c r="BX181" i="6"/>
  <c r="BX182" i="6"/>
  <c r="BX180" i="6"/>
  <c r="BX192" i="6"/>
  <c r="BX194" i="6"/>
  <c r="BX195" i="6"/>
  <c r="BR184" i="6"/>
  <c r="BR189" i="6" s="1"/>
  <c r="BR191" i="6" s="1"/>
  <c r="BR195" i="6" s="1"/>
  <c r="AR180" i="6"/>
  <c r="AR182" i="6"/>
  <c r="AR181" i="6"/>
  <c r="AR183" i="6"/>
  <c r="BI190" i="6"/>
  <c r="BI196" i="6"/>
  <c r="BI209" i="6"/>
  <c r="BI197" i="6"/>
  <c r="AR194" i="6"/>
  <c r="AR192" i="6"/>
  <c r="AR195" i="6"/>
  <c r="BC184" i="6"/>
  <c r="BC189" i="6" s="1"/>
  <c r="BC191" i="6" s="1"/>
  <c r="BC194" i="6" s="1"/>
  <c r="AO211" i="6"/>
  <c r="AO210" i="6"/>
  <c r="CV196" i="6"/>
  <c r="AO198" i="6"/>
  <c r="AO199" i="6"/>
  <c r="AF200" i="6"/>
  <c r="CB199" i="6"/>
  <c r="CB198" i="6"/>
  <c r="J194" i="6"/>
  <c r="J195" i="6"/>
  <c r="J192" i="6"/>
  <c r="V179" i="6"/>
  <c r="V184" i="6"/>
  <c r="V189" i="6" s="1"/>
  <c r="V191" i="6" s="1"/>
  <c r="CQ197" i="6"/>
  <c r="CD190" i="6"/>
  <c r="CD196" i="6"/>
  <c r="CD209" i="6"/>
  <c r="CD197" i="6"/>
  <c r="BR182" i="6"/>
  <c r="BR181" i="6"/>
  <c r="BR180" i="6"/>
  <c r="BR183" i="6"/>
  <c r="N196" i="6"/>
  <c r="CP195" i="6"/>
  <c r="CP194" i="6"/>
  <c r="CP192" i="6"/>
  <c r="W196" i="6"/>
  <c r="W190" i="6"/>
  <c r="W197" i="6"/>
  <c r="W209" i="6"/>
  <c r="S179" i="6"/>
  <c r="S184" i="6"/>
  <c r="S189" i="6" s="1"/>
  <c r="S191" i="6" s="1"/>
  <c r="AF210" i="6"/>
  <c r="AF211" i="6"/>
  <c r="AJ192" i="6"/>
  <c r="AJ194" i="6"/>
  <c r="J181" i="6"/>
  <c r="J182" i="6"/>
  <c r="CO210" i="6"/>
  <c r="CO211" i="6"/>
  <c r="CF179" i="6"/>
  <c r="CF184" i="6"/>
  <c r="CF189" i="6" s="1"/>
  <c r="CF191" i="6" s="1"/>
  <c r="AE182" i="6"/>
  <c r="AE183" i="6"/>
  <c r="AE181" i="6"/>
  <c r="AE180" i="6"/>
  <c r="BU182" i="6"/>
  <c r="BU180" i="6"/>
  <c r="BU181" i="6"/>
  <c r="BU183" i="6"/>
  <c r="BD181" i="6"/>
  <c r="BD183" i="6"/>
  <c r="BD182" i="6"/>
  <c r="BD180" i="6"/>
  <c r="U194" i="6"/>
  <c r="U192" i="6"/>
  <c r="U195" i="6"/>
  <c r="CC179" i="6"/>
  <c r="CC184" i="6"/>
  <c r="CC189" i="6" s="1"/>
  <c r="CC191" i="6" s="1"/>
  <c r="CS196" i="6"/>
  <c r="CS197" i="6"/>
  <c r="CS209" i="6"/>
  <c r="CS190" i="6"/>
  <c r="BC183" i="6"/>
  <c r="BC182" i="6"/>
  <c r="BC180" i="6"/>
  <c r="BC181" i="6"/>
  <c r="BA196" i="6"/>
  <c r="BA190" i="6"/>
  <c r="BA209" i="6"/>
  <c r="BA197" i="6"/>
  <c r="CO199" i="6"/>
  <c r="CO198" i="6"/>
  <c r="BL180" i="6"/>
  <c r="BL183" i="6"/>
  <c r="BL182" i="6"/>
  <c r="BL181" i="6"/>
  <c r="AX195" i="6"/>
  <c r="AX194" i="6"/>
  <c r="AX192" i="6"/>
  <c r="G210" i="6"/>
  <c r="H181" i="6"/>
  <c r="H182" i="6"/>
  <c r="H183" i="6"/>
  <c r="H180" i="6"/>
  <c r="AP181" i="6"/>
  <c r="AP183" i="6"/>
  <c r="AP182" i="6"/>
  <c r="AP180" i="6"/>
  <c r="BR188" i="6"/>
  <c r="BR208" i="6"/>
  <c r="BR25" i="6" s="1"/>
  <c r="BZ192" i="6"/>
  <c r="BZ194" i="6"/>
  <c r="BZ195" i="6"/>
  <c r="CY179" i="6"/>
  <c r="CY184" i="6"/>
  <c r="CY189" i="6" s="1"/>
  <c r="CY191" i="6" s="1"/>
  <c r="CJ198" i="6"/>
  <c r="CJ199" i="6"/>
  <c r="BK191" i="6"/>
  <c r="AH182" i="6"/>
  <c r="AH183" i="6"/>
  <c r="AH180" i="6"/>
  <c r="AH181" i="6"/>
  <c r="K195" i="6"/>
  <c r="K194" i="6"/>
  <c r="K192" i="6"/>
  <c r="BE194" i="6"/>
  <c r="BE195" i="6"/>
  <c r="BE192" i="6"/>
  <c r="BY179" i="6"/>
  <c r="BY184" i="6"/>
  <c r="BY189" i="6" s="1"/>
  <c r="BY191" i="6" s="1"/>
  <c r="CP181" i="6"/>
  <c r="CP180" i="6"/>
  <c r="CP183" i="6"/>
  <c r="CP182" i="6"/>
  <c r="BP211" i="6"/>
  <c r="BP210" i="6"/>
  <c r="BB194" i="6"/>
  <c r="BB195" i="6"/>
  <c r="BB192" i="6"/>
  <c r="BG179" i="6"/>
  <c r="BG184" i="6"/>
  <c r="BG189" i="6" s="1"/>
  <c r="BG191" i="6" s="1"/>
  <c r="AF199" i="6"/>
  <c r="AF198" i="6"/>
  <c r="R183" i="6"/>
  <c r="R182" i="6"/>
  <c r="R180" i="6"/>
  <c r="R181" i="6"/>
  <c r="CO200" i="6"/>
  <c r="CX183" i="6"/>
  <c r="CX181" i="6"/>
  <c r="CX182" i="6"/>
  <c r="CX180" i="6"/>
  <c r="U182" i="6"/>
  <c r="U180" i="6"/>
  <c r="U183" i="6"/>
  <c r="U181" i="6"/>
  <c r="O181" i="6"/>
  <c r="O180" i="6"/>
  <c r="O183" i="6"/>
  <c r="O182" i="6"/>
  <c r="AY197" i="6"/>
  <c r="AY196" i="6"/>
  <c r="AY209" i="6"/>
  <c r="AY190" i="6"/>
  <c r="BZ182" i="6"/>
  <c r="BZ181" i="6"/>
  <c r="BZ183" i="6"/>
  <c r="BZ180" i="6"/>
  <c r="BK208" i="6"/>
  <c r="BK25" i="6" s="1"/>
  <c r="BK188" i="6"/>
  <c r="AI179" i="6"/>
  <c r="AI184" i="6"/>
  <c r="AI189" i="6" s="1"/>
  <c r="AI191" i="6" s="1"/>
  <c r="CJ211" i="6"/>
  <c r="CW199" i="6"/>
  <c r="CW198" i="6"/>
  <c r="AV196" i="6"/>
  <c r="AV190" i="6"/>
  <c r="AV209" i="6"/>
  <c r="AV197" i="6"/>
  <c r="BV180" i="6"/>
  <c r="BV181" i="6"/>
  <c r="BV183" i="6"/>
  <c r="BV182" i="6"/>
  <c r="BK180" i="6"/>
  <c r="BP104" i="6" l="1"/>
  <c r="J183" i="6"/>
  <c r="CR209" i="6"/>
  <c r="CR211" i="6" s="1"/>
  <c r="AG96" i="6"/>
  <c r="AG192" i="6"/>
  <c r="AG196" i="6" s="1"/>
  <c r="BP200" i="6"/>
  <c r="AG194" i="6"/>
  <c r="I190" i="6"/>
  <c r="AM105" i="6"/>
  <c r="AM126" i="6" s="1"/>
  <c r="AM21" i="6" s="1"/>
  <c r="CQ209" i="6"/>
  <c r="CQ210" i="6" s="1"/>
  <c r="CV190" i="6"/>
  <c r="CQ194" i="6"/>
  <c r="AM190" i="6"/>
  <c r="AM198" i="6" s="1"/>
  <c r="AD196" i="6"/>
  <c r="AD190" i="6"/>
  <c r="CQ196" i="6"/>
  <c r="DA190" i="6"/>
  <c r="P94" i="6"/>
  <c r="AD200" i="6"/>
  <c r="AD209" i="6"/>
  <c r="AD211" i="6" s="1"/>
  <c r="P103" i="6"/>
  <c r="AL105" i="6"/>
  <c r="AL126" i="6" s="1"/>
  <c r="AL21" i="6" s="1"/>
  <c r="Z194" i="6"/>
  <c r="AM196" i="6"/>
  <c r="AM200" i="6" s="1"/>
  <c r="CV209" i="6"/>
  <c r="CV211" i="6" s="1"/>
  <c r="CQ195" i="6"/>
  <c r="AM209" i="6"/>
  <c r="I95" i="6"/>
  <c r="H94" i="6"/>
  <c r="Q104" i="6"/>
  <c r="BP103" i="6"/>
  <c r="BQ96" i="6"/>
  <c r="BQ97" i="6" s="1"/>
  <c r="BQ98" i="6" s="1"/>
  <c r="CN97" i="6"/>
  <c r="CN102" i="6"/>
  <c r="CN107" i="6" s="1"/>
  <c r="CN109" i="6" s="1"/>
  <c r="BN181" i="6"/>
  <c r="BN180" i="6"/>
  <c r="BN182" i="6"/>
  <c r="BN183" i="6"/>
  <c r="AW126" i="6"/>
  <c r="AW21" i="6" s="1"/>
  <c r="CD105" i="6"/>
  <c r="CD106" i="6" s="1"/>
  <c r="AD105" i="6"/>
  <c r="AD106" i="6" s="1"/>
  <c r="BT105" i="6"/>
  <c r="BT126" i="6" s="1"/>
  <c r="BT21" i="6" s="1"/>
  <c r="CC126" i="6"/>
  <c r="CC21" i="6" s="1"/>
  <c r="F96" i="6"/>
  <c r="F102" i="6" s="1"/>
  <c r="BN105" i="6"/>
  <c r="BN106" i="6" s="1"/>
  <c r="AN105" i="6"/>
  <c r="AN126" i="6" s="1"/>
  <c r="AN21" i="6" s="1"/>
  <c r="BJ105" i="6"/>
  <c r="BJ106" i="6" s="1"/>
  <c r="AY104" i="6"/>
  <c r="DA94" i="6"/>
  <c r="BD106" i="6"/>
  <c r="H95" i="6"/>
  <c r="CA96" i="6"/>
  <c r="CA97" i="6" s="1"/>
  <c r="CA98" i="6" s="1"/>
  <c r="CN106" i="6"/>
  <c r="CD96" i="6"/>
  <c r="CD97" i="6" s="1"/>
  <c r="CD101" i="6" s="1"/>
  <c r="AI106" i="6"/>
  <c r="AZ96" i="6"/>
  <c r="AZ102" i="6" s="1"/>
  <c r="AZ107" i="6" s="1"/>
  <c r="BW94" i="6"/>
  <c r="CT96" i="6"/>
  <c r="CT102" i="6" s="1"/>
  <c r="CT107" i="6" s="1"/>
  <c r="BQ105" i="6"/>
  <c r="BQ126" i="6" s="1"/>
  <c r="BQ21" i="6" s="1"/>
  <c r="CZ96" i="6"/>
  <c r="CZ102" i="6" s="1"/>
  <c r="CZ107" i="6" s="1"/>
  <c r="CZ109" i="6" s="1"/>
  <c r="H103" i="6"/>
  <c r="H105" i="6" s="1"/>
  <c r="I104" i="6"/>
  <c r="BW103" i="6"/>
  <c r="BW95" i="6"/>
  <c r="BG105" i="6"/>
  <c r="BG106" i="6" s="1"/>
  <c r="Y105" i="6"/>
  <c r="Y106" i="6" s="1"/>
  <c r="CB105" i="6"/>
  <c r="CB106" i="6" s="1"/>
  <c r="I94" i="6"/>
  <c r="I96" i="6" s="1"/>
  <c r="DA95" i="6"/>
  <c r="DA103" i="6"/>
  <c r="DA105" i="6" s="1"/>
  <c r="DA126" i="6" s="1"/>
  <c r="DA21" i="6" s="1"/>
  <c r="CA105" i="6"/>
  <c r="CA106" i="6" s="1"/>
  <c r="Z104" i="6"/>
  <c r="CV104" i="6"/>
  <c r="AO96" i="6"/>
  <c r="AO102" i="6" s="1"/>
  <c r="AO107" i="6" s="1"/>
  <c r="AO109" i="6" s="1"/>
  <c r="BX105" i="6"/>
  <c r="BX106" i="6" s="1"/>
  <c r="I103" i="6"/>
  <c r="AA104" i="6"/>
  <c r="BW104" i="6"/>
  <c r="BP95" i="6"/>
  <c r="CJ106" i="6"/>
  <c r="CJ126" i="6"/>
  <c r="CJ21" i="6" s="1"/>
  <c r="BP94" i="6"/>
  <c r="AX105" i="6"/>
  <c r="AX106" i="6" s="1"/>
  <c r="BX96" i="6"/>
  <c r="BX97" i="6" s="1"/>
  <c r="BX99" i="6" s="1"/>
  <c r="CO105" i="6"/>
  <c r="CO106" i="6" s="1"/>
  <c r="BI105" i="6"/>
  <c r="BI106" i="6" s="1"/>
  <c r="M105" i="6"/>
  <c r="M126" i="6" s="1"/>
  <c r="M21" i="6" s="1"/>
  <c r="CT105" i="6"/>
  <c r="CT126" i="6" s="1"/>
  <c r="CT21" i="6" s="1"/>
  <c r="AG105" i="6"/>
  <c r="AG106" i="6" s="1"/>
  <c r="BF95" i="6"/>
  <c r="CM103" i="6"/>
  <c r="AZ97" i="6"/>
  <c r="AZ98" i="6" s="1"/>
  <c r="X105" i="6"/>
  <c r="X126" i="6" s="1"/>
  <c r="X21" i="6" s="1"/>
  <c r="CK106" i="6"/>
  <c r="CZ126" i="6"/>
  <c r="CZ21" i="6" s="1"/>
  <c r="CZ106" i="6"/>
  <c r="CR105" i="6"/>
  <c r="CR126" i="6" s="1"/>
  <c r="CR21" i="6" s="1"/>
  <c r="CR96" i="6"/>
  <c r="AN96" i="6"/>
  <c r="AN97" i="6" s="1"/>
  <c r="AN101" i="6" s="1"/>
  <c r="O103" i="6"/>
  <c r="BF104" i="6"/>
  <c r="CC96" i="6"/>
  <c r="CC102" i="6" s="1"/>
  <c r="CC107" i="6" s="1"/>
  <c r="CC109" i="6" s="1"/>
  <c r="CC110" i="6" s="1"/>
  <c r="CC115" i="6" s="1"/>
  <c r="AQ104" i="6"/>
  <c r="U104" i="6"/>
  <c r="BZ106" i="6"/>
  <c r="BZ126" i="6"/>
  <c r="BZ21" i="6" s="1"/>
  <c r="CF102" i="6"/>
  <c r="CF107" i="6" s="1"/>
  <c r="CF109" i="6" s="1"/>
  <c r="AD126" i="6"/>
  <c r="AD21" i="6" s="1"/>
  <c r="T105" i="6"/>
  <c r="AC126" i="6"/>
  <c r="AC21" i="6" s="1"/>
  <c r="BQ101" i="6"/>
  <c r="BA105" i="6"/>
  <c r="BA106" i="6" s="1"/>
  <c r="CJ97" i="6"/>
  <c r="CJ102" i="6"/>
  <c r="CJ107" i="6" s="1"/>
  <c r="CJ109" i="6" s="1"/>
  <c r="CU105" i="6"/>
  <c r="CU106" i="6" s="1"/>
  <c r="F126" i="6"/>
  <c r="F21" i="6" s="1"/>
  <c r="F106" i="6"/>
  <c r="CT106" i="6"/>
  <c r="AZ104" i="6"/>
  <c r="AZ105" i="6" s="1"/>
  <c r="AZ106" i="6" s="1"/>
  <c r="Y96" i="6"/>
  <c r="K96" i="6"/>
  <c r="CM95" i="6"/>
  <c r="X96" i="6"/>
  <c r="CP96" i="6"/>
  <c r="AL106" i="6"/>
  <c r="AP96" i="6"/>
  <c r="AP97" i="6" s="1"/>
  <c r="AP99" i="6" s="1"/>
  <c r="AS96" i="6"/>
  <c r="AS97" i="6" s="1"/>
  <c r="AW96" i="6"/>
  <c r="CP105" i="6"/>
  <c r="BU105" i="6"/>
  <c r="BB105" i="6"/>
  <c r="BS105" i="6"/>
  <c r="BS126" i="6" s="1"/>
  <c r="BS21" i="6" s="1"/>
  <c r="CM94" i="6"/>
  <c r="BL105" i="6"/>
  <c r="O94" i="6"/>
  <c r="K105" i="6"/>
  <c r="AX96" i="6"/>
  <c r="CL105" i="6"/>
  <c r="T96" i="6"/>
  <c r="T102" i="6" s="1"/>
  <c r="T107" i="6" s="1"/>
  <c r="V126" i="6"/>
  <c r="V21" i="6" s="1"/>
  <c r="V106" i="6"/>
  <c r="CW106" i="6"/>
  <c r="V96" i="6"/>
  <c r="CL96" i="6"/>
  <c r="O95" i="6"/>
  <c r="CG105" i="6"/>
  <c r="W105" i="6"/>
  <c r="W126" i="6" s="1"/>
  <c r="W21" i="6" s="1"/>
  <c r="M102" i="6"/>
  <c r="M107" i="6" s="1"/>
  <c r="M97" i="6"/>
  <c r="BU96" i="6"/>
  <c r="BX126" i="6"/>
  <c r="BX21" i="6" s="1"/>
  <c r="CI96" i="6"/>
  <c r="CI97" i="6" s="1"/>
  <c r="S104" i="6"/>
  <c r="BJ96" i="6"/>
  <c r="BJ97" i="6" s="1"/>
  <c r="BF103" i="6"/>
  <c r="G105" i="6"/>
  <c r="G106" i="6" s="1"/>
  <c r="BF94" i="6"/>
  <c r="W96" i="6"/>
  <c r="CG96" i="6"/>
  <c r="AP105" i="6"/>
  <c r="BZ97" i="6"/>
  <c r="BZ102" i="6"/>
  <c r="BZ107" i="6" s="1"/>
  <c r="BZ109" i="6" s="1"/>
  <c r="CW96" i="6"/>
  <c r="BE96" i="6"/>
  <c r="BE97" i="6" s="1"/>
  <c r="BL96" i="6"/>
  <c r="P96" i="6"/>
  <c r="BP105" i="6"/>
  <c r="BP106" i="6" s="1"/>
  <c r="BM96" i="6"/>
  <c r="BM97" i="6" s="1"/>
  <c r="AE96" i="6"/>
  <c r="BA96" i="6"/>
  <c r="BA102" i="6" s="1"/>
  <c r="BA107" i="6" s="1"/>
  <c r="AE106" i="6"/>
  <c r="AE126" i="6"/>
  <c r="AE21" i="6" s="1"/>
  <c r="AF104" i="6"/>
  <c r="AU126" i="6"/>
  <c r="AU21" i="6" s="1"/>
  <c r="AH96" i="6"/>
  <c r="AH102" i="6" s="1"/>
  <c r="AH107" i="6" s="1"/>
  <c r="AH109" i="6" s="1"/>
  <c r="AJ105" i="6"/>
  <c r="CY96" i="6"/>
  <c r="CY97" i="6" s="1"/>
  <c r="CM104" i="6"/>
  <c r="BN96" i="6"/>
  <c r="BN97" i="6" s="1"/>
  <c r="BR104" i="6"/>
  <c r="R96" i="6"/>
  <c r="AW197" i="6"/>
  <c r="T190" i="6"/>
  <c r="BD97" i="6"/>
  <c r="BD102" i="6"/>
  <c r="BD107" i="6" s="1"/>
  <c r="BD109" i="6" s="1"/>
  <c r="AG97" i="6"/>
  <c r="AG102" i="6"/>
  <c r="AG107" i="6" s="1"/>
  <c r="AW190" i="6"/>
  <c r="CS183" i="6"/>
  <c r="CS180" i="6"/>
  <c r="CS182" i="6"/>
  <c r="CS181" i="6"/>
  <c r="AW196" i="6"/>
  <c r="AB96" i="6"/>
  <c r="AB97" i="6" s="1"/>
  <c r="R105" i="6"/>
  <c r="BH104" i="6"/>
  <c r="AV104" i="6"/>
  <c r="BS96" i="6"/>
  <c r="AU96" i="6"/>
  <c r="BG96" i="6"/>
  <c r="BG97" i="6" s="1"/>
  <c r="AR97" i="6"/>
  <c r="AR102" i="6"/>
  <c r="AR107" i="6" s="1"/>
  <c r="AR109" i="6" s="1"/>
  <c r="BL194" i="6"/>
  <c r="T197" i="6"/>
  <c r="T200" i="6" s="1"/>
  <c r="AM96" i="6"/>
  <c r="AM97" i="6" s="1"/>
  <c r="CB96" i="6"/>
  <c r="CX96" i="6"/>
  <c r="CK96" i="6"/>
  <c r="AG126" i="6"/>
  <c r="AG21" i="6" s="1"/>
  <c r="CF126" i="6"/>
  <c r="CF21" i="6" s="1"/>
  <c r="CF106" i="6"/>
  <c r="AK126" i="6"/>
  <c r="AK21" i="6" s="1"/>
  <c r="AK106" i="6"/>
  <c r="Q103" i="6"/>
  <c r="Q105" i="6" s="1"/>
  <c r="Q94" i="6"/>
  <c r="Q95" i="6"/>
  <c r="N95" i="6"/>
  <c r="N94" i="6"/>
  <c r="N103" i="6"/>
  <c r="N105" i="6" s="1"/>
  <c r="CQ95" i="6"/>
  <c r="CQ94" i="6"/>
  <c r="CQ103" i="6"/>
  <c r="AT103" i="6"/>
  <c r="AT94" i="6"/>
  <c r="AT95" i="6"/>
  <c r="CH97" i="6"/>
  <c r="CH102" i="6"/>
  <c r="CH107" i="6" s="1"/>
  <c r="CH109" i="6" s="1"/>
  <c r="O104" i="6"/>
  <c r="CB126" i="6"/>
  <c r="CB21" i="6" s="1"/>
  <c r="AV103" i="6"/>
  <c r="AV95" i="6"/>
  <c r="AV94" i="6"/>
  <c r="L106" i="6"/>
  <c r="L126" i="6"/>
  <c r="L21" i="6" s="1"/>
  <c r="CS96" i="6"/>
  <c r="AH126" i="6"/>
  <c r="AH21" i="6" s="1"/>
  <c r="AH106" i="6"/>
  <c r="H96" i="6"/>
  <c r="CY106" i="6"/>
  <c r="CY126" i="6"/>
  <c r="CY21" i="6" s="1"/>
  <c r="BR94" i="6"/>
  <c r="BR95" i="6"/>
  <c r="BR103" i="6"/>
  <c r="AR126" i="6"/>
  <c r="AR21" i="6" s="1"/>
  <c r="AR106" i="6"/>
  <c r="AL96" i="6"/>
  <c r="G96" i="6"/>
  <c r="AX126" i="6"/>
  <c r="AX21" i="6" s="1"/>
  <c r="AK96" i="6"/>
  <c r="P104" i="6"/>
  <c r="P105" i="6" s="1"/>
  <c r="CE96" i="6"/>
  <c r="AT104" i="6"/>
  <c r="BK96" i="6"/>
  <c r="BH94" i="6"/>
  <c r="BH103" i="6"/>
  <c r="BH95" i="6"/>
  <c r="CO96" i="6"/>
  <c r="L96" i="6"/>
  <c r="BQ106" i="6"/>
  <c r="CX105" i="6"/>
  <c r="J96" i="6"/>
  <c r="BK106" i="6"/>
  <c r="BK126" i="6"/>
  <c r="BK21" i="6" s="1"/>
  <c r="BT96" i="6"/>
  <c r="CQ104" i="6"/>
  <c r="AQ94" i="6"/>
  <c r="AQ95" i="6"/>
  <c r="AQ103" i="6"/>
  <c r="S94" i="6"/>
  <c r="S95" i="6"/>
  <c r="S103" i="6"/>
  <c r="CE106" i="6"/>
  <c r="CE126" i="6"/>
  <c r="CE21" i="6" s="1"/>
  <c r="AC97" i="6"/>
  <c r="AC102" i="6"/>
  <c r="AC107" i="6" s="1"/>
  <c r="AC109" i="6" s="1"/>
  <c r="AB126" i="6"/>
  <c r="AB21" i="6" s="1"/>
  <c r="AB106" i="6"/>
  <c r="AM106" i="6"/>
  <c r="BM195" i="6"/>
  <c r="BM192" i="6"/>
  <c r="BM194" i="6"/>
  <c r="BV96" i="6"/>
  <c r="BC104" i="6"/>
  <c r="J106" i="6"/>
  <c r="J126" i="6"/>
  <c r="J21" i="6" s="1"/>
  <c r="AS106" i="6"/>
  <c r="AS126" i="6"/>
  <c r="AS21" i="6" s="1"/>
  <c r="BE105" i="6"/>
  <c r="AY95" i="6"/>
  <c r="AY103" i="6"/>
  <c r="AY105" i="6" s="1"/>
  <c r="AY94" i="6"/>
  <c r="BC103" i="6"/>
  <c r="BC94" i="6"/>
  <c r="BC95" i="6"/>
  <c r="BY104" i="6"/>
  <c r="AF103" i="6"/>
  <c r="AF95" i="6"/>
  <c r="AF94" i="6"/>
  <c r="AI97" i="6"/>
  <c r="AI102" i="6"/>
  <c r="AI107" i="6" s="1"/>
  <c r="AI109" i="6" s="1"/>
  <c r="BV106" i="6"/>
  <c r="BV126" i="6"/>
  <c r="BV21" i="6" s="1"/>
  <c r="AJ96" i="6"/>
  <c r="CI126" i="6"/>
  <c r="CI21" i="6" s="1"/>
  <c r="CI106" i="6"/>
  <c r="BB96" i="6"/>
  <c r="BI96" i="6"/>
  <c r="BO96" i="6"/>
  <c r="AD96" i="6"/>
  <c r="CV95" i="6"/>
  <c r="CV103" i="6"/>
  <c r="CV105" i="6" s="1"/>
  <c r="CV94" i="6"/>
  <c r="N181" i="6"/>
  <c r="N183" i="6"/>
  <c r="Z103" i="6"/>
  <c r="Z105" i="6" s="1"/>
  <c r="Z95" i="6"/>
  <c r="Z94" i="6"/>
  <c r="BO106" i="6"/>
  <c r="BO126" i="6"/>
  <c r="BO21" i="6" s="1"/>
  <c r="BM126" i="6"/>
  <c r="BM21" i="6" s="1"/>
  <c r="BM106" i="6"/>
  <c r="U94" i="6"/>
  <c r="U95" i="6"/>
  <c r="U103" i="6"/>
  <c r="U105" i="6" s="1"/>
  <c r="CF101" i="6"/>
  <c r="CF99" i="6"/>
  <c r="CF98" i="6"/>
  <c r="CF100" i="6"/>
  <c r="BY95" i="6"/>
  <c r="BY94" i="6"/>
  <c r="BY103" i="6"/>
  <c r="CU96" i="6"/>
  <c r="CS106" i="6"/>
  <c r="CS126" i="6"/>
  <c r="CS21" i="6" s="1"/>
  <c r="AA103" i="6"/>
  <c r="AA95" i="6"/>
  <c r="AA94" i="6"/>
  <c r="G26" i="6"/>
  <c r="EH8" i="6"/>
  <c r="AF27" i="6"/>
  <c r="FG9" i="6"/>
  <c r="AD27" i="6"/>
  <c r="FE9" i="6"/>
  <c r="AF26" i="6"/>
  <c r="FG8" i="6"/>
  <c r="CW26" i="6"/>
  <c r="HX8" i="6"/>
  <c r="G27" i="6"/>
  <c r="EH9" i="6"/>
  <c r="CJ26" i="6"/>
  <c r="HK8" i="6"/>
  <c r="BP26" i="6"/>
  <c r="GQ8" i="6"/>
  <c r="BW26" i="6"/>
  <c r="GX8" i="6"/>
  <c r="BP27" i="6"/>
  <c r="GQ9" i="6"/>
  <c r="CA26" i="6"/>
  <c r="HB8" i="6"/>
  <c r="CJ27" i="6"/>
  <c r="HK9" i="6"/>
  <c r="CO27" i="6"/>
  <c r="HP9" i="6"/>
  <c r="CR27" i="6"/>
  <c r="HS9" i="6"/>
  <c r="CB26" i="6"/>
  <c r="HC8" i="6"/>
  <c r="BS27" i="6"/>
  <c r="GT9" i="6"/>
  <c r="CK27" i="6"/>
  <c r="HL9" i="6"/>
  <c r="CO26" i="6"/>
  <c r="HP8" i="6"/>
  <c r="AO26" i="6"/>
  <c r="FP8" i="6"/>
  <c r="AO27" i="6"/>
  <c r="FP9" i="6"/>
  <c r="CE27" i="6"/>
  <c r="HF9" i="6"/>
  <c r="AZ198" i="6"/>
  <c r="AZ209" i="6"/>
  <c r="AZ210" i="6" s="1"/>
  <c r="AZ197" i="6"/>
  <c r="AZ196" i="6"/>
  <c r="DA209" i="6"/>
  <c r="DA211" i="6" s="1"/>
  <c r="AQ196" i="6"/>
  <c r="AQ200" i="6" s="1"/>
  <c r="CT209" i="6"/>
  <c r="CT210" i="6" s="1"/>
  <c r="CT197" i="6"/>
  <c r="BQ192" i="6"/>
  <c r="BQ194" i="6"/>
  <c r="CT196" i="6"/>
  <c r="CT200" i="6" s="1"/>
  <c r="BA180" i="6"/>
  <c r="BA182" i="6"/>
  <c r="BA183" i="6"/>
  <c r="BA181" i="6"/>
  <c r="T181" i="6"/>
  <c r="T180" i="6"/>
  <c r="T182" i="6"/>
  <c r="T183" i="6"/>
  <c r="AM183" i="6"/>
  <c r="AM181" i="6"/>
  <c r="AM180" i="6"/>
  <c r="AM182" i="6"/>
  <c r="AT195" i="6"/>
  <c r="Y190" i="6"/>
  <c r="Y198" i="6" s="1"/>
  <c r="CE210" i="6"/>
  <c r="DA196" i="6"/>
  <c r="DA200" i="6" s="1"/>
  <c r="BL192" i="6"/>
  <c r="AB209" i="6"/>
  <c r="AB197" i="6"/>
  <c r="AB196" i="6"/>
  <c r="AB190" i="6"/>
  <c r="AL192" i="6"/>
  <c r="AL195" i="6"/>
  <c r="AL194" i="6"/>
  <c r="AL181" i="6"/>
  <c r="AL180" i="6"/>
  <c r="AL182" i="6"/>
  <c r="AL183" i="6"/>
  <c r="BU194" i="6"/>
  <c r="CN209" i="6"/>
  <c r="CN210" i="6" s="1"/>
  <c r="BU192" i="6"/>
  <c r="BU197" i="6" s="1"/>
  <c r="BV194" i="6"/>
  <c r="O195" i="6"/>
  <c r="CN197" i="6"/>
  <c r="BV192" i="6"/>
  <c r="BV197" i="6" s="1"/>
  <c r="O192" i="6"/>
  <c r="O190" i="6" s="1"/>
  <c r="L195" i="6"/>
  <c r="AK195" i="6"/>
  <c r="AK194" i="6"/>
  <c r="AK192" i="6"/>
  <c r="L192" i="6"/>
  <c r="I181" i="6"/>
  <c r="BS210" i="6"/>
  <c r="AK182" i="6"/>
  <c r="AK181" i="6"/>
  <c r="AK183" i="6"/>
  <c r="AK180" i="6"/>
  <c r="AQ190" i="6"/>
  <c r="AQ199" i="6" s="1"/>
  <c r="G196" i="6"/>
  <c r="CK200" i="6"/>
  <c r="CH197" i="6"/>
  <c r="CH200" i="6" s="1"/>
  <c r="AQ209" i="6"/>
  <c r="AQ211" i="6" s="1"/>
  <c r="CZ195" i="6"/>
  <c r="CH209" i="6"/>
  <c r="CH210" i="6" s="1"/>
  <c r="CH194" i="6"/>
  <c r="CZ194" i="6"/>
  <c r="G190" i="6"/>
  <c r="G198" i="6" s="1"/>
  <c r="CH190" i="6"/>
  <c r="CH199" i="6" s="1"/>
  <c r="CH195" i="6"/>
  <c r="CG196" i="6"/>
  <c r="CG190" i="6"/>
  <c r="CG209" i="6"/>
  <c r="CG197" i="6"/>
  <c r="CA211" i="6"/>
  <c r="Y209" i="6"/>
  <c r="Y210" i="6" s="1"/>
  <c r="AT192" i="6"/>
  <c r="AT209" i="6" s="1"/>
  <c r="CX194" i="6"/>
  <c r="Q190" i="6"/>
  <c r="BN190" i="6"/>
  <c r="BN199" i="6" s="1"/>
  <c r="Q209" i="6"/>
  <c r="Q210" i="6" s="1"/>
  <c r="CW200" i="6"/>
  <c r="Y196" i="6"/>
  <c r="Y200" i="6" s="1"/>
  <c r="BO182" i="6"/>
  <c r="BO180" i="6"/>
  <c r="BO181" i="6"/>
  <c r="BO183" i="6"/>
  <c r="BO194" i="6"/>
  <c r="BO195" i="6"/>
  <c r="BO192" i="6"/>
  <c r="M196" i="6"/>
  <c r="M197" i="6"/>
  <c r="M190" i="6"/>
  <c r="M209" i="6"/>
  <c r="Q196" i="6"/>
  <c r="Q200" i="6" s="1"/>
  <c r="G197" i="6"/>
  <c r="CB211" i="6"/>
  <c r="BC195" i="6"/>
  <c r="BK183" i="6"/>
  <c r="BK182" i="6"/>
  <c r="CB200" i="6"/>
  <c r="AP192" i="6"/>
  <c r="AP196" i="6" s="1"/>
  <c r="AP195" i="6"/>
  <c r="CM196" i="6"/>
  <c r="CM200" i="6" s="1"/>
  <c r="AJ181" i="6"/>
  <c r="AC192" i="6"/>
  <c r="AC197" i="6" s="1"/>
  <c r="BJ183" i="6"/>
  <c r="BN197" i="6"/>
  <c r="BN200" i="6" s="1"/>
  <c r="CI197" i="6"/>
  <c r="CI200" i="6" s="1"/>
  <c r="AJ182" i="6"/>
  <c r="N197" i="6"/>
  <c r="N200" i="6" s="1"/>
  <c r="AC195" i="6"/>
  <c r="AJ183" i="6"/>
  <c r="AE195" i="6"/>
  <c r="CJ200" i="6"/>
  <c r="P196" i="6"/>
  <c r="P190" i="6"/>
  <c r="P197" i="6"/>
  <c r="P209" i="6"/>
  <c r="CN196" i="6"/>
  <c r="BS198" i="6"/>
  <c r="BS199" i="6"/>
  <c r="CR199" i="6"/>
  <c r="AA196" i="6"/>
  <c r="I182" i="6"/>
  <c r="BT196" i="6"/>
  <c r="CK199" i="6"/>
  <c r="CK198" i="6"/>
  <c r="BJ180" i="6"/>
  <c r="BJ181" i="6"/>
  <c r="N209" i="6"/>
  <c r="N211" i="6" s="1"/>
  <c r="BH190" i="6"/>
  <c r="BH199" i="6" s="1"/>
  <c r="CU196" i="6"/>
  <c r="I183" i="6"/>
  <c r="AM210" i="6"/>
  <c r="AM211" i="6"/>
  <c r="BH197" i="6"/>
  <c r="AM199" i="6"/>
  <c r="BP199" i="6"/>
  <c r="CU190" i="6"/>
  <c r="CU198" i="6" s="1"/>
  <c r="BT209" i="6"/>
  <c r="BT210" i="6" s="1"/>
  <c r="AA197" i="6"/>
  <c r="AA209" i="6"/>
  <c r="AA210" i="6" s="1"/>
  <c r="BT197" i="6"/>
  <c r="AP194" i="6"/>
  <c r="CR210" i="6"/>
  <c r="CM190" i="6"/>
  <c r="CM199" i="6" s="1"/>
  <c r="X209" i="6"/>
  <c r="X211" i="6" s="1"/>
  <c r="X190" i="6"/>
  <c r="X199" i="6" s="1"/>
  <c r="BH196" i="6"/>
  <c r="BF194" i="6"/>
  <c r="BF192" i="6"/>
  <c r="BF209" i="6" s="1"/>
  <c r="BF210" i="6" s="1"/>
  <c r="BF182" i="6"/>
  <c r="BF180" i="6"/>
  <c r="BF183" i="6"/>
  <c r="BF181" i="6"/>
  <c r="CI190" i="6"/>
  <c r="CI198" i="6" s="1"/>
  <c r="AG190" i="6"/>
  <c r="AG199" i="6" s="1"/>
  <c r="BW198" i="6"/>
  <c r="CL195" i="6"/>
  <c r="CM209" i="6"/>
  <c r="CM210" i="6" s="1"/>
  <c r="AN183" i="6"/>
  <c r="DA199" i="6"/>
  <c r="DA198" i="6"/>
  <c r="BJ194" i="6"/>
  <c r="Z190" i="6"/>
  <c r="Z209" i="6"/>
  <c r="Z196" i="6"/>
  <c r="Z197" i="6"/>
  <c r="AH192" i="6"/>
  <c r="AH209" i="6" s="1"/>
  <c r="CI209" i="6"/>
  <c r="CI210" i="6" s="1"/>
  <c r="H192" i="6"/>
  <c r="H190" i="6" s="1"/>
  <c r="H194" i="6"/>
  <c r="AC183" i="6"/>
  <c r="AN180" i="6"/>
  <c r="F192" i="6"/>
  <c r="F194" i="6"/>
  <c r="F195" i="6"/>
  <c r="AC181" i="6"/>
  <c r="F182" i="6"/>
  <c r="F183" i="6"/>
  <c r="F180" i="6"/>
  <c r="F181" i="6"/>
  <c r="BB180" i="6"/>
  <c r="BN209" i="6"/>
  <c r="BN210" i="6" s="1"/>
  <c r="BJ192" i="6"/>
  <c r="BJ196" i="6" s="1"/>
  <c r="AC180" i="6"/>
  <c r="AN182" i="6"/>
  <c r="CA199" i="6"/>
  <c r="CL192" i="6"/>
  <c r="CL190" i="6" s="1"/>
  <c r="Y211" i="6"/>
  <c r="AS197" i="6"/>
  <c r="X197" i="6"/>
  <c r="X200" i="6" s="1"/>
  <c r="AD210" i="6"/>
  <c r="AU209" i="6"/>
  <c r="AU211" i="6" s="1"/>
  <c r="AS196" i="6"/>
  <c r="AE192" i="6"/>
  <c r="AE190" i="6" s="1"/>
  <c r="AU196" i="6"/>
  <c r="CW211" i="6"/>
  <c r="AU197" i="6"/>
  <c r="AH194" i="6"/>
  <c r="AS209" i="6"/>
  <c r="AS210" i="6" s="1"/>
  <c r="I209" i="6"/>
  <c r="I210" i="6" s="1"/>
  <c r="I196" i="6"/>
  <c r="I197" i="6"/>
  <c r="CL182" i="6"/>
  <c r="CL181" i="6"/>
  <c r="CL180" i="6"/>
  <c r="CL183" i="6"/>
  <c r="BD192" i="6"/>
  <c r="BD197" i="6" s="1"/>
  <c r="G199" i="6"/>
  <c r="CZ209" i="6"/>
  <c r="CZ190" i="6"/>
  <c r="CZ197" i="6"/>
  <c r="CZ196" i="6"/>
  <c r="T211" i="6"/>
  <c r="T210" i="6"/>
  <c r="R195" i="6"/>
  <c r="CX192" i="6"/>
  <c r="CX196" i="6" s="1"/>
  <c r="CU197" i="6"/>
  <c r="T199" i="6"/>
  <c r="T198" i="6"/>
  <c r="AV200" i="6"/>
  <c r="BB181" i="6"/>
  <c r="BB183" i="6"/>
  <c r="BA200" i="6"/>
  <c r="R192" i="6"/>
  <c r="R190" i="6" s="1"/>
  <c r="W200" i="6"/>
  <c r="BR192" i="6"/>
  <c r="BR197" i="6" s="1"/>
  <c r="BW211" i="6"/>
  <c r="BR194" i="6"/>
  <c r="AN200" i="6"/>
  <c r="AN211" i="6"/>
  <c r="AN210" i="6"/>
  <c r="AN199" i="6"/>
  <c r="AN198" i="6"/>
  <c r="BC192" i="6"/>
  <c r="BC197" i="6" s="1"/>
  <c r="BD194" i="6"/>
  <c r="BI198" i="6"/>
  <c r="BI199" i="6"/>
  <c r="BX209" i="6"/>
  <c r="BX197" i="6"/>
  <c r="BX190" i="6"/>
  <c r="BX196" i="6"/>
  <c r="AR190" i="6"/>
  <c r="AR209" i="6"/>
  <c r="AR196" i="6"/>
  <c r="AR197" i="6"/>
  <c r="CV200" i="6"/>
  <c r="BI200" i="6"/>
  <c r="BI211" i="6"/>
  <c r="BI210" i="6"/>
  <c r="AY200" i="6"/>
  <c r="BL190" i="6"/>
  <c r="BL196" i="6"/>
  <c r="BL197" i="6"/>
  <c r="BL209" i="6"/>
  <c r="BG195" i="6"/>
  <c r="BG194" i="6"/>
  <c r="BG192" i="6"/>
  <c r="BB196" i="6"/>
  <c r="BB197" i="6"/>
  <c r="BB190" i="6"/>
  <c r="BB209" i="6"/>
  <c r="BE190" i="6"/>
  <c r="BE196" i="6"/>
  <c r="BE209" i="6"/>
  <c r="BE197" i="6"/>
  <c r="BA211" i="6"/>
  <c r="BA210" i="6"/>
  <c r="U190" i="6"/>
  <c r="U197" i="6"/>
  <c r="U196" i="6"/>
  <c r="U209" i="6"/>
  <c r="AJ197" i="6"/>
  <c r="AJ190" i="6"/>
  <c r="AJ196" i="6"/>
  <c r="AJ209" i="6"/>
  <c r="W199" i="6"/>
  <c r="W198" i="6"/>
  <c r="CD200" i="6"/>
  <c r="BG180" i="6"/>
  <c r="BG182" i="6"/>
  <c r="BG183" i="6"/>
  <c r="BG181" i="6"/>
  <c r="K197" i="6"/>
  <c r="K190" i="6"/>
  <c r="K209" i="6"/>
  <c r="K196" i="6"/>
  <c r="BH210" i="6"/>
  <c r="BH211" i="6"/>
  <c r="AP197" i="6"/>
  <c r="BA199" i="6"/>
  <c r="BA198" i="6"/>
  <c r="AW198" i="6"/>
  <c r="AW199" i="6"/>
  <c r="CD211" i="6"/>
  <c r="CD210" i="6"/>
  <c r="CT198" i="6"/>
  <c r="CT199" i="6"/>
  <c r="AW210" i="6"/>
  <c r="AW211" i="6"/>
  <c r="J190" i="6"/>
  <c r="J196" i="6"/>
  <c r="J197" i="6"/>
  <c r="J209" i="6"/>
  <c r="L197" i="6"/>
  <c r="L196" i="6"/>
  <c r="L190" i="6"/>
  <c r="L209" i="6"/>
  <c r="S192" i="6"/>
  <c r="S195" i="6"/>
  <c r="S194" i="6"/>
  <c r="CF183" i="6"/>
  <c r="CF181" i="6"/>
  <c r="CF182" i="6"/>
  <c r="CF180" i="6"/>
  <c r="S180" i="6"/>
  <c r="S181" i="6"/>
  <c r="S182" i="6"/>
  <c r="S183" i="6"/>
  <c r="CD198" i="6"/>
  <c r="CD199" i="6"/>
  <c r="AA199" i="6"/>
  <c r="AA198" i="6"/>
  <c r="AX196" i="6"/>
  <c r="AX190" i="6"/>
  <c r="AX209" i="6"/>
  <c r="AX197" i="6"/>
  <c r="CS199" i="6"/>
  <c r="CS198" i="6"/>
  <c r="CQ211" i="6"/>
  <c r="BY195" i="6"/>
  <c r="BY192" i="6"/>
  <c r="BY194" i="6"/>
  <c r="BT199" i="6"/>
  <c r="BT198" i="6"/>
  <c r="AV199" i="6"/>
  <c r="AV198" i="6"/>
  <c r="BY180" i="6"/>
  <c r="BY181" i="6"/>
  <c r="BY183" i="6"/>
  <c r="BY182" i="6"/>
  <c r="BK192" i="6"/>
  <c r="BK194" i="6"/>
  <c r="BK195" i="6"/>
  <c r="CY181" i="6"/>
  <c r="CY183" i="6"/>
  <c r="CY180" i="6"/>
  <c r="CY182" i="6"/>
  <c r="AS198" i="6"/>
  <c r="AS199" i="6"/>
  <c r="CV210" i="6"/>
  <c r="AI192" i="6"/>
  <c r="AI195" i="6"/>
  <c r="AI194" i="6"/>
  <c r="AY198" i="6"/>
  <c r="AY199" i="6"/>
  <c r="CS211" i="6"/>
  <c r="CS210" i="6"/>
  <c r="AU199" i="6"/>
  <c r="AU198" i="6"/>
  <c r="CC192" i="6"/>
  <c r="CC195" i="6"/>
  <c r="CC194" i="6"/>
  <c r="CN198" i="6"/>
  <c r="CN199" i="6"/>
  <c r="CU210" i="6"/>
  <c r="CU211" i="6"/>
  <c r="CQ200" i="6"/>
  <c r="V192" i="6"/>
  <c r="V194" i="6"/>
  <c r="V195" i="6"/>
  <c r="CV198" i="6"/>
  <c r="CV199" i="6"/>
  <c r="N198" i="6"/>
  <c r="N199" i="6"/>
  <c r="AV211" i="6"/>
  <c r="AV210" i="6"/>
  <c r="CY195" i="6"/>
  <c r="CY192" i="6"/>
  <c r="CY194" i="6"/>
  <c r="CF194" i="6"/>
  <c r="CF195" i="6"/>
  <c r="CF192" i="6"/>
  <c r="AI180" i="6"/>
  <c r="AI181" i="6"/>
  <c r="AI183" i="6"/>
  <c r="AI182" i="6"/>
  <c r="AY210" i="6"/>
  <c r="AY211" i="6"/>
  <c r="BZ196" i="6"/>
  <c r="BZ190" i="6"/>
  <c r="BZ197" i="6"/>
  <c r="BZ209" i="6"/>
  <c r="O197" i="6"/>
  <c r="CS200" i="6"/>
  <c r="CC182" i="6"/>
  <c r="CC180" i="6"/>
  <c r="CC181" i="6"/>
  <c r="CC183" i="6"/>
  <c r="I198" i="6"/>
  <c r="I199" i="6"/>
  <c r="W210" i="6"/>
  <c r="W211" i="6"/>
  <c r="CP196" i="6"/>
  <c r="CP190" i="6"/>
  <c r="CP197" i="6"/>
  <c r="CP209" i="6"/>
  <c r="CQ198" i="6"/>
  <c r="CQ199" i="6"/>
  <c r="V182" i="6"/>
  <c r="V181" i="6"/>
  <c r="V183" i="6"/>
  <c r="V180" i="6"/>
  <c r="CN110" i="6" l="1"/>
  <c r="CN112" i="6"/>
  <c r="CN113" i="6"/>
  <c r="CT109" i="6"/>
  <c r="BW96" i="6"/>
  <c r="BW102" i="6" s="1"/>
  <c r="BW107" i="6" s="1"/>
  <c r="AG197" i="6"/>
  <c r="AG200" i="6" s="1"/>
  <c r="BG126" i="6"/>
  <c r="BG21" i="6" s="1"/>
  <c r="BJ126" i="6"/>
  <c r="BJ21" i="6" s="1"/>
  <c r="CN108" i="6"/>
  <c r="CN116" i="6" s="1"/>
  <c r="CT97" i="6"/>
  <c r="AG209" i="6"/>
  <c r="AG210" i="6" s="1"/>
  <c r="CN127" i="6"/>
  <c r="CN128" i="6" s="1"/>
  <c r="CN22" i="6" s="1"/>
  <c r="AQ105" i="6"/>
  <c r="AO97" i="6"/>
  <c r="CH198" i="6"/>
  <c r="BN126" i="6"/>
  <c r="BN21" i="6" s="1"/>
  <c r="AW200" i="6"/>
  <c r="CD126" i="6"/>
  <c r="CD21" i="6" s="1"/>
  <c r="BQ99" i="6"/>
  <c r="AD198" i="6"/>
  <c r="AD199" i="6"/>
  <c r="DA210" i="6"/>
  <c r="G200" i="6"/>
  <c r="BQ100" i="6"/>
  <c r="BU209" i="6"/>
  <c r="BQ102" i="6"/>
  <c r="BQ107" i="6" s="1"/>
  <c r="AC196" i="6"/>
  <c r="CZ97" i="6"/>
  <c r="CZ101" i="6" s="1"/>
  <c r="DA96" i="6"/>
  <c r="DA102" i="6" s="1"/>
  <c r="DA107" i="6" s="1"/>
  <c r="DA109" i="6" s="1"/>
  <c r="BT106" i="6"/>
  <c r="CA102" i="6"/>
  <c r="CA107" i="6" s="1"/>
  <c r="CA109" i="6" s="1"/>
  <c r="CA110" i="6" s="1"/>
  <c r="CT211" i="6"/>
  <c r="O209" i="6"/>
  <c r="BN198" i="6"/>
  <c r="CH211" i="6"/>
  <c r="HI9" i="6" s="1"/>
  <c r="AZ211" i="6"/>
  <c r="CM105" i="6"/>
  <c r="O196" i="6"/>
  <c r="BA109" i="6"/>
  <c r="BU190" i="6"/>
  <c r="CU199" i="6"/>
  <c r="CA126" i="6"/>
  <c r="CA21" i="6" s="1"/>
  <c r="CN98" i="6"/>
  <c r="CN101" i="6"/>
  <c r="CN99" i="6"/>
  <c r="CN100" i="6"/>
  <c r="BJ102" i="6"/>
  <c r="BJ107" i="6" s="1"/>
  <c r="BJ109" i="6" s="1"/>
  <c r="CD98" i="6"/>
  <c r="BQ109" i="6"/>
  <c r="BQ113" i="6" s="1"/>
  <c r="CD100" i="6"/>
  <c r="CA99" i="6"/>
  <c r="CA100" i="6"/>
  <c r="CD102" i="6"/>
  <c r="CD107" i="6" s="1"/>
  <c r="CD109" i="6" s="1"/>
  <c r="CD110" i="6" s="1"/>
  <c r="CD127" i="6" s="1"/>
  <c r="BW105" i="6"/>
  <c r="BW109" i="6" s="1"/>
  <c r="BW113" i="6" s="1"/>
  <c r="CA113" i="6"/>
  <c r="BA126" i="6"/>
  <c r="BA21" i="6" s="1"/>
  <c r="M106" i="6"/>
  <c r="AN106" i="6"/>
  <c r="CD99" i="6"/>
  <c r="CA101" i="6"/>
  <c r="BP96" i="6"/>
  <c r="BP97" i="6" s="1"/>
  <c r="BF96" i="6"/>
  <c r="BF97" i="6" s="1"/>
  <c r="BF101" i="6" s="1"/>
  <c r="I105" i="6"/>
  <c r="I106" i="6" s="1"/>
  <c r="Y126" i="6"/>
  <c r="Y21" i="6" s="1"/>
  <c r="AZ126" i="6"/>
  <c r="AZ21" i="6" s="1"/>
  <c r="AZ109" i="6"/>
  <c r="AZ110" i="6" s="1"/>
  <c r="CC112" i="6"/>
  <c r="G126" i="6"/>
  <c r="G21" i="6" s="1"/>
  <c r="AA105" i="6"/>
  <c r="BX102" i="6"/>
  <c r="BX107" i="6" s="1"/>
  <c r="BX109" i="6" s="1"/>
  <c r="BX112" i="6" s="1"/>
  <c r="BW97" i="6"/>
  <c r="CM96" i="6"/>
  <c r="CU126" i="6"/>
  <c r="CU21" i="6" s="1"/>
  <c r="BI126" i="6"/>
  <c r="BI21" i="6" s="1"/>
  <c r="CC113" i="6"/>
  <c r="CC108" i="6"/>
  <c r="CC116" i="6" s="1"/>
  <c r="CC127" i="6"/>
  <c r="CC129" i="6" s="1"/>
  <c r="T109" i="6"/>
  <c r="T112" i="6" s="1"/>
  <c r="CC97" i="6"/>
  <c r="CC98" i="6" s="1"/>
  <c r="CO126" i="6"/>
  <c r="CO21" i="6" s="1"/>
  <c r="AG109" i="6"/>
  <c r="AG112" i="6" s="1"/>
  <c r="CR106" i="6"/>
  <c r="BX101" i="6"/>
  <c r="BX100" i="6"/>
  <c r="CC114" i="6"/>
  <c r="AF105" i="6"/>
  <c r="AF106" i="6" s="1"/>
  <c r="BX98" i="6"/>
  <c r="O105" i="6"/>
  <c r="O106" i="6" s="1"/>
  <c r="BQ110" i="6"/>
  <c r="BQ114" i="6" s="1"/>
  <c r="M109" i="6"/>
  <c r="X106" i="6"/>
  <c r="BF105" i="6"/>
  <c r="BF106" i="6" s="1"/>
  <c r="AZ100" i="6"/>
  <c r="AZ99" i="6"/>
  <c r="AZ101" i="6"/>
  <c r="S105" i="6"/>
  <c r="S106" i="6" s="1"/>
  <c r="BS106" i="6"/>
  <c r="AN98" i="6"/>
  <c r="CR102" i="6"/>
  <c r="CR107" i="6" s="1"/>
  <c r="CR109" i="6" s="1"/>
  <c r="CR97" i="6"/>
  <c r="AN102" i="6"/>
  <c r="AN107" i="6" s="1"/>
  <c r="AN109" i="6" s="1"/>
  <c r="AN113" i="6" s="1"/>
  <c r="AN99" i="6"/>
  <c r="DA106" i="6"/>
  <c r="BA97" i="6"/>
  <c r="BA101" i="6" s="1"/>
  <c r="T97" i="6"/>
  <c r="AN100" i="6"/>
  <c r="CY102" i="6"/>
  <c r="CY107" i="6" s="1"/>
  <c r="CY109" i="6" s="1"/>
  <c r="O96" i="6"/>
  <c r="O102" i="6" s="1"/>
  <c r="O107" i="6" s="1"/>
  <c r="T106" i="6"/>
  <c r="T126" i="6"/>
  <c r="T21" i="6" s="1"/>
  <c r="BN102" i="6"/>
  <c r="BN107" i="6" s="1"/>
  <c r="BN109" i="6" s="1"/>
  <c r="BN110" i="6" s="1"/>
  <c r="AP98" i="6"/>
  <c r="CJ98" i="6"/>
  <c r="CJ100" i="6"/>
  <c r="CJ101" i="6"/>
  <c r="CJ99" i="6"/>
  <c r="AP102" i="6"/>
  <c r="AP107" i="6" s="1"/>
  <c r="AP109" i="6" s="1"/>
  <c r="AP110" i="6" s="1"/>
  <c r="AP101" i="6"/>
  <c r="AP100" i="6"/>
  <c r="BE102" i="6"/>
  <c r="BE107" i="6" s="1"/>
  <c r="CI102" i="6"/>
  <c r="CI107" i="6" s="1"/>
  <c r="CI109" i="6" s="1"/>
  <c r="CI110" i="6" s="1"/>
  <c r="CJ113" i="6"/>
  <c r="CJ110" i="6"/>
  <c r="CJ112" i="6"/>
  <c r="F97" i="6"/>
  <c r="F107" i="6"/>
  <c r="F109" i="6" s="1"/>
  <c r="X97" i="6"/>
  <c r="X102" i="6"/>
  <c r="X107" i="6" s="1"/>
  <c r="X109" i="6" s="1"/>
  <c r="AS102" i="6"/>
  <c r="AS107" i="6" s="1"/>
  <c r="AS109" i="6" s="1"/>
  <c r="AS113" i="6" s="1"/>
  <c r="BM102" i="6"/>
  <c r="BM107" i="6" s="1"/>
  <c r="BM109" i="6" s="1"/>
  <c r="BM112" i="6" s="1"/>
  <c r="AH97" i="6"/>
  <c r="AH98" i="6" s="1"/>
  <c r="K97" i="6"/>
  <c r="K102" i="6"/>
  <c r="K107" i="6" s="1"/>
  <c r="K109" i="6" s="1"/>
  <c r="K110" i="6" s="1"/>
  <c r="K114" i="6" s="1"/>
  <c r="CP97" i="6"/>
  <c r="CP102" i="6"/>
  <c r="CP107" i="6" s="1"/>
  <c r="CP109" i="6" s="1"/>
  <c r="Y102" i="6"/>
  <c r="Y107" i="6" s="1"/>
  <c r="Y109" i="6" s="1"/>
  <c r="Y113" i="6" s="1"/>
  <c r="Y97" i="6"/>
  <c r="BY96" i="6"/>
  <c r="BY102" i="6" s="1"/>
  <c r="BY107" i="6" s="1"/>
  <c r="AX97" i="6"/>
  <c r="AX102" i="6"/>
  <c r="AX107" i="6" s="1"/>
  <c r="AX109" i="6" s="1"/>
  <c r="CP126" i="6"/>
  <c r="CP21" i="6" s="1"/>
  <c r="CP106" i="6"/>
  <c r="BL126" i="6"/>
  <c r="BL21" i="6" s="1"/>
  <c r="BL106" i="6"/>
  <c r="BB126" i="6"/>
  <c r="BB21" i="6" s="1"/>
  <c r="BB106" i="6"/>
  <c r="AW102" i="6"/>
  <c r="AW107" i="6" s="1"/>
  <c r="AW109" i="6" s="1"/>
  <c r="AW97" i="6"/>
  <c r="K126" i="6"/>
  <c r="K21" i="6" s="1"/>
  <c r="K106" i="6"/>
  <c r="W106" i="6"/>
  <c r="CL106" i="6"/>
  <c r="CL126" i="6"/>
  <c r="CL21" i="6" s="1"/>
  <c r="BU126" i="6"/>
  <c r="BU21" i="6" s="1"/>
  <c r="BU106" i="6"/>
  <c r="BU97" i="6"/>
  <c r="BU102" i="6"/>
  <c r="BU107" i="6" s="1"/>
  <c r="BU109" i="6" s="1"/>
  <c r="M99" i="6"/>
  <c r="M100" i="6"/>
  <c r="M98" i="6"/>
  <c r="M101" i="6"/>
  <c r="V97" i="6"/>
  <c r="V102" i="6"/>
  <c r="V107" i="6" s="1"/>
  <c r="V109" i="6" s="1"/>
  <c r="AB102" i="6"/>
  <c r="AB107" i="6" s="1"/>
  <c r="AB109" i="6" s="1"/>
  <c r="AB113" i="6" s="1"/>
  <c r="BH105" i="6"/>
  <c r="BH106" i="6" s="1"/>
  <c r="CG126" i="6"/>
  <c r="CG21" i="6" s="1"/>
  <c r="CG106" i="6"/>
  <c r="BY105" i="6"/>
  <c r="BY106" i="6" s="1"/>
  <c r="CL97" i="6"/>
  <c r="CL102" i="6"/>
  <c r="CL107" i="6" s="1"/>
  <c r="CL109" i="6" s="1"/>
  <c r="CR110" i="6"/>
  <c r="CR113" i="6"/>
  <c r="CR112" i="6"/>
  <c r="W97" i="6"/>
  <c r="W102" i="6"/>
  <c r="W107" i="6" s="1"/>
  <c r="W109" i="6" s="1"/>
  <c r="CT98" i="6"/>
  <c r="CT100" i="6"/>
  <c r="CT99" i="6"/>
  <c r="CT101" i="6"/>
  <c r="AM102" i="6"/>
  <c r="AM107" i="6" s="1"/>
  <c r="AM109" i="6" s="1"/>
  <c r="AM113" i="6" s="1"/>
  <c r="AP106" i="6"/>
  <c r="AP126" i="6"/>
  <c r="AP21" i="6" s="1"/>
  <c r="CT110" i="6"/>
  <c r="CT112" i="6"/>
  <c r="CT113" i="6"/>
  <c r="H106" i="6"/>
  <c r="H126" i="6"/>
  <c r="H21" i="6" s="1"/>
  <c r="BP126" i="6"/>
  <c r="BP21" i="6" s="1"/>
  <c r="BR105" i="6"/>
  <c r="BR106" i="6" s="1"/>
  <c r="CG97" i="6"/>
  <c r="CG102" i="6"/>
  <c r="CG107" i="6" s="1"/>
  <c r="CG109" i="6" s="1"/>
  <c r="BG102" i="6"/>
  <c r="BG107" i="6" s="1"/>
  <c r="BG109" i="6" s="1"/>
  <c r="BG112" i="6" s="1"/>
  <c r="CW102" i="6"/>
  <c r="CW107" i="6" s="1"/>
  <c r="CW109" i="6" s="1"/>
  <c r="CW97" i="6"/>
  <c r="CZ113" i="6"/>
  <c r="CZ112" i="6"/>
  <c r="CZ110" i="6"/>
  <c r="BZ113" i="6"/>
  <c r="BZ110" i="6"/>
  <c r="BZ112" i="6"/>
  <c r="BZ101" i="6"/>
  <c r="BZ98" i="6"/>
  <c r="BZ99" i="6"/>
  <c r="BZ100" i="6"/>
  <c r="AE97" i="6"/>
  <c r="AE102" i="6"/>
  <c r="AE107" i="6" s="1"/>
  <c r="AE109" i="6" s="1"/>
  <c r="AY96" i="6"/>
  <c r="AY102" i="6" s="1"/>
  <c r="AY107" i="6" s="1"/>
  <c r="AY109" i="6" s="1"/>
  <c r="AJ126" i="6"/>
  <c r="AJ21" i="6" s="1"/>
  <c r="AJ106" i="6"/>
  <c r="R97" i="6"/>
  <c r="R102" i="6"/>
  <c r="R107" i="6" s="1"/>
  <c r="R109" i="6" s="1"/>
  <c r="I102" i="6"/>
  <c r="I107" i="6" s="1"/>
  <c r="I109" i="6" s="1"/>
  <c r="I97" i="6"/>
  <c r="P102" i="6"/>
  <c r="P107" i="6" s="1"/>
  <c r="P109" i="6" s="1"/>
  <c r="P97" i="6"/>
  <c r="BL97" i="6"/>
  <c r="BL102" i="6"/>
  <c r="BL107" i="6" s="1"/>
  <c r="BL109" i="6" s="1"/>
  <c r="BC96" i="6"/>
  <c r="BC102" i="6" s="1"/>
  <c r="BC107" i="6" s="1"/>
  <c r="BS97" i="6"/>
  <c r="BS102" i="6"/>
  <c r="BS107" i="6" s="1"/>
  <c r="BS109" i="6" s="1"/>
  <c r="BD113" i="6"/>
  <c r="BD112" i="6"/>
  <c r="BD110" i="6"/>
  <c r="BD98" i="6"/>
  <c r="BD100" i="6"/>
  <c r="BD99" i="6"/>
  <c r="BD101" i="6"/>
  <c r="CK97" i="6"/>
  <c r="CK102" i="6"/>
  <c r="CK107" i="6" s="1"/>
  <c r="CK109" i="6" s="1"/>
  <c r="AF96" i="6"/>
  <c r="AF102" i="6" s="1"/>
  <c r="AF107" i="6" s="1"/>
  <c r="AV105" i="6"/>
  <c r="AV106" i="6" s="1"/>
  <c r="CX97" i="6"/>
  <c r="CX102" i="6"/>
  <c r="CX107" i="6" s="1"/>
  <c r="CX109" i="6" s="1"/>
  <c r="CX112" i="6" s="1"/>
  <c r="N96" i="6"/>
  <c r="N102" i="6" s="1"/>
  <c r="N107" i="6" s="1"/>
  <c r="N109" i="6" s="1"/>
  <c r="CB97" i="6"/>
  <c r="CB102" i="6"/>
  <c r="CB107" i="6" s="1"/>
  <c r="CB109" i="6" s="1"/>
  <c r="AR112" i="6"/>
  <c r="AR110" i="6"/>
  <c r="AR113" i="6"/>
  <c r="AR101" i="6"/>
  <c r="AR100" i="6"/>
  <c r="AR98" i="6"/>
  <c r="AR99" i="6"/>
  <c r="R106" i="6"/>
  <c r="R126" i="6"/>
  <c r="R21" i="6" s="1"/>
  <c r="AO101" i="6"/>
  <c r="AO99" i="6"/>
  <c r="AO98" i="6"/>
  <c r="AO100" i="6"/>
  <c r="AQ96" i="6"/>
  <c r="AQ102" i="6" s="1"/>
  <c r="AQ107" i="6" s="1"/>
  <c r="AQ109" i="6" s="1"/>
  <c r="AO110" i="6"/>
  <c r="AO112" i="6"/>
  <c r="AO113" i="6"/>
  <c r="AU97" i="6"/>
  <c r="AU102" i="6"/>
  <c r="AU107" i="6" s="1"/>
  <c r="AU109" i="6" s="1"/>
  <c r="AG100" i="6"/>
  <c r="AG101" i="6"/>
  <c r="AG98" i="6"/>
  <c r="AG99" i="6"/>
  <c r="U126" i="6"/>
  <c r="U21" i="6" s="1"/>
  <c r="U106" i="6"/>
  <c r="AA96" i="6"/>
  <c r="BI97" i="6"/>
  <c r="BI102" i="6"/>
  <c r="BI107" i="6" s="1"/>
  <c r="BI109" i="6" s="1"/>
  <c r="AI100" i="6"/>
  <c r="AI99" i="6"/>
  <c r="AI98" i="6"/>
  <c r="AI101" i="6"/>
  <c r="BW98" i="6"/>
  <c r="BW99" i="6"/>
  <c r="BW101" i="6"/>
  <c r="BW100" i="6"/>
  <c r="AS98" i="6"/>
  <c r="AS99" i="6"/>
  <c r="AS100" i="6"/>
  <c r="AS101" i="6"/>
  <c r="P126" i="6"/>
  <c r="P21" i="6" s="1"/>
  <c r="P106" i="6"/>
  <c r="BT102" i="6"/>
  <c r="BT107" i="6" s="1"/>
  <c r="BT109" i="6" s="1"/>
  <c r="BT97" i="6"/>
  <c r="L97" i="6"/>
  <c r="L102" i="6"/>
  <c r="L107" i="6" s="1"/>
  <c r="L109" i="6" s="1"/>
  <c r="BW106" i="6"/>
  <c r="CH100" i="6"/>
  <c r="CH101" i="6"/>
  <c r="CH98" i="6"/>
  <c r="CH99" i="6"/>
  <c r="AH110" i="6"/>
  <c r="AH112" i="6"/>
  <c r="AH113" i="6"/>
  <c r="BY97" i="6"/>
  <c r="CF110" i="6"/>
  <c r="CF113" i="6"/>
  <c r="CF112" i="6"/>
  <c r="BB102" i="6"/>
  <c r="BB107" i="6" s="1"/>
  <c r="BB109" i="6" s="1"/>
  <c r="BB97" i="6"/>
  <c r="AY126" i="6"/>
  <c r="AY21" i="6" s="1"/>
  <c r="AY106" i="6"/>
  <c r="AM101" i="6"/>
  <c r="AM100" i="6"/>
  <c r="AM98" i="6"/>
  <c r="AM99" i="6"/>
  <c r="CO102" i="6"/>
  <c r="CO107" i="6" s="1"/>
  <c r="CO109" i="6" s="1"/>
  <c r="CO97" i="6"/>
  <c r="CM97" i="6"/>
  <c r="CM102" i="6"/>
  <c r="CM107" i="6" s="1"/>
  <c r="CM109" i="6" s="1"/>
  <c r="BR96" i="6"/>
  <c r="N126" i="6"/>
  <c r="N21" i="6" s="1"/>
  <c r="N106" i="6"/>
  <c r="AA126" i="6"/>
  <c r="AA21" i="6" s="1"/>
  <c r="AA106" i="6"/>
  <c r="BV97" i="6"/>
  <c r="BV102" i="6"/>
  <c r="BV107" i="6" s="1"/>
  <c r="BV109" i="6" s="1"/>
  <c r="AQ106" i="6"/>
  <c r="AQ126" i="6"/>
  <c r="AQ21" i="6" s="1"/>
  <c r="G102" i="6"/>
  <c r="G107" i="6" s="1"/>
  <c r="G109" i="6" s="1"/>
  <c r="G97" i="6"/>
  <c r="AT96" i="6"/>
  <c r="M112" i="6"/>
  <c r="M110" i="6"/>
  <c r="M113" i="6"/>
  <c r="U96" i="6"/>
  <c r="CI100" i="6"/>
  <c r="CI98" i="6"/>
  <c r="CI101" i="6"/>
  <c r="CI99" i="6"/>
  <c r="BM99" i="6"/>
  <c r="BM101" i="6"/>
  <c r="BM100" i="6"/>
  <c r="BM98" i="6"/>
  <c r="BH126" i="6"/>
  <c r="BH21" i="6" s="1"/>
  <c r="AL102" i="6"/>
  <c r="AL107" i="6" s="1"/>
  <c r="AL109" i="6" s="1"/>
  <c r="AL97" i="6"/>
  <c r="BF99" i="6"/>
  <c r="BF100" i="6"/>
  <c r="AT105" i="6"/>
  <c r="Q96" i="6"/>
  <c r="AD102" i="6"/>
  <c r="AD107" i="6" s="1"/>
  <c r="AD109" i="6" s="1"/>
  <c r="AD97" i="6"/>
  <c r="AJ97" i="6"/>
  <c r="AJ102" i="6"/>
  <c r="AJ107" i="6" s="1"/>
  <c r="AJ109" i="6" s="1"/>
  <c r="BG100" i="6"/>
  <c r="BG99" i="6"/>
  <c r="BG98" i="6"/>
  <c r="BG101" i="6"/>
  <c r="BM209" i="6"/>
  <c r="BM190" i="6"/>
  <c r="BM196" i="6"/>
  <c r="BM197" i="6"/>
  <c r="BE109" i="6"/>
  <c r="AC112" i="6"/>
  <c r="AC113" i="6"/>
  <c r="AC110" i="6"/>
  <c r="J102" i="6"/>
  <c r="J107" i="6" s="1"/>
  <c r="J109" i="6" s="1"/>
  <c r="J97" i="6"/>
  <c r="BH96" i="6"/>
  <c r="CS97" i="6"/>
  <c r="CS102" i="6"/>
  <c r="CS107" i="6" s="1"/>
  <c r="CS109" i="6" s="1"/>
  <c r="BJ98" i="6"/>
  <c r="BJ100" i="6"/>
  <c r="BJ101" i="6"/>
  <c r="BJ99" i="6"/>
  <c r="BN99" i="6"/>
  <c r="BN100" i="6"/>
  <c r="BN101" i="6"/>
  <c r="BN98" i="6"/>
  <c r="Q106" i="6"/>
  <c r="Q126" i="6"/>
  <c r="Q21" i="6" s="1"/>
  <c r="CU97" i="6"/>
  <c r="CU102" i="6"/>
  <c r="CU107" i="6" s="1"/>
  <c r="CU109" i="6" s="1"/>
  <c r="Z96" i="6"/>
  <c r="BO102" i="6"/>
  <c r="BO107" i="6" s="1"/>
  <c r="BO109" i="6" s="1"/>
  <c r="BO97" i="6"/>
  <c r="BE126" i="6"/>
  <c r="BE21" i="6" s="1"/>
  <c r="BE106" i="6"/>
  <c r="BE98" i="6"/>
  <c r="BE99" i="6"/>
  <c r="BE101" i="6"/>
  <c r="BE100" i="6"/>
  <c r="AC101" i="6"/>
  <c r="AC100" i="6"/>
  <c r="AC99" i="6"/>
  <c r="AC98" i="6"/>
  <c r="CX126" i="6"/>
  <c r="CX21" i="6" s="1"/>
  <c r="CX106" i="6"/>
  <c r="BK97" i="6"/>
  <c r="BK102" i="6"/>
  <c r="BK107" i="6" s="1"/>
  <c r="BK109" i="6" s="1"/>
  <c r="CE102" i="6"/>
  <c r="CE107" i="6" s="1"/>
  <c r="CE109" i="6" s="1"/>
  <c r="CE97" i="6"/>
  <c r="BJ113" i="6"/>
  <c r="BJ110" i="6"/>
  <c r="BJ112" i="6"/>
  <c r="CV96" i="6"/>
  <c r="DA97" i="6"/>
  <c r="CM106" i="6"/>
  <c r="CM126" i="6"/>
  <c r="CM21" i="6" s="1"/>
  <c r="BA110" i="6"/>
  <c r="BA113" i="6"/>
  <c r="BA112" i="6"/>
  <c r="CQ105" i="6"/>
  <c r="CY113" i="6"/>
  <c r="CY110" i="6"/>
  <c r="CY112" i="6"/>
  <c r="Z106" i="6"/>
  <c r="Z126" i="6"/>
  <c r="Z21" i="6" s="1"/>
  <c r="CV126" i="6"/>
  <c r="CV21" i="6" s="1"/>
  <c r="CV106" i="6"/>
  <c r="AI110" i="6"/>
  <c r="AI112" i="6"/>
  <c r="AI113" i="6"/>
  <c r="BC105" i="6"/>
  <c r="BP100" i="6"/>
  <c r="BP99" i="6"/>
  <c r="BP101" i="6"/>
  <c r="BP98" i="6"/>
  <c r="S96" i="6"/>
  <c r="AB100" i="6"/>
  <c r="AB99" i="6"/>
  <c r="AB98" i="6"/>
  <c r="AB101" i="6"/>
  <c r="AK97" i="6"/>
  <c r="AK102" i="6"/>
  <c r="AK107" i="6" s="1"/>
  <c r="AK109" i="6" s="1"/>
  <c r="H102" i="6"/>
  <c r="H107" i="6" s="1"/>
  <c r="H109" i="6" s="1"/>
  <c r="H97" i="6"/>
  <c r="AV96" i="6"/>
  <c r="CH110" i="6"/>
  <c r="CH112" i="6"/>
  <c r="CH113" i="6"/>
  <c r="CQ96" i="6"/>
  <c r="CY101" i="6"/>
  <c r="CY99" i="6"/>
  <c r="CY98" i="6"/>
  <c r="CY100" i="6"/>
  <c r="W26" i="6"/>
  <c r="EX8" i="6"/>
  <c r="AW26" i="6"/>
  <c r="FX8" i="6"/>
  <c r="BI27" i="6"/>
  <c r="GJ9" i="6"/>
  <c r="CR26" i="6"/>
  <c r="HS8" i="6"/>
  <c r="AY27" i="6"/>
  <c r="FZ9" i="6"/>
  <c r="CW27" i="6"/>
  <c r="HX9" i="6"/>
  <c r="CI26" i="6"/>
  <c r="HJ8" i="6"/>
  <c r="AM27" i="6"/>
  <c r="FN9" i="6"/>
  <c r="DA27" i="6"/>
  <c r="IB9" i="6"/>
  <c r="AY26" i="6"/>
  <c r="FZ8" i="6"/>
  <c r="CQ26" i="6"/>
  <c r="HR8" i="6"/>
  <c r="AN26" i="6"/>
  <c r="FO8" i="6"/>
  <c r="BF26" i="6"/>
  <c r="GG8" i="6"/>
  <c r="X27" i="6"/>
  <c r="EY9" i="6"/>
  <c r="AM26" i="6"/>
  <c r="FN8" i="6"/>
  <c r="AV26" i="6"/>
  <c r="FW8" i="6"/>
  <c r="CU27" i="6"/>
  <c r="HV9" i="6"/>
  <c r="CV26" i="6"/>
  <c r="HW8" i="6"/>
  <c r="CQ27" i="6"/>
  <c r="HR9" i="6"/>
  <c r="BA26" i="6"/>
  <c r="GB8" i="6"/>
  <c r="AN27" i="6"/>
  <c r="FO9" i="6"/>
  <c r="I26" i="6"/>
  <c r="EJ8" i="6"/>
  <c r="Y27" i="6"/>
  <c r="EZ9" i="6"/>
  <c r="AG26" i="6"/>
  <c r="FH8" i="6"/>
  <c r="CM26" i="6"/>
  <c r="HN8" i="6"/>
  <c r="AA26" i="6"/>
  <c r="FB8" i="6"/>
  <c r="CB27" i="6"/>
  <c r="HC9" i="6"/>
  <c r="AZ27" i="6"/>
  <c r="GA9" i="6"/>
  <c r="CN26" i="6"/>
  <c r="HO8" i="6"/>
  <c r="CE26" i="6"/>
  <c r="HF8" i="6"/>
  <c r="AV27" i="6"/>
  <c r="FW9" i="6"/>
  <c r="CU26" i="6"/>
  <c r="HV8" i="6"/>
  <c r="CS26" i="6"/>
  <c r="HT8" i="6"/>
  <c r="CV27" i="6"/>
  <c r="HW9" i="6"/>
  <c r="CT27" i="6"/>
  <c r="HU9" i="6"/>
  <c r="BH27" i="6"/>
  <c r="GI9" i="6"/>
  <c r="BA27" i="6"/>
  <c r="GB9" i="6"/>
  <c r="T26" i="6"/>
  <c r="EU8" i="6"/>
  <c r="AS26" i="6"/>
  <c r="FT8" i="6"/>
  <c r="DA26" i="6"/>
  <c r="IB8" i="6"/>
  <c r="AQ27" i="6"/>
  <c r="FR9" i="6"/>
  <c r="CS27" i="6"/>
  <c r="HT9" i="6"/>
  <c r="CT26" i="6"/>
  <c r="HU8" i="6"/>
  <c r="CD26" i="6"/>
  <c r="HE8" i="6"/>
  <c r="BH26" i="6"/>
  <c r="GI8" i="6"/>
  <c r="T27" i="6"/>
  <c r="EU9" i="6"/>
  <c r="AU27" i="6"/>
  <c r="FV9" i="6"/>
  <c r="BN26" i="6"/>
  <c r="GO8" i="6"/>
  <c r="Q26" i="6"/>
  <c r="ER8" i="6"/>
  <c r="BS26" i="6"/>
  <c r="GT8" i="6"/>
  <c r="CD27" i="6"/>
  <c r="HE9" i="6"/>
  <c r="BW27" i="6"/>
  <c r="GX9" i="6"/>
  <c r="BT26" i="6"/>
  <c r="GU8" i="6"/>
  <c r="Y26" i="6"/>
  <c r="EZ8" i="6"/>
  <c r="W27" i="6"/>
  <c r="EX9" i="6"/>
  <c r="CH26" i="6"/>
  <c r="HI8" i="6"/>
  <c r="AW27" i="6"/>
  <c r="FX9" i="6"/>
  <c r="BI26" i="6"/>
  <c r="GJ8" i="6"/>
  <c r="AD26" i="6"/>
  <c r="FE8" i="6"/>
  <c r="N27" i="6"/>
  <c r="EO9" i="6"/>
  <c r="CA27" i="6"/>
  <c r="HB9" i="6"/>
  <c r="AZ26" i="6"/>
  <c r="GA8" i="6"/>
  <c r="BU196" i="6"/>
  <c r="AZ200" i="6"/>
  <c r="AT196" i="6"/>
  <c r="AT190" i="6"/>
  <c r="AT198" i="6" s="1"/>
  <c r="AT197" i="6"/>
  <c r="BQ209" i="6"/>
  <c r="BQ190" i="6"/>
  <c r="BQ197" i="6"/>
  <c r="BQ196" i="6"/>
  <c r="CN211" i="6"/>
  <c r="AA200" i="6"/>
  <c r="AB200" i="6"/>
  <c r="AQ198" i="6"/>
  <c r="AQ210" i="6"/>
  <c r="Y199" i="6"/>
  <c r="CN200" i="6"/>
  <c r="AB198" i="6"/>
  <c r="AB199" i="6"/>
  <c r="AB210" i="6"/>
  <c r="AB211" i="6"/>
  <c r="AL190" i="6"/>
  <c r="AL197" i="6"/>
  <c r="AL209" i="6"/>
  <c r="AL196" i="6"/>
  <c r="BV209" i="6"/>
  <c r="BV211" i="6" s="1"/>
  <c r="BV190" i="6"/>
  <c r="BV198" i="6" s="1"/>
  <c r="BV196" i="6"/>
  <c r="BV200" i="6" s="1"/>
  <c r="AK190" i="6"/>
  <c r="AK197" i="6"/>
  <c r="AK196" i="6"/>
  <c r="AK209" i="6"/>
  <c r="AP190" i="6"/>
  <c r="AP199" i="6" s="1"/>
  <c r="I200" i="6"/>
  <c r="CG198" i="6"/>
  <c r="CG199" i="6"/>
  <c r="Q211" i="6"/>
  <c r="CG210" i="6"/>
  <c r="CG211" i="6"/>
  <c r="AP209" i="6"/>
  <c r="AP210" i="6" s="1"/>
  <c r="CG200" i="6"/>
  <c r="CI199" i="6"/>
  <c r="Q198" i="6"/>
  <c r="Q199" i="6"/>
  <c r="M200" i="6"/>
  <c r="BO196" i="6"/>
  <c r="BO190" i="6"/>
  <c r="BO209" i="6"/>
  <c r="BO197" i="6"/>
  <c r="Z200" i="6"/>
  <c r="M211" i="6"/>
  <c r="M210" i="6"/>
  <c r="M199" i="6"/>
  <c r="M198" i="6"/>
  <c r="CM211" i="6"/>
  <c r="AC190" i="6"/>
  <c r="AC198" i="6" s="1"/>
  <c r="CU200" i="6"/>
  <c r="R196" i="6"/>
  <c r="X210" i="6"/>
  <c r="BT200" i="6"/>
  <c r="N210" i="6"/>
  <c r="AH196" i="6"/>
  <c r="BF197" i="6"/>
  <c r="X198" i="6"/>
  <c r="AH190" i="6"/>
  <c r="AH198" i="6" s="1"/>
  <c r="AC209" i="6"/>
  <c r="AC211" i="6" s="1"/>
  <c r="AG211" i="6"/>
  <c r="P210" i="6"/>
  <c r="P211" i="6"/>
  <c r="CM198" i="6"/>
  <c r="AE196" i="6"/>
  <c r="AA211" i="6"/>
  <c r="BH198" i="6"/>
  <c r="P200" i="6"/>
  <c r="BH200" i="6"/>
  <c r="P199" i="6"/>
  <c r="P198" i="6"/>
  <c r="BN211" i="6"/>
  <c r="CL197" i="6"/>
  <c r="BT211" i="6"/>
  <c r="CN117" i="6"/>
  <c r="AU200" i="6"/>
  <c r="BF196" i="6"/>
  <c r="BF190" i="6"/>
  <c r="Z199" i="6"/>
  <c r="Z198" i="6"/>
  <c r="AH197" i="6"/>
  <c r="AG198" i="6"/>
  <c r="AE197" i="6"/>
  <c r="Z211" i="6"/>
  <c r="Z210" i="6"/>
  <c r="AE209" i="6"/>
  <c r="AE210" i="6" s="1"/>
  <c r="BD209" i="6"/>
  <c r="BD210" i="6" s="1"/>
  <c r="CL209" i="6"/>
  <c r="CL211" i="6" s="1"/>
  <c r="CI211" i="6"/>
  <c r="H197" i="6"/>
  <c r="CX190" i="6"/>
  <c r="CX198" i="6" s="1"/>
  <c r="H196" i="6"/>
  <c r="BD190" i="6"/>
  <c r="BD199" i="6" s="1"/>
  <c r="BJ190" i="6"/>
  <c r="BJ198" i="6" s="1"/>
  <c r="BJ209" i="6"/>
  <c r="BJ210" i="6" s="1"/>
  <c r="CL196" i="6"/>
  <c r="H209" i="6"/>
  <c r="H210" i="6" s="1"/>
  <c r="BJ197" i="6"/>
  <c r="BJ200" i="6" s="1"/>
  <c r="F190" i="6"/>
  <c r="F209" i="6"/>
  <c r="F196" i="6"/>
  <c r="F197" i="6"/>
  <c r="BD196" i="6"/>
  <c r="BD200" i="6" s="1"/>
  <c r="AU210" i="6"/>
  <c r="I211" i="6"/>
  <c r="BF211" i="6"/>
  <c r="BC209" i="6"/>
  <c r="BC211" i="6" s="1"/>
  <c r="AS211" i="6"/>
  <c r="BC190" i="6"/>
  <c r="BC198" i="6" s="1"/>
  <c r="BC196" i="6"/>
  <c r="BC200" i="6" s="1"/>
  <c r="AS200" i="6"/>
  <c r="CZ200" i="6"/>
  <c r="CZ199" i="6"/>
  <c r="CZ198" i="6"/>
  <c r="CZ210" i="6"/>
  <c r="CZ211" i="6"/>
  <c r="R209" i="6"/>
  <c r="R210" i="6" s="1"/>
  <c r="R197" i="6"/>
  <c r="CX209" i="6"/>
  <c r="CX211" i="6" s="1"/>
  <c r="CX197" i="6"/>
  <c r="CX200" i="6" s="1"/>
  <c r="BR196" i="6"/>
  <c r="BR200" i="6" s="1"/>
  <c r="AR200" i="6"/>
  <c r="BR209" i="6"/>
  <c r="BR210" i="6" s="1"/>
  <c r="BR190" i="6"/>
  <c r="BR199" i="6" s="1"/>
  <c r="J200" i="6"/>
  <c r="BX199" i="6"/>
  <c r="BX198" i="6"/>
  <c r="CP200" i="6"/>
  <c r="BZ200" i="6"/>
  <c r="AR211" i="6"/>
  <c r="AR210" i="6"/>
  <c r="BX200" i="6"/>
  <c r="AR198" i="6"/>
  <c r="AR199" i="6"/>
  <c r="BX210" i="6"/>
  <c r="BX211" i="6"/>
  <c r="AC200" i="6"/>
  <c r="AX200" i="6"/>
  <c r="BE200" i="6"/>
  <c r="BL200" i="6"/>
  <c r="BU200" i="6"/>
  <c r="CD129" i="6"/>
  <c r="CD128" i="6"/>
  <c r="V209" i="6"/>
  <c r="V196" i="6"/>
  <c r="V190" i="6"/>
  <c r="V197" i="6"/>
  <c r="S196" i="6"/>
  <c r="S197" i="6"/>
  <c r="S190" i="6"/>
  <c r="S209" i="6"/>
  <c r="BG197" i="6"/>
  <c r="BG196" i="6"/>
  <c r="BG190" i="6"/>
  <c r="BG209" i="6"/>
  <c r="CP199" i="6"/>
  <c r="CP198" i="6"/>
  <c r="BZ199" i="6"/>
  <c r="BZ198" i="6"/>
  <c r="AI197" i="6"/>
  <c r="AI190" i="6"/>
  <c r="AI196" i="6"/>
  <c r="AI209" i="6"/>
  <c r="H198" i="6"/>
  <c r="H199" i="6"/>
  <c r="L211" i="6"/>
  <c r="L210" i="6"/>
  <c r="U200" i="6"/>
  <c r="CP211" i="6"/>
  <c r="CP210" i="6"/>
  <c r="AH210" i="6"/>
  <c r="AH211" i="6"/>
  <c r="L198" i="6"/>
  <c r="L199" i="6"/>
  <c r="O210" i="6"/>
  <c r="O211" i="6"/>
  <c r="CC196" i="6"/>
  <c r="CC209" i="6"/>
  <c r="CC190" i="6"/>
  <c r="CC197" i="6"/>
  <c r="AX211" i="6"/>
  <c r="AX210" i="6"/>
  <c r="BU210" i="6"/>
  <c r="BU211" i="6"/>
  <c r="BL211" i="6"/>
  <c r="BL210" i="6"/>
  <c r="AE198" i="6"/>
  <c r="AE199" i="6"/>
  <c r="AX199" i="6"/>
  <c r="AX198" i="6"/>
  <c r="L200" i="6"/>
  <c r="K199" i="6"/>
  <c r="K198" i="6"/>
  <c r="BB211" i="6"/>
  <c r="BB210" i="6"/>
  <c r="U199" i="6"/>
  <c r="U198" i="6"/>
  <c r="AJ210" i="6"/>
  <c r="AJ211" i="6"/>
  <c r="AT199" i="6"/>
  <c r="CL198" i="6"/>
  <c r="CL199" i="6"/>
  <c r="AP200" i="6"/>
  <c r="K200" i="6"/>
  <c r="BU198" i="6"/>
  <c r="BU199" i="6"/>
  <c r="AJ199" i="6"/>
  <c r="AJ198" i="6"/>
  <c r="BE211" i="6"/>
  <c r="BE210" i="6"/>
  <c r="BB199" i="6"/>
  <c r="BB198" i="6"/>
  <c r="BZ211" i="6"/>
  <c r="BZ210" i="6"/>
  <c r="J210" i="6"/>
  <c r="J211" i="6"/>
  <c r="U210" i="6"/>
  <c r="U211" i="6"/>
  <c r="BE199" i="6"/>
  <c r="BE198" i="6"/>
  <c r="CY190" i="6"/>
  <c r="CY209" i="6"/>
  <c r="CY196" i="6"/>
  <c r="CY197" i="6"/>
  <c r="J198" i="6"/>
  <c r="J199" i="6"/>
  <c r="BY196" i="6"/>
  <c r="BY190" i="6"/>
  <c r="BY197" i="6"/>
  <c r="BY209" i="6"/>
  <c r="K210" i="6"/>
  <c r="K211" i="6"/>
  <c r="AC199" i="6"/>
  <c r="O198" i="6"/>
  <c r="O199" i="6"/>
  <c r="R198" i="6"/>
  <c r="R199" i="6"/>
  <c r="O200" i="6"/>
  <c r="AT210" i="6"/>
  <c r="AT211" i="6"/>
  <c r="CF190" i="6"/>
  <c r="CF197" i="6"/>
  <c r="CF196" i="6"/>
  <c r="CF209" i="6"/>
  <c r="BK190" i="6"/>
  <c r="BK209" i="6"/>
  <c r="BK197" i="6"/>
  <c r="BK196" i="6"/>
  <c r="AP198" i="6"/>
  <c r="AJ200" i="6"/>
  <c r="BB200" i="6"/>
  <c r="BL198" i="6"/>
  <c r="BL199" i="6"/>
  <c r="CD115" i="6" l="1"/>
  <c r="AN112" i="6"/>
  <c r="AN110" i="6"/>
  <c r="AN114" i="6" s="1"/>
  <c r="CN115" i="6"/>
  <c r="CN114" i="6"/>
  <c r="BM200" i="6"/>
  <c r="O97" i="6"/>
  <c r="CC101" i="6"/>
  <c r="CH27" i="6"/>
  <c r="CZ98" i="6"/>
  <c r="CZ100" i="6"/>
  <c r="HO6" i="6"/>
  <c r="CZ99" i="6"/>
  <c r="CC99" i="6"/>
  <c r="CA112" i="6"/>
  <c r="CC100" i="6"/>
  <c r="CN129" i="6"/>
  <c r="CA114" i="6"/>
  <c r="CA127" i="6"/>
  <c r="CA128" i="6" s="1"/>
  <c r="CA22" i="6" s="1"/>
  <c r="CA108" i="6"/>
  <c r="CA117" i="6" s="1"/>
  <c r="CA115" i="6"/>
  <c r="AE200" i="6"/>
  <c r="CX110" i="6"/>
  <c r="BQ112" i="6"/>
  <c r="AG110" i="6"/>
  <c r="BQ127" i="6"/>
  <c r="BQ128" i="6" s="1"/>
  <c r="BQ115" i="6"/>
  <c r="BF102" i="6"/>
  <c r="BF107" i="6" s="1"/>
  <c r="BF109" i="6" s="1"/>
  <c r="AG113" i="6"/>
  <c r="BQ108" i="6"/>
  <c r="CD108" i="6"/>
  <c r="CD114" i="6"/>
  <c r="BP102" i="6"/>
  <c r="BP107" i="6" s="1"/>
  <c r="BP109" i="6" s="1"/>
  <c r="CD112" i="6"/>
  <c r="CD113" i="6"/>
  <c r="I126" i="6"/>
  <c r="I21" i="6" s="1"/>
  <c r="AT200" i="6"/>
  <c r="BF98" i="6"/>
  <c r="BW126" i="6"/>
  <c r="BW21" i="6" s="1"/>
  <c r="CX113" i="6"/>
  <c r="BQ129" i="6"/>
  <c r="BQ23" i="6" s="1"/>
  <c r="AZ113" i="6"/>
  <c r="BF126" i="6"/>
  <c r="BF21" i="6" s="1"/>
  <c r="AZ112" i="6"/>
  <c r="BX110" i="6"/>
  <c r="BX127" i="6" s="1"/>
  <c r="BX128" i="6" s="1"/>
  <c r="BY126" i="6"/>
  <c r="BY21" i="6" s="1"/>
  <c r="BN113" i="6"/>
  <c r="CC117" i="6"/>
  <c r="BX113" i="6"/>
  <c r="CC128" i="6"/>
  <c r="CC22" i="6" s="1"/>
  <c r="AN108" i="6"/>
  <c r="AN116" i="6" s="1"/>
  <c r="AM110" i="6"/>
  <c r="AM108" i="6" s="1"/>
  <c r="AM112" i="6"/>
  <c r="AH100" i="6"/>
  <c r="AH99" i="6"/>
  <c r="AF109" i="6"/>
  <c r="AF112" i="6" s="1"/>
  <c r="AH101" i="6"/>
  <c r="AF126" i="6"/>
  <c r="AF21" i="6" s="1"/>
  <c r="T113" i="6"/>
  <c r="HD7" i="6"/>
  <c r="CC23" i="6"/>
  <c r="T110" i="6"/>
  <c r="T108" i="6" s="1"/>
  <c r="T117" i="6" s="1"/>
  <c r="AP108" i="6"/>
  <c r="AP117" i="6" s="1"/>
  <c r="BA98" i="6"/>
  <c r="BA100" i="6"/>
  <c r="BM113" i="6"/>
  <c r="AN127" i="6"/>
  <c r="AN129" i="6" s="1"/>
  <c r="FO7" i="6" s="1"/>
  <c r="BN112" i="6"/>
  <c r="BA99" i="6"/>
  <c r="S126" i="6"/>
  <c r="S21" i="6" s="1"/>
  <c r="AN115" i="6"/>
  <c r="BG113" i="6"/>
  <c r="AB110" i="6"/>
  <c r="AB115" i="6" s="1"/>
  <c r="AB112" i="6"/>
  <c r="O126" i="6"/>
  <c r="O21" i="6" s="1"/>
  <c r="O109" i="6"/>
  <c r="O110" i="6" s="1"/>
  <c r="BM110" i="6"/>
  <c r="BM115" i="6" s="1"/>
  <c r="CR101" i="6"/>
  <c r="CR98" i="6"/>
  <c r="CR99" i="6"/>
  <c r="CR100" i="6"/>
  <c r="K112" i="6"/>
  <c r="T101" i="6"/>
  <c r="T99" i="6"/>
  <c r="T98" i="6"/>
  <c r="T100" i="6"/>
  <c r="AP112" i="6"/>
  <c r="CI113" i="6"/>
  <c r="BW112" i="6"/>
  <c r="BY109" i="6"/>
  <c r="BY113" i="6" s="1"/>
  <c r="CI112" i="6"/>
  <c r="BW110" i="6"/>
  <c r="BW114" i="6" s="1"/>
  <c r="AF97" i="6"/>
  <c r="AF99" i="6" s="1"/>
  <c r="K108" i="6"/>
  <c r="K116" i="6" s="1"/>
  <c r="K113" i="6"/>
  <c r="BR126" i="6"/>
  <c r="BR21" i="6" s="1"/>
  <c r="AP127" i="6"/>
  <c r="AP114" i="6"/>
  <c r="AP115" i="6"/>
  <c r="Y110" i="6"/>
  <c r="Y127" i="6" s="1"/>
  <c r="AS112" i="6"/>
  <c r="AV126" i="6"/>
  <c r="AV21" i="6" s="1"/>
  <c r="CJ127" i="6"/>
  <c r="CJ114" i="6"/>
  <c r="CJ115" i="6"/>
  <c r="CJ108" i="6"/>
  <c r="AS110" i="6"/>
  <c r="AS127" i="6" s="1"/>
  <c r="Y112" i="6"/>
  <c r="AP113" i="6"/>
  <c r="K115" i="6"/>
  <c r="X113" i="6"/>
  <c r="X110" i="6"/>
  <c r="X112" i="6"/>
  <c r="CP101" i="6"/>
  <c r="CP99" i="6"/>
  <c r="CP100" i="6"/>
  <c r="CP98" i="6"/>
  <c r="K100" i="6"/>
  <c r="K98" i="6"/>
  <c r="K101" i="6"/>
  <c r="K99" i="6"/>
  <c r="X98" i="6"/>
  <c r="X101" i="6"/>
  <c r="X99" i="6"/>
  <c r="X100" i="6"/>
  <c r="K127" i="6"/>
  <c r="AY97" i="6"/>
  <c r="AY101" i="6" s="1"/>
  <c r="Y101" i="6"/>
  <c r="Y99" i="6"/>
  <c r="Y100" i="6"/>
  <c r="Y98" i="6"/>
  <c r="F112" i="6"/>
  <c r="F113" i="6"/>
  <c r="F110" i="6"/>
  <c r="CP113" i="6"/>
  <c r="CP112" i="6"/>
  <c r="CP110" i="6"/>
  <c r="F100" i="6"/>
  <c r="F99" i="6"/>
  <c r="F98" i="6"/>
  <c r="F101" i="6"/>
  <c r="K117" i="6"/>
  <c r="BC97" i="6"/>
  <c r="BC101" i="6" s="1"/>
  <c r="N97" i="6"/>
  <c r="N100" i="6" s="1"/>
  <c r="AX110" i="6"/>
  <c r="AX113" i="6"/>
  <c r="AX112" i="6"/>
  <c r="AX99" i="6"/>
  <c r="AX98" i="6"/>
  <c r="AX100" i="6"/>
  <c r="AX101" i="6"/>
  <c r="BG110" i="6"/>
  <c r="BG108" i="6" s="1"/>
  <c r="AW100" i="6"/>
  <c r="AW98" i="6"/>
  <c r="AW101" i="6"/>
  <c r="AW99" i="6"/>
  <c r="AW113" i="6"/>
  <c r="AW110" i="6"/>
  <c r="AW112" i="6"/>
  <c r="CL110" i="6"/>
  <c r="CL112" i="6"/>
  <c r="CL113" i="6"/>
  <c r="BU110" i="6"/>
  <c r="BU112" i="6"/>
  <c r="BU113" i="6"/>
  <c r="CL98" i="6"/>
  <c r="CL100" i="6"/>
  <c r="CL99" i="6"/>
  <c r="CL101" i="6"/>
  <c r="BU99" i="6"/>
  <c r="BU98" i="6"/>
  <c r="BU100" i="6"/>
  <c r="BU101" i="6"/>
  <c r="V113" i="6"/>
  <c r="V110" i="6"/>
  <c r="V112" i="6"/>
  <c r="V98" i="6"/>
  <c r="V100" i="6"/>
  <c r="V101" i="6"/>
  <c r="V99" i="6"/>
  <c r="CW101" i="6"/>
  <c r="CW99" i="6"/>
  <c r="CW98" i="6"/>
  <c r="CW100" i="6"/>
  <c r="CW112" i="6"/>
  <c r="CW110" i="6"/>
  <c r="CW113" i="6"/>
  <c r="CT108" i="6"/>
  <c r="CT114" i="6"/>
  <c r="CT127" i="6"/>
  <c r="CT115" i="6"/>
  <c r="W113" i="6"/>
  <c r="W110" i="6"/>
  <c r="W112" i="6"/>
  <c r="BZ115" i="6"/>
  <c r="BZ108" i="6"/>
  <c r="BZ127" i="6"/>
  <c r="BZ114" i="6"/>
  <c r="CG110" i="6"/>
  <c r="CG113" i="6"/>
  <c r="CG112" i="6"/>
  <c r="W99" i="6"/>
  <c r="W98" i="6"/>
  <c r="W100" i="6"/>
  <c r="W101" i="6"/>
  <c r="CG100" i="6"/>
  <c r="CG98" i="6"/>
  <c r="CG99" i="6"/>
  <c r="CG101" i="6"/>
  <c r="CZ115" i="6"/>
  <c r="CZ114" i="6"/>
  <c r="CZ108" i="6"/>
  <c r="CZ127" i="6"/>
  <c r="CR114" i="6"/>
  <c r="CR115" i="6"/>
  <c r="CR108" i="6"/>
  <c r="CR127" i="6"/>
  <c r="P98" i="6"/>
  <c r="P100" i="6"/>
  <c r="P101" i="6"/>
  <c r="P99" i="6"/>
  <c r="I112" i="6"/>
  <c r="I110" i="6"/>
  <c r="I113" i="6"/>
  <c r="R100" i="6"/>
  <c r="R99" i="6"/>
  <c r="R98" i="6"/>
  <c r="R101" i="6"/>
  <c r="O113" i="6"/>
  <c r="O101" i="6"/>
  <c r="O100" i="6"/>
  <c r="O98" i="6"/>
  <c r="O99" i="6"/>
  <c r="BL113" i="6"/>
  <c r="BL112" i="6"/>
  <c r="BL110" i="6"/>
  <c r="AE112" i="6"/>
  <c r="AE113" i="6"/>
  <c r="AE110" i="6"/>
  <c r="BL100" i="6"/>
  <c r="BL98" i="6"/>
  <c r="BL99" i="6"/>
  <c r="BL101" i="6"/>
  <c r="I100" i="6"/>
  <c r="I98" i="6"/>
  <c r="I101" i="6"/>
  <c r="I99" i="6"/>
  <c r="AE100" i="6"/>
  <c r="AE98" i="6"/>
  <c r="AE101" i="6"/>
  <c r="AE99" i="6"/>
  <c r="AU112" i="6"/>
  <c r="AU110" i="6"/>
  <c r="AU113" i="6"/>
  <c r="CX100" i="6"/>
  <c r="CX99" i="6"/>
  <c r="CX101" i="6"/>
  <c r="CX98" i="6"/>
  <c r="AU98" i="6"/>
  <c r="AU99" i="6"/>
  <c r="AU101" i="6"/>
  <c r="AU100" i="6"/>
  <c r="BD127" i="6"/>
  <c r="BD108" i="6"/>
  <c r="BD115" i="6"/>
  <c r="BD114" i="6"/>
  <c r="AQ97" i="6"/>
  <c r="AQ100" i="6" s="1"/>
  <c r="R113" i="6"/>
  <c r="R112" i="6"/>
  <c r="R110" i="6"/>
  <c r="AR114" i="6"/>
  <c r="AR115" i="6"/>
  <c r="AR127" i="6"/>
  <c r="AR108" i="6"/>
  <c r="CK110" i="6"/>
  <c r="CK113" i="6"/>
  <c r="CK112" i="6"/>
  <c r="CB112" i="6"/>
  <c r="CB110" i="6"/>
  <c r="CB113" i="6"/>
  <c r="CK98" i="6"/>
  <c r="CK100" i="6"/>
  <c r="CK99" i="6"/>
  <c r="CK101" i="6"/>
  <c r="BS113" i="6"/>
  <c r="BS110" i="6"/>
  <c r="BS112" i="6"/>
  <c r="AO127" i="6"/>
  <c r="AO108" i="6"/>
  <c r="AO114" i="6"/>
  <c r="AO115" i="6"/>
  <c r="CB101" i="6"/>
  <c r="CB98" i="6"/>
  <c r="CB99" i="6"/>
  <c r="CB100" i="6"/>
  <c r="BS101" i="6"/>
  <c r="BS100" i="6"/>
  <c r="BS98" i="6"/>
  <c r="BS99" i="6"/>
  <c r="AV102" i="6"/>
  <c r="AV107" i="6" s="1"/>
  <c r="AV109" i="6" s="1"/>
  <c r="AV97" i="6"/>
  <c r="CV102" i="6"/>
  <c r="CV107" i="6" s="1"/>
  <c r="CV109" i="6" s="1"/>
  <c r="CV97" i="6"/>
  <c r="CE101" i="6"/>
  <c r="CE98" i="6"/>
  <c r="CE100" i="6"/>
  <c r="CE99" i="6"/>
  <c r="AC108" i="6"/>
  <c r="AC114" i="6"/>
  <c r="AC115" i="6"/>
  <c r="AC127" i="6"/>
  <c r="G113" i="6"/>
  <c r="G112" i="6"/>
  <c r="G110" i="6"/>
  <c r="BV99" i="6"/>
  <c r="BV98" i="6"/>
  <c r="BV100" i="6"/>
  <c r="BV101" i="6"/>
  <c r="CM99" i="6"/>
  <c r="CM101" i="6"/>
  <c r="CM98" i="6"/>
  <c r="CM100" i="6"/>
  <c r="AM127" i="6"/>
  <c r="H101" i="6"/>
  <c r="H99" i="6"/>
  <c r="H100" i="6"/>
  <c r="H98" i="6"/>
  <c r="BA115" i="6"/>
  <c r="BA127" i="6"/>
  <c r="BA114" i="6"/>
  <c r="BA108" i="6"/>
  <c r="DA113" i="6"/>
  <c r="DA112" i="6"/>
  <c r="DA110" i="6"/>
  <c r="AG115" i="6"/>
  <c r="AG108" i="6"/>
  <c r="AG114" i="6"/>
  <c r="AG127" i="6"/>
  <c r="CE112" i="6"/>
  <c r="CE113" i="6"/>
  <c r="CE110" i="6"/>
  <c r="CS113" i="6"/>
  <c r="CS112" i="6"/>
  <c r="CS110" i="6"/>
  <c r="AZ114" i="6"/>
  <c r="AZ127" i="6"/>
  <c r="AZ115" i="6"/>
  <c r="AZ108" i="6"/>
  <c r="N110" i="6"/>
  <c r="N113" i="6"/>
  <c r="N112" i="6"/>
  <c r="CO98" i="6"/>
  <c r="CO99" i="6"/>
  <c r="CO100" i="6"/>
  <c r="CO101" i="6"/>
  <c r="BB100" i="6"/>
  <c r="BB98" i="6"/>
  <c r="BB99" i="6"/>
  <c r="BB101" i="6"/>
  <c r="L110" i="6"/>
  <c r="L113" i="6"/>
  <c r="L112" i="6"/>
  <c r="BI110" i="6"/>
  <c r="BI112" i="6"/>
  <c r="BI113" i="6"/>
  <c r="H113" i="6"/>
  <c r="H110" i="6"/>
  <c r="H112" i="6"/>
  <c r="DA101" i="6"/>
  <c r="DA99" i="6"/>
  <c r="DA98" i="6"/>
  <c r="DA100" i="6"/>
  <c r="BJ127" i="6"/>
  <c r="BJ108" i="6"/>
  <c r="BJ115" i="6"/>
  <c r="BJ114" i="6"/>
  <c r="BK113" i="6"/>
  <c r="BK112" i="6"/>
  <c r="BK110" i="6"/>
  <c r="BO98" i="6"/>
  <c r="BO101" i="6"/>
  <c r="BO99" i="6"/>
  <c r="BO100" i="6"/>
  <c r="CS100" i="6"/>
  <c r="CS101" i="6"/>
  <c r="CS99" i="6"/>
  <c r="CS98" i="6"/>
  <c r="CI115" i="6"/>
  <c r="CI108" i="6"/>
  <c r="CI127" i="6"/>
  <c r="CI114" i="6"/>
  <c r="CO112" i="6"/>
  <c r="CO113" i="6"/>
  <c r="CO110" i="6"/>
  <c r="BB112" i="6"/>
  <c r="BB113" i="6"/>
  <c r="BB110" i="6"/>
  <c r="AH114" i="6"/>
  <c r="AH127" i="6"/>
  <c r="AH108" i="6"/>
  <c r="AH115" i="6"/>
  <c r="L99" i="6"/>
  <c r="L98" i="6"/>
  <c r="L101" i="6"/>
  <c r="L100" i="6"/>
  <c r="BI100" i="6"/>
  <c r="BI98" i="6"/>
  <c r="BI101" i="6"/>
  <c r="BI99" i="6"/>
  <c r="S102" i="6"/>
  <c r="S107" i="6" s="1"/>
  <c r="S109" i="6" s="1"/>
  <c r="S97" i="6"/>
  <c r="BC126" i="6"/>
  <c r="BC21" i="6" s="1"/>
  <c r="BC106" i="6"/>
  <c r="BK100" i="6"/>
  <c r="BK101" i="6"/>
  <c r="BK98" i="6"/>
  <c r="BK99" i="6"/>
  <c r="BO112" i="6"/>
  <c r="BO110" i="6"/>
  <c r="BO113" i="6"/>
  <c r="BH97" i="6"/>
  <c r="BH102" i="6"/>
  <c r="BH107" i="6" s="1"/>
  <c r="BH109" i="6" s="1"/>
  <c r="BE110" i="6"/>
  <c r="BE113" i="6"/>
  <c r="BE112" i="6"/>
  <c r="Q97" i="6"/>
  <c r="Q102" i="6"/>
  <c r="Q107" i="6" s="1"/>
  <c r="Q109" i="6" s="1"/>
  <c r="AT97" i="6"/>
  <c r="AT102" i="6"/>
  <c r="AT107" i="6" s="1"/>
  <c r="AT109" i="6" s="1"/>
  <c r="BT98" i="6"/>
  <c r="BT101" i="6"/>
  <c r="BT99" i="6"/>
  <c r="BT100" i="6"/>
  <c r="AY113" i="6"/>
  <c r="AY112" i="6"/>
  <c r="AY110" i="6"/>
  <c r="CQ97" i="6"/>
  <c r="CQ102" i="6"/>
  <c r="CQ107" i="6" s="1"/>
  <c r="CQ109" i="6" s="1"/>
  <c r="CY115" i="6"/>
  <c r="CY127" i="6"/>
  <c r="CY114" i="6"/>
  <c r="CY108" i="6"/>
  <c r="Z97" i="6"/>
  <c r="Z102" i="6"/>
  <c r="Z107" i="6" s="1"/>
  <c r="Z109" i="6" s="1"/>
  <c r="J101" i="6"/>
  <c r="J100" i="6"/>
  <c r="J99" i="6"/>
  <c r="J98" i="6"/>
  <c r="AJ113" i="6"/>
  <c r="AJ112" i="6"/>
  <c r="AJ110" i="6"/>
  <c r="AT126" i="6"/>
  <c r="AT21" i="6" s="1"/>
  <c r="AT106" i="6"/>
  <c r="AL98" i="6"/>
  <c r="AL101" i="6"/>
  <c r="AL100" i="6"/>
  <c r="AL99" i="6"/>
  <c r="CX127" i="6"/>
  <c r="CX114" i="6"/>
  <c r="CX115" i="6"/>
  <c r="CX108" i="6"/>
  <c r="BT110" i="6"/>
  <c r="BT112" i="6"/>
  <c r="BT113" i="6"/>
  <c r="AY98" i="6"/>
  <c r="AK112" i="6"/>
  <c r="AK110" i="6"/>
  <c r="AK113" i="6"/>
  <c r="CU112" i="6"/>
  <c r="CU113" i="6"/>
  <c r="CU110" i="6"/>
  <c r="J112" i="6"/>
  <c r="J110" i="6"/>
  <c r="J113" i="6"/>
  <c r="AJ99" i="6"/>
  <c r="AJ100" i="6"/>
  <c r="AJ101" i="6"/>
  <c r="AJ98" i="6"/>
  <c r="AL113" i="6"/>
  <c r="AL112" i="6"/>
  <c r="AL110" i="6"/>
  <c r="U97" i="6"/>
  <c r="U102" i="6"/>
  <c r="U107" i="6" s="1"/>
  <c r="U109" i="6" s="1"/>
  <c r="CF114" i="6"/>
  <c r="CF115" i="6"/>
  <c r="CF108" i="6"/>
  <c r="CF127" i="6"/>
  <c r="P110" i="6"/>
  <c r="P113" i="6"/>
  <c r="P112" i="6"/>
  <c r="AA97" i="6"/>
  <c r="AA102" i="6"/>
  <c r="AA107" i="6" s="1"/>
  <c r="AA109" i="6" s="1"/>
  <c r="AK100" i="6"/>
  <c r="AK99" i="6"/>
  <c r="AK101" i="6"/>
  <c r="AK98" i="6"/>
  <c r="AI114" i="6"/>
  <c r="AI108" i="6"/>
  <c r="AI115" i="6"/>
  <c r="AI127" i="6"/>
  <c r="CQ126" i="6"/>
  <c r="CQ21" i="6" s="1"/>
  <c r="CQ106" i="6"/>
  <c r="BC100" i="6"/>
  <c r="BC99" i="6"/>
  <c r="CU98" i="6"/>
  <c r="CU101" i="6"/>
  <c r="CU100" i="6"/>
  <c r="CU99" i="6"/>
  <c r="BM198" i="6"/>
  <c r="BM199" i="6"/>
  <c r="AD99" i="6"/>
  <c r="AD101" i="6"/>
  <c r="AD98" i="6"/>
  <c r="AD100" i="6"/>
  <c r="BR97" i="6"/>
  <c r="BR102" i="6"/>
  <c r="BR107" i="6" s="1"/>
  <c r="BR109" i="6" s="1"/>
  <c r="CH115" i="6"/>
  <c r="CH114" i="6"/>
  <c r="CH127" i="6"/>
  <c r="CH108" i="6"/>
  <c r="BC109" i="6"/>
  <c r="BN127" i="6"/>
  <c r="BN108" i="6"/>
  <c r="BN115" i="6"/>
  <c r="BN114" i="6"/>
  <c r="AQ113" i="6"/>
  <c r="AQ110" i="6"/>
  <c r="AQ112" i="6"/>
  <c r="BM210" i="6"/>
  <c r="BM211" i="6"/>
  <c r="AD112" i="6"/>
  <c r="AD110" i="6"/>
  <c r="AD113" i="6"/>
  <c r="M115" i="6"/>
  <c r="M108" i="6"/>
  <c r="M114" i="6"/>
  <c r="M127" i="6"/>
  <c r="G101" i="6"/>
  <c r="G100" i="6"/>
  <c r="G99" i="6"/>
  <c r="G98" i="6"/>
  <c r="BV113" i="6"/>
  <c r="BV112" i="6"/>
  <c r="BV110" i="6"/>
  <c r="CM112" i="6"/>
  <c r="CM110" i="6"/>
  <c r="CM113" i="6"/>
  <c r="BY100" i="6"/>
  <c r="BY98" i="6"/>
  <c r="BY99" i="6"/>
  <c r="BY101" i="6"/>
  <c r="AT26" i="6"/>
  <c r="FU8" i="6"/>
  <c r="BZ27" i="6"/>
  <c r="HA9" i="6"/>
  <c r="BB26" i="6"/>
  <c r="GC8" i="6"/>
  <c r="AR27" i="6"/>
  <c r="FS9" i="6"/>
  <c r="R26" i="6"/>
  <c r="ES8" i="6"/>
  <c r="BN27" i="6"/>
  <c r="GO9" i="6"/>
  <c r="CG26" i="6"/>
  <c r="HH8" i="6"/>
  <c r="AB27" i="6"/>
  <c r="FC9" i="6"/>
  <c r="J27" i="6"/>
  <c r="EK9" i="6"/>
  <c r="BB27" i="6"/>
  <c r="GC9" i="6"/>
  <c r="BL26" i="6"/>
  <c r="GM8" i="6"/>
  <c r="CZ27" i="6"/>
  <c r="IA9" i="6"/>
  <c r="BF27" i="6"/>
  <c r="GG9" i="6"/>
  <c r="BJ26" i="6"/>
  <c r="GK8" i="6"/>
  <c r="CI27" i="6"/>
  <c r="HJ9" i="6"/>
  <c r="Q27" i="6"/>
  <c r="ER9" i="6"/>
  <c r="AB26" i="6"/>
  <c r="FC8" i="6"/>
  <c r="BL27" i="6"/>
  <c r="GM9" i="6"/>
  <c r="BX27" i="6"/>
  <c r="GY9" i="6"/>
  <c r="BR26" i="6"/>
  <c r="GS8" i="6"/>
  <c r="CZ26" i="6"/>
  <c r="IA8" i="6"/>
  <c r="CL27" i="6"/>
  <c r="HM9" i="6"/>
  <c r="P27" i="6"/>
  <c r="EQ9" i="6"/>
  <c r="AG27" i="6"/>
  <c r="FH9" i="6"/>
  <c r="X26" i="6"/>
  <c r="EY8" i="6"/>
  <c r="CM27" i="6"/>
  <c r="HN9" i="6"/>
  <c r="J26" i="6"/>
  <c r="EK8" i="6"/>
  <c r="K27" i="6"/>
  <c r="EL9" i="6"/>
  <c r="U27" i="6"/>
  <c r="EV9" i="6"/>
  <c r="BE26" i="6"/>
  <c r="GF8" i="6"/>
  <c r="AJ27" i="6"/>
  <c r="FK9" i="6"/>
  <c r="HB6" i="6"/>
  <c r="BU27" i="6"/>
  <c r="GV9" i="6"/>
  <c r="AH27" i="6"/>
  <c r="FI9" i="6"/>
  <c r="BX26" i="6"/>
  <c r="GY8" i="6"/>
  <c r="AS27" i="6"/>
  <c r="FT9" i="6"/>
  <c r="I27" i="6"/>
  <c r="EJ9" i="6"/>
  <c r="BD26" i="6"/>
  <c r="GE8" i="6"/>
  <c r="BT27" i="6"/>
  <c r="GU9" i="6"/>
  <c r="P26" i="6"/>
  <c r="EQ8" i="6"/>
  <c r="CN23" i="6"/>
  <c r="HO7" i="6"/>
  <c r="K26" i="6"/>
  <c r="EL8" i="6"/>
  <c r="U26" i="6"/>
  <c r="EV8" i="6"/>
  <c r="BE27" i="6"/>
  <c r="GF9" i="6"/>
  <c r="AJ26" i="6"/>
  <c r="FK8" i="6"/>
  <c r="BU26" i="6"/>
  <c r="GV8" i="6"/>
  <c r="AH26" i="6"/>
  <c r="FI8" i="6"/>
  <c r="GR7" i="6"/>
  <c r="AU26" i="6"/>
  <c r="FV8" i="6"/>
  <c r="AE26" i="6"/>
  <c r="FF8" i="6"/>
  <c r="BV27" i="6"/>
  <c r="GW9" i="6"/>
  <c r="CN27" i="6"/>
  <c r="HO9" i="6"/>
  <c r="AX26" i="6"/>
  <c r="FY8" i="6"/>
  <c r="O27" i="6"/>
  <c r="EP9" i="6"/>
  <c r="CP26" i="6"/>
  <c r="HQ8" i="6"/>
  <c r="L26" i="6"/>
  <c r="EM8" i="6"/>
  <c r="BQ22" i="6"/>
  <c r="GR6" i="6"/>
  <c r="Z26" i="6"/>
  <c r="FA8" i="6"/>
  <c r="AQ26" i="6"/>
  <c r="FR8" i="6"/>
  <c r="AX27" i="6"/>
  <c r="FY9" i="6"/>
  <c r="O26" i="6"/>
  <c r="EP8" i="6"/>
  <c r="CP27" i="6"/>
  <c r="HQ9" i="6"/>
  <c r="L27" i="6"/>
  <c r="EM9" i="6"/>
  <c r="CD22" i="6"/>
  <c r="HE6" i="6"/>
  <c r="CX27" i="6"/>
  <c r="HY9" i="6"/>
  <c r="BC27" i="6"/>
  <c r="GD9" i="6"/>
  <c r="Z27" i="6"/>
  <c r="FA9" i="6"/>
  <c r="AA27" i="6"/>
  <c r="FB9" i="6"/>
  <c r="AC27" i="6"/>
  <c r="FD9" i="6"/>
  <c r="N26" i="6"/>
  <c r="EO8" i="6"/>
  <c r="M26" i="6"/>
  <c r="EN8" i="6"/>
  <c r="AP26" i="6"/>
  <c r="FQ8" i="6"/>
  <c r="AT27" i="6"/>
  <c r="FU9" i="6"/>
  <c r="BZ26" i="6"/>
  <c r="HA8" i="6"/>
  <c r="CD23" i="6"/>
  <c r="HE7" i="6"/>
  <c r="AR26" i="6"/>
  <c r="FS8" i="6"/>
  <c r="H26" i="6"/>
  <c r="EI8" i="6"/>
  <c r="M27" i="6"/>
  <c r="EN9" i="6"/>
  <c r="CG27" i="6"/>
  <c r="HH9" i="6"/>
  <c r="BV210" i="6"/>
  <c r="BQ200" i="6"/>
  <c r="BQ199" i="6"/>
  <c r="BQ198" i="6"/>
  <c r="BQ210" i="6"/>
  <c r="BQ211" i="6"/>
  <c r="BV199" i="6"/>
  <c r="BJ211" i="6"/>
  <c r="AL211" i="6"/>
  <c r="AL210" i="6"/>
  <c r="AL200" i="6"/>
  <c r="AL199" i="6"/>
  <c r="AL198" i="6"/>
  <c r="AK211" i="6"/>
  <c r="AK210" i="6"/>
  <c r="AK200" i="6"/>
  <c r="AK198" i="6"/>
  <c r="AK199" i="6"/>
  <c r="AH199" i="6"/>
  <c r="AP211" i="6"/>
  <c r="AC210" i="6"/>
  <c r="R200" i="6"/>
  <c r="AH200" i="6"/>
  <c r="BO200" i="6"/>
  <c r="BO210" i="6"/>
  <c r="BO211" i="6"/>
  <c r="BO199" i="6"/>
  <c r="BO198" i="6"/>
  <c r="H211" i="6"/>
  <c r="H200" i="6"/>
  <c r="CL210" i="6"/>
  <c r="BF200" i="6"/>
  <c r="CL200" i="6"/>
  <c r="BJ199" i="6"/>
  <c r="F200" i="6"/>
  <c r="BD211" i="6"/>
  <c r="BF198" i="6"/>
  <c r="BF199" i="6"/>
  <c r="AE211" i="6"/>
  <c r="AN117" i="6"/>
  <c r="BY200" i="6"/>
  <c r="R211" i="6"/>
  <c r="F198" i="6"/>
  <c r="F199" i="6"/>
  <c r="BD198" i="6"/>
  <c r="CX199" i="6"/>
  <c r="F211" i="6"/>
  <c r="F27" i="6" s="1"/>
  <c r="F210" i="6"/>
  <c r="F26" i="6" s="1"/>
  <c r="BC199" i="6"/>
  <c r="BR198" i="6"/>
  <c r="BC210" i="6"/>
  <c r="CX210" i="6"/>
  <c r="CF200" i="6"/>
  <c r="BR211" i="6"/>
  <c r="S200" i="6"/>
  <c r="AI200" i="6"/>
  <c r="CY200" i="6"/>
  <c r="BK200" i="6"/>
  <c r="CC200" i="6"/>
  <c r="V200" i="6"/>
  <c r="BG200" i="6"/>
  <c r="V210" i="6"/>
  <c r="V211" i="6"/>
  <c r="BY198" i="6"/>
  <c r="BY199" i="6"/>
  <c r="CC211" i="6"/>
  <c r="CC210" i="6"/>
  <c r="CF211" i="6"/>
  <c r="CF210" i="6"/>
  <c r="S210" i="6"/>
  <c r="S211" i="6"/>
  <c r="CY211" i="6"/>
  <c r="CY210" i="6"/>
  <c r="S199" i="6"/>
  <c r="S198" i="6"/>
  <c r="CY198" i="6"/>
  <c r="CY199" i="6"/>
  <c r="AI210" i="6"/>
  <c r="AI211" i="6"/>
  <c r="BY210" i="6"/>
  <c r="BY211" i="6"/>
  <c r="AI198" i="6"/>
  <c r="AI199" i="6"/>
  <c r="BG211" i="6"/>
  <c r="BG210" i="6"/>
  <c r="BK211" i="6"/>
  <c r="BK210" i="6"/>
  <c r="CC198" i="6"/>
  <c r="CC199" i="6"/>
  <c r="BG199" i="6"/>
  <c r="BG198" i="6"/>
  <c r="V198" i="6"/>
  <c r="V199" i="6"/>
  <c r="BK198" i="6"/>
  <c r="BK199" i="6"/>
  <c r="CF198" i="6"/>
  <c r="CF199" i="6"/>
  <c r="AN128" i="6" l="1"/>
  <c r="AM115" i="6"/>
  <c r="AN23" i="6"/>
  <c r="CA129" i="6"/>
  <c r="HO16" i="6"/>
  <c r="HO20" i="6" s="1"/>
  <c r="AS115" i="6"/>
  <c r="CA116" i="6"/>
  <c r="BF110" i="6"/>
  <c r="BF108" i="6" s="1"/>
  <c r="BF116" i="6" s="1"/>
  <c r="BF113" i="6"/>
  <c r="AF113" i="6"/>
  <c r="BQ117" i="6"/>
  <c r="BQ116" i="6"/>
  <c r="AF110" i="6"/>
  <c r="BP113" i="6"/>
  <c r="BP112" i="6"/>
  <c r="BP110" i="6"/>
  <c r="CD117" i="6"/>
  <c r="CD116" i="6"/>
  <c r="N101" i="6"/>
  <c r="AM114" i="6"/>
  <c r="BX108" i="6"/>
  <c r="BX116" i="6" s="1"/>
  <c r="BC98" i="6"/>
  <c r="BM127" i="6"/>
  <c r="BM128" i="6" s="1"/>
  <c r="HD6" i="6"/>
  <c r="BX115" i="6"/>
  <c r="BX114" i="6"/>
  <c r="BM114" i="6"/>
  <c r="BM108" i="6"/>
  <c r="BM116" i="6" s="1"/>
  <c r="BX129" i="6"/>
  <c r="GY7" i="6" s="1"/>
  <c r="BW108" i="6"/>
  <c r="BW116" i="6" s="1"/>
  <c r="BW115" i="6"/>
  <c r="AY99" i="6"/>
  <c r="AY100" i="6"/>
  <c r="AB114" i="6"/>
  <c r="AB127" i="6"/>
  <c r="AB129" i="6" s="1"/>
  <c r="AB108" i="6"/>
  <c r="AB117" i="6" s="1"/>
  <c r="T116" i="6"/>
  <c r="AP116" i="6"/>
  <c r="T114" i="6"/>
  <c r="T115" i="6"/>
  <c r="T127" i="6"/>
  <c r="O112" i="6"/>
  <c r="AQ101" i="6"/>
  <c r="BY110" i="6"/>
  <c r="BY127" i="6" s="1"/>
  <c r="AQ98" i="6"/>
  <c r="N98" i="6"/>
  <c r="BY112" i="6"/>
  <c r="AQ99" i="6"/>
  <c r="N99" i="6"/>
  <c r="AF98" i="6"/>
  <c r="AF101" i="6"/>
  <c r="BF112" i="6"/>
  <c r="AS108" i="6"/>
  <c r="AS117" i="6" s="1"/>
  <c r="AS114" i="6"/>
  <c r="AF100" i="6"/>
  <c r="Y129" i="6"/>
  <c r="Y128" i="6"/>
  <c r="Y22" i="6" s="1"/>
  <c r="BW127" i="6"/>
  <c r="BW128" i="6" s="1"/>
  <c r="Y114" i="6"/>
  <c r="CJ129" i="6"/>
  <c r="CJ128" i="6"/>
  <c r="Y115" i="6"/>
  <c r="Y108" i="6"/>
  <c r="CJ116" i="6"/>
  <c r="CJ117" i="6"/>
  <c r="AP128" i="6"/>
  <c r="AP129" i="6"/>
  <c r="K129" i="6"/>
  <c r="K128" i="6"/>
  <c r="F115" i="6"/>
  <c r="F127" i="6"/>
  <c r="F108" i="6"/>
  <c r="F114" i="6"/>
  <c r="CP115" i="6"/>
  <c r="CP127" i="6"/>
  <c r="CP114" i="6"/>
  <c r="CP108" i="6"/>
  <c r="X115" i="6"/>
  <c r="X114" i="6"/>
  <c r="X127" i="6"/>
  <c r="X108" i="6"/>
  <c r="BG114" i="6"/>
  <c r="AX108" i="6"/>
  <c r="AX127" i="6"/>
  <c r="AX115" i="6"/>
  <c r="AX114" i="6"/>
  <c r="BG127" i="6"/>
  <c r="BG128" i="6" s="1"/>
  <c r="AW127" i="6"/>
  <c r="AW114" i="6"/>
  <c r="AW108" i="6"/>
  <c r="AW115" i="6"/>
  <c r="BG115" i="6"/>
  <c r="BU127" i="6"/>
  <c r="BU115" i="6"/>
  <c r="BU108" i="6"/>
  <c r="BU114" i="6"/>
  <c r="V127" i="6"/>
  <c r="V108" i="6"/>
  <c r="V114" i="6"/>
  <c r="V115" i="6"/>
  <c r="CL114" i="6"/>
  <c r="CL115" i="6"/>
  <c r="CL108" i="6"/>
  <c r="CL127" i="6"/>
  <c r="CR128" i="6"/>
  <c r="CR129" i="6"/>
  <c r="CR117" i="6"/>
  <c r="CR116" i="6"/>
  <c r="CW115" i="6"/>
  <c r="CW108" i="6"/>
  <c r="CW127" i="6"/>
  <c r="CW114" i="6"/>
  <c r="CG114" i="6"/>
  <c r="CG115" i="6"/>
  <c r="CG127" i="6"/>
  <c r="CG108" i="6"/>
  <c r="W108" i="6"/>
  <c r="W114" i="6"/>
  <c r="W127" i="6"/>
  <c r="W115" i="6"/>
  <c r="CZ128" i="6"/>
  <c r="CZ129" i="6"/>
  <c r="BZ129" i="6"/>
  <c r="BZ128" i="6"/>
  <c r="CD30" i="6"/>
  <c r="CD34" i="6" s="1"/>
  <c r="L48" i="7" s="1"/>
  <c r="CZ117" i="6"/>
  <c r="CZ116" i="6"/>
  <c r="BZ116" i="6"/>
  <c r="BZ117" i="6"/>
  <c r="CT128" i="6"/>
  <c r="CT129" i="6"/>
  <c r="HO17" i="6"/>
  <c r="HO21" i="6" s="1"/>
  <c r="CT117" i="6"/>
  <c r="CT116" i="6"/>
  <c r="BL114" i="6"/>
  <c r="BL127" i="6"/>
  <c r="BL108" i="6"/>
  <c r="BL115" i="6"/>
  <c r="O114" i="6"/>
  <c r="O127" i="6"/>
  <c r="O108" i="6"/>
  <c r="O115" i="6"/>
  <c r="I115" i="6"/>
  <c r="I114" i="6"/>
  <c r="I127" i="6"/>
  <c r="I108" i="6"/>
  <c r="AE115" i="6"/>
  <c r="AE108" i="6"/>
  <c r="AE114" i="6"/>
  <c r="AE127" i="6"/>
  <c r="CK127" i="6"/>
  <c r="CK114" i="6"/>
  <c r="CK115" i="6"/>
  <c r="CK108" i="6"/>
  <c r="AR117" i="6"/>
  <c r="AR116" i="6"/>
  <c r="AO116" i="6"/>
  <c r="AO117" i="6"/>
  <c r="AR128" i="6"/>
  <c r="AR129" i="6"/>
  <c r="AO128" i="6"/>
  <c r="AO129" i="6"/>
  <c r="BD117" i="6"/>
  <c r="BD116" i="6"/>
  <c r="CB115" i="6"/>
  <c r="CB127" i="6"/>
  <c r="CB114" i="6"/>
  <c r="CB108" i="6"/>
  <c r="BD129" i="6"/>
  <c r="BD128" i="6"/>
  <c r="BS114" i="6"/>
  <c r="BS115" i="6"/>
  <c r="BS108" i="6"/>
  <c r="BS127" i="6"/>
  <c r="R108" i="6"/>
  <c r="R127" i="6"/>
  <c r="R115" i="6"/>
  <c r="R114" i="6"/>
  <c r="AU108" i="6"/>
  <c r="AU127" i="6"/>
  <c r="AU115" i="6"/>
  <c r="AU114" i="6"/>
  <c r="HE17" i="6"/>
  <c r="HE21" i="6" s="1"/>
  <c r="AI117" i="6"/>
  <c r="AI116" i="6"/>
  <c r="AA98" i="6"/>
  <c r="AA101" i="6"/>
  <c r="AA99" i="6"/>
  <c r="AA100" i="6"/>
  <c r="U110" i="6"/>
  <c r="U112" i="6"/>
  <c r="U113" i="6"/>
  <c r="CX129" i="6"/>
  <c r="CX128" i="6"/>
  <c r="CY116" i="6"/>
  <c r="CY117" i="6"/>
  <c r="Q100" i="6"/>
  <c r="Q98" i="6"/>
  <c r="Q99" i="6"/>
  <c r="Q101" i="6"/>
  <c r="BX22" i="6"/>
  <c r="GY6" i="6"/>
  <c r="AZ117" i="6"/>
  <c r="AZ116" i="6"/>
  <c r="G115" i="6"/>
  <c r="G114" i="6"/>
  <c r="G108" i="6"/>
  <c r="G127" i="6"/>
  <c r="AD114" i="6"/>
  <c r="AD115" i="6"/>
  <c r="AD127" i="6"/>
  <c r="AD108" i="6"/>
  <c r="BY108" i="6"/>
  <c r="U100" i="6"/>
  <c r="U99" i="6"/>
  <c r="U101" i="6"/>
  <c r="U98" i="6"/>
  <c r="BB108" i="6"/>
  <c r="BB115" i="6"/>
  <c r="BB127" i="6"/>
  <c r="BB114" i="6"/>
  <c r="BK115" i="6"/>
  <c r="BK114" i="6"/>
  <c r="BK108" i="6"/>
  <c r="BK127" i="6"/>
  <c r="BA117" i="6"/>
  <c r="BA116" i="6"/>
  <c r="AM116" i="6"/>
  <c r="AM117" i="6"/>
  <c r="BN116" i="6"/>
  <c r="BN117" i="6"/>
  <c r="AL114" i="6"/>
  <c r="AL115" i="6"/>
  <c r="AL127" i="6"/>
  <c r="AL108" i="6"/>
  <c r="J114" i="6"/>
  <c r="J108" i="6"/>
  <c r="J127" i="6"/>
  <c r="J115" i="6"/>
  <c r="AS128" i="6"/>
  <c r="AS129" i="6"/>
  <c r="Z112" i="6"/>
  <c r="Z113" i="6"/>
  <c r="Z110" i="6"/>
  <c r="CY128" i="6"/>
  <c r="CY129" i="6"/>
  <c r="BM117" i="6"/>
  <c r="AZ129" i="6"/>
  <c r="AZ128" i="6"/>
  <c r="AG128" i="6"/>
  <c r="AG129" i="6"/>
  <c r="CM115" i="6"/>
  <c r="CM108" i="6"/>
  <c r="CM127" i="6"/>
  <c r="CM114" i="6"/>
  <c r="BM27" i="6"/>
  <c r="GN9" i="6"/>
  <c r="BN129" i="6"/>
  <c r="BN128" i="6"/>
  <c r="P114" i="6"/>
  <c r="P127" i="6"/>
  <c r="P108" i="6"/>
  <c r="P115" i="6"/>
  <c r="AJ108" i="6"/>
  <c r="AJ114" i="6"/>
  <c r="AJ127" i="6"/>
  <c r="AJ115" i="6"/>
  <c r="Z99" i="6"/>
  <c r="Z101" i="6"/>
  <c r="Z100" i="6"/>
  <c r="Z98" i="6"/>
  <c r="BE115" i="6"/>
  <c r="BE108" i="6"/>
  <c r="BE114" i="6"/>
  <c r="BE127" i="6"/>
  <c r="S101" i="6"/>
  <c r="S98" i="6"/>
  <c r="S100" i="6"/>
  <c r="S99" i="6"/>
  <c r="BI108" i="6"/>
  <c r="BI115" i="6"/>
  <c r="BI127" i="6"/>
  <c r="BI114" i="6"/>
  <c r="BA128" i="6"/>
  <c r="BA129" i="6"/>
  <c r="AM129" i="6"/>
  <c r="AM128" i="6"/>
  <c r="AC128" i="6"/>
  <c r="AC129" i="6"/>
  <c r="CV98" i="6"/>
  <c r="CV101" i="6"/>
  <c r="CV100" i="6"/>
  <c r="CV99" i="6"/>
  <c r="M128" i="6"/>
  <c r="M129" i="6"/>
  <c r="BM26" i="6"/>
  <c r="GN8" i="6"/>
  <c r="BC113" i="6"/>
  <c r="BC112" i="6"/>
  <c r="BC110" i="6"/>
  <c r="BR113" i="6"/>
  <c r="BR110" i="6"/>
  <c r="BR112" i="6"/>
  <c r="CF128" i="6"/>
  <c r="CF129" i="6"/>
  <c r="CU115" i="6"/>
  <c r="CU127" i="6"/>
  <c r="CU108" i="6"/>
  <c r="CU114" i="6"/>
  <c r="AK108" i="6"/>
  <c r="AK127" i="6"/>
  <c r="AK115" i="6"/>
  <c r="AK114" i="6"/>
  <c r="BT114" i="6"/>
  <c r="BT127" i="6"/>
  <c r="BT115" i="6"/>
  <c r="BT108" i="6"/>
  <c r="BG117" i="6"/>
  <c r="BG116" i="6"/>
  <c r="CQ110" i="6"/>
  <c r="CQ113" i="6"/>
  <c r="CQ112" i="6"/>
  <c r="BH110" i="6"/>
  <c r="BH112" i="6"/>
  <c r="BH113" i="6"/>
  <c r="S113" i="6"/>
  <c r="S112" i="6"/>
  <c r="S110" i="6"/>
  <c r="CO115" i="6"/>
  <c r="CO108" i="6"/>
  <c r="CO127" i="6"/>
  <c r="CO114" i="6"/>
  <c r="CS127" i="6"/>
  <c r="CS115" i="6"/>
  <c r="CS108" i="6"/>
  <c r="CS114" i="6"/>
  <c r="AG117" i="6"/>
  <c r="AG116" i="6"/>
  <c r="CV113" i="6"/>
  <c r="CV112" i="6"/>
  <c r="CV110" i="6"/>
  <c r="BV114" i="6"/>
  <c r="BV115" i="6"/>
  <c r="BV127" i="6"/>
  <c r="BV108" i="6"/>
  <c r="CH116" i="6"/>
  <c r="CH117" i="6"/>
  <c r="BR99" i="6"/>
  <c r="BR98" i="6"/>
  <c r="BR100" i="6"/>
  <c r="BR101" i="6"/>
  <c r="CF116" i="6"/>
  <c r="CF117" i="6"/>
  <c r="CX117" i="6"/>
  <c r="CX116" i="6"/>
  <c r="CQ99" i="6"/>
  <c r="CQ98" i="6"/>
  <c r="CQ101" i="6"/>
  <c r="CQ100" i="6"/>
  <c r="AT113" i="6"/>
  <c r="AT110" i="6"/>
  <c r="AT112" i="6"/>
  <c r="BH98" i="6"/>
  <c r="BH101" i="6"/>
  <c r="BH100" i="6"/>
  <c r="BH99" i="6"/>
  <c r="H108" i="6"/>
  <c r="H115" i="6"/>
  <c r="H127" i="6"/>
  <c r="H114" i="6"/>
  <c r="AV101" i="6"/>
  <c r="AV98" i="6"/>
  <c r="AV100" i="6"/>
  <c r="AV99" i="6"/>
  <c r="M116" i="6"/>
  <c r="M117" i="6"/>
  <c r="AQ114" i="6"/>
  <c r="AQ115" i="6"/>
  <c r="AQ127" i="6"/>
  <c r="AQ108" i="6"/>
  <c r="CH129" i="6"/>
  <c r="CH128" i="6"/>
  <c r="AI128" i="6"/>
  <c r="AI129" i="6"/>
  <c r="AB116" i="6"/>
  <c r="AY114" i="6"/>
  <c r="AY115" i="6"/>
  <c r="AY108" i="6"/>
  <c r="AY127" i="6"/>
  <c r="AT100" i="6"/>
  <c r="AT98" i="6"/>
  <c r="AT99" i="6"/>
  <c r="AT101" i="6"/>
  <c r="AH117" i="6"/>
  <c r="AH116" i="6"/>
  <c r="CI129" i="6"/>
  <c r="CI128" i="6"/>
  <c r="BJ116" i="6"/>
  <c r="BJ117" i="6"/>
  <c r="L114" i="6"/>
  <c r="L115" i="6"/>
  <c r="L108" i="6"/>
  <c r="L127" i="6"/>
  <c r="DA114" i="6"/>
  <c r="DA108" i="6"/>
  <c r="DA127" i="6"/>
  <c r="DA115" i="6"/>
  <c r="AC117" i="6"/>
  <c r="AC116" i="6"/>
  <c r="AV110" i="6"/>
  <c r="AV113" i="6"/>
  <c r="AV112" i="6"/>
  <c r="BW117" i="6"/>
  <c r="AA112" i="6"/>
  <c r="AA110" i="6"/>
  <c r="AA113" i="6"/>
  <c r="Q110" i="6"/>
  <c r="Q113" i="6"/>
  <c r="Q112" i="6"/>
  <c r="BO115" i="6"/>
  <c r="BO108" i="6"/>
  <c r="BO127" i="6"/>
  <c r="BO114" i="6"/>
  <c r="AH129" i="6"/>
  <c r="AH128" i="6"/>
  <c r="BX23" i="6"/>
  <c r="CI117" i="6"/>
  <c r="CI116" i="6"/>
  <c r="BJ128" i="6"/>
  <c r="BJ129" i="6"/>
  <c r="N114" i="6"/>
  <c r="N108" i="6"/>
  <c r="N115" i="6"/>
  <c r="N127" i="6"/>
  <c r="CE108" i="6"/>
  <c r="CE127" i="6"/>
  <c r="CE114" i="6"/>
  <c r="CE115" i="6"/>
  <c r="AF127" i="6"/>
  <c r="AF115" i="6"/>
  <c r="AF108" i="6"/>
  <c r="AF114" i="6"/>
  <c r="CN30" i="6"/>
  <c r="CN34" i="6" s="1"/>
  <c r="L50" i="7" s="1"/>
  <c r="HE16" i="6"/>
  <c r="HE20" i="6" s="1"/>
  <c r="BK27" i="6"/>
  <c r="GL9" i="6"/>
  <c r="BY26" i="6"/>
  <c r="GZ8" i="6"/>
  <c r="AL27" i="6"/>
  <c r="FM9" i="6"/>
  <c r="AI27" i="6"/>
  <c r="FJ9" i="6"/>
  <c r="V27" i="6"/>
  <c r="EW9" i="6"/>
  <c r="BR27" i="6"/>
  <c r="GS9" i="6"/>
  <c r="BG26" i="6"/>
  <c r="GH8" i="6"/>
  <c r="V26" i="6"/>
  <c r="EW8" i="6"/>
  <c r="BD27" i="6"/>
  <c r="GE9" i="6"/>
  <c r="H27" i="6"/>
  <c r="EI9" i="6"/>
  <c r="BJ27" i="6"/>
  <c r="GK9" i="6"/>
  <c r="BV26" i="6"/>
  <c r="GW8" i="6"/>
  <c r="S27" i="6"/>
  <c r="ET9" i="6"/>
  <c r="BG27" i="6"/>
  <c r="GH9" i="6"/>
  <c r="CF26" i="6"/>
  <c r="HG8" i="6"/>
  <c r="R27" i="6"/>
  <c r="ES9" i="6"/>
  <c r="AI26" i="6"/>
  <c r="FJ8" i="6"/>
  <c r="CY26" i="6"/>
  <c r="HZ8" i="6"/>
  <c r="CF27" i="6"/>
  <c r="HG9" i="6"/>
  <c r="BC26" i="6"/>
  <c r="GD8" i="6"/>
  <c r="AC26" i="6"/>
  <c r="FD8" i="6"/>
  <c r="BQ27" i="6"/>
  <c r="GR9" i="6"/>
  <c r="GR17" i="6" s="1"/>
  <c r="GR21" i="6" s="1"/>
  <c r="CY27" i="6"/>
  <c r="HZ9" i="6"/>
  <c r="CC26" i="6"/>
  <c r="HD8" i="6"/>
  <c r="HD16" i="6" s="1"/>
  <c r="HD20" i="6" s="1"/>
  <c r="CX26" i="6"/>
  <c r="HY8" i="6"/>
  <c r="CL26" i="6"/>
  <c r="HM8" i="6"/>
  <c r="BQ26" i="6"/>
  <c r="GR8" i="6"/>
  <c r="GR16" i="6" s="1"/>
  <c r="GR20" i="6" s="1"/>
  <c r="CC27" i="6"/>
  <c r="HD9" i="6"/>
  <c r="HD17" i="6" s="1"/>
  <c r="HD21" i="6" s="1"/>
  <c r="AE27" i="6"/>
  <c r="FF9" i="6"/>
  <c r="BO27" i="6"/>
  <c r="GP9" i="6"/>
  <c r="AK26" i="6"/>
  <c r="FL8" i="6"/>
  <c r="BK26" i="6"/>
  <c r="GL8" i="6"/>
  <c r="BY27" i="6"/>
  <c r="GZ9" i="6"/>
  <c r="S26" i="6"/>
  <c r="ET8" i="6"/>
  <c r="AN22" i="6"/>
  <c r="AN30" i="6" s="1"/>
  <c r="FN10" i="6" s="1"/>
  <c r="FO6" i="6"/>
  <c r="FO16" i="6" s="1"/>
  <c r="FO20" i="6" s="1"/>
  <c r="BO26" i="6"/>
  <c r="GP8" i="6"/>
  <c r="AP27" i="6"/>
  <c r="FQ9" i="6"/>
  <c r="AK27" i="6"/>
  <c r="FL9" i="6"/>
  <c r="AL26" i="6"/>
  <c r="FM8" i="6"/>
  <c r="BX117" i="6" l="1"/>
  <c r="CA23" i="6"/>
  <c r="CA30" i="6" s="1"/>
  <c r="CA34" i="6" s="1"/>
  <c r="I48" i="7" s="1"/>
  <c r="HB7" i="6"/>
  <c r="BF114" i="6"/>
  <c r="BF115" i="6"/>
  <c r="BF127" i="6"/>
  <c r="AS116" i="6"/>
  <c r="BM129" i="6"/>
  <c r="BP114" i="6"/>
  <c r="BP127" i="6"/>
  <c r="BP108" i="6"/>
  <c r="BP115" i="6"/>
  <c r="CC30" i="6"/>
  <c r="HC10" i="6" s="1"/>
  <c r="BW129" i="6"/>
  <c r="GX7" i="6" s="1"/>
  <c r="BF117" i="6"/>
  <c r="AB128" i="6"/>
  <c r="FC6" i="6" s="1"/>
  <c r="BY115" i="6"/>
  <c r="BY114" i="6"/>
  <c r="T128" i="6"/>
  <c r="T129" i="6"/>
  <c r="EZ6" i="6"/>
  <c r="BX30" i="6"/>
  <c r="GX10" i="6" s="1"/>
  <c r="GY16" i="6"/>
  <c r="GY20" i="6" s="1"/>
  <c r="HA10" i="6"/>
  <c r="BG129" i="6"/>
  <c r="BG23" i="6" s="1"/>
  <c r="HD10" i="6"/>
  <c r="Y23" i="6"/>
  <c r="Y30" i="6" s="1"/>
  <c r="EZ7" i="6"/>
  <c r="AP23" i="6"/>
  <c r="FQ7" i="6"/>
  <c r="AP22" i="6"/>
  <c r="FQ6" i="6"/>
  <c r="Y116" i="6"/>
  <c r="Y117" i="6"/>
  <c r="HK6" i="6"/>
  <c r="CJ22" i="6"/>
  <c r="HK7" i="6"/>
  <c r="CJ23" i="6"/>
  <c r="CP128" i="6"/>
  <c r="CP129" i="6"/>
  <c r="X116" i="6"/>
  <c r="X117" i="6"/>
  <c r="X128" i="6"/>
  <c r="X129" i="6"/>
  <c r="F116" i="6"/>
  <c r="F117" i="6"/>
  <c r="F128" i="6"/>
  <c r="F22" i="6" s="1"/>
  <c r="F129" i="6"/>
  <c r="F23" i="6" s="1"/>
  <c r="AN34" i="6"/>
  <c r="J40" i="7" s="1"/>
  <c r="CP116" i="6"/>
  <c r="CP117" i="6"/>
  <c r="K22" i="6"/>
  <c r="EL6" i="6"/>
  <c r="EL7" i="6"/>
  <c r="K23" i="6"/>
  <c r="AW129" i="6"/>
  <c r="AW128" i="6"/>
  <c r="AX128" i="6"/>
  <c r="AX129" i="6"/>
  <c r="AX116" i="6"/>
  <c r="AX117" i="6"/>
  <c r="AW116" i="6"/>
  <c r="AW117" i="6"/>
  <c r="V116" i="6"/>
  <c r="V117" i="6"/>
  <c r="V129" i="6"/>
  <c r="V128" i="6"/>
  <c r="CL129" i="6"/>
  <c r="CL128" i="6"/>
  <c r="CL117" i="6"/>
  <c r="CL116" i="6"/>
  <c r="BU116" i="6"/>
  <c r="BU117" i="6"/>
  <c r="BU128" i="6"/>
  <c r="BU129" i="6"/>
  <c r="IA6" i="6"/>
  <c r="CZ22" i="6"/>
  <c r="CW128" i="6"/>
  <c r="CW129" i="6"/>
  <c r="CG117" i="6"/>
  <c r="CG116" i="6"/>
  <c r="CW116" i="6"/>
  <c r="CW117" i="6"/>
  <c r="CG129" i="6"/>
  <c r="CG128" i="6"/>
  <c r="W128" i="6"/>
  <c r="W129" i="6"/>
  <c r="CT23" i="6"/>
  <c r="HU7" i="6"/>
  <c r="HA6" i="6"/>
  <c r="BZ22" i="6"/>
  <c r="HS7" i="6"/>
  <c r="CR23" i="6"/>
  <c r="CT22" i="6"/>
  <c r="HU6" i="6"/>
  <c r="BZ23" i="6"/>
  <c r="HA7" i="6"/>
  <c r="W116" i="6"/>
  <c r="W117" i="6"/>
  <c r="CR22" i="6"/>
  <c r="HS6" i="6"/>
  <c r="CZ23" i="6"/>
  <c r="IA7" i="6"/>
  <c r="O117" i="6"/>
  <c r="O116" i="6"/>
  <c r="O128" i="6"/>
  <c r="O129" i="6"/>
  <c r="I116" i="6"/>
  <c r="I117" i="6"/>
  <c r="AE129" i="6"/>
  <c r="AE128" i="6"/>
  <c r="I129" i="6"/>
  <c r="I128" i="6"/>
  <c r="BL116" i="6"/>
  <c r="BL117" i="6"/>
  <c r="BL128" i="6"/>
  <c r="BL129" i="6"/>
  <c r="AE116" i="6"/>
  <c r="AE117" i="6"/>
  <c r="AU117" i="6"/>
  <c r="AU116" i="6"/>
  <c r="GE6" i="6"/>
  <c r="BD22" i="6"/>
  <c r="FP7" i="6"/>
  <c r="AO23" i="6"/>
  <c r="BD23" i="6"/>
  <c r="GE7" i="6"/>
  <c r="AO22" i="6"/>
  <c r="FP6" i="6"/>
  <c r="R128" i="6"/>
  <c r="R129" i="6"/>
  <c r="CB116" i="6"/>
  <c r="CB117" i="6"/>
  <c r="CK116" i="6"/>
  <c r="CK117" i="6"/>
  <c r="R117" i="6"/>
  <c r="R116" i="6"/>
  <c r="AR23" i="6"/>
  <c r="FS7" i="6"/>
  <c r="BS129" i="6"/>
  <c r="BS128" i="6"/>
  <c r="CB129" i="6"/>
  <c r="CB128" i="6"/>
  <c r="FS6" i="6"/>
  <c r="AR22" i="6"/>
  <c r="BS117" i="6"/>
  <c r="BS116" i="6"/>
  <c r="CK128" i="6"/>
  <c r="CK129" i="6"/>
  <c r="AU128" i="6"/>
  <c r="AU129" i="6"/>
  <c r="BJ23" i="6"/>
  <c r="GK7" i="6"/>
  <c r="AA108" i="6"/>
  <c r="AA115" i="6"/>
  <c r="AA127" i="6"/>
  <c r="AA114" i="6"/>
  <c r="AI23" i="6"/>
  <c r="FJ7" i="6"/>
  <c r="CO128" i="6"/>
  <c r="CO129" i="6"/>
  <c r="BH114" i="6"/>
  <c r="BH127" i="6"/>
  <c r="BH108" i="6"/>
  <c r="BH115" i="6"/>
  <c r="BT129" i="6"/>
  <c r="BT128" i="6"/>
  <c r="CU129" i="6"/>
  <c r="CU128" i="6"/>
  <c r="GY17" i="6"/>
  <c r="GY21" i="6" s="1"/>
  <c r="AC22" i="6"/>
  <c r="FD6" i="6"/>
  <c r="BI116" i="6"/>
  <c r="BI117" i="6"/>
  <c r="AJ117" i="6"/>
  <c r="AJ116" i="6"/>
  <c r="AG23" i="6"/>
  <c r="FH7" i="6"/>
  <c r="Z108" i="6"/>
  <c r="Z114" i="6"/>
  <c r="Z127" i="6"/>
  <c r="Z115" i="6"/>
  <c r="J128" i="6"/>
  <c r="J129" i="6"/>
  <c r="BY117" i="6"/>
  <c r="BY116" i="6"/>
  <c r="BM23" i="6"/>
  <c r="GN7" i="6"/>
  <c r="BJ22" i="6"/>
  <c r="GK6" i="6"/>
  <c r="BO128" i="6"/>
  <c r="BO129" i="6"/>
  <c r="AI22" i="6"/>
  <c r="FJ6" i="6"/>
  <c r="AB23" i="6"/>
  <c r="FC7" i="6"/>
  <c r="CO116" i="6"/>
  <c r="CO117" i="6"/>
  <c r="AM22" i="6"/>
  <c r="FN6" i="6"/>
  <c r="AG22" i="6"/>
  <c r="AG30" i="6" s="1"/>
  <c r="FH6" i="6"/>
  <c r="FH16" i="6" s="1"/>
  <c r="FH20" i="6" s="1"/>
  <c r="J116" i="6"/>
  <c r="J117" i="6"/>
  <c r="BB117" i="6"/>
  <c r="BB116" i="6"/>
  <c r="BY129" i="6"/>
  <c r="BY128" i="6"/>
  <c r="BM22" i="6"/>
  <c r="GN6" i="6"/>
  <c r="CE129" i="6"/>
  <c r="CE128" i="6"/>
  <c r="BO117" i="6"/>
  <c r="BO116" i="6"/>
  <c r="DA117" i="6"/>
  <c r="DA116" i="6"/>
  <c r="CI22" i="6"/>
  <c r="HJ6" i="6"/>
  <c r="AY129" i="6"/>
  <c r="AY128" i="6"/>
  <c r="CH22" i="6"/>
  <c r="HI6" i="6"/>
  <c r="AB22" i="6"/>
  <c r="CF23" i="6"/>
  <c r="HG7" i="6"/>
  <c r="AM23" i="6"/>
  <c r="FN7" i="6"/>
  <c r="P116" i="6"/>
  <c r="P117" i="6"/>
  <c r="CM128" i="6"/>
  <c r="CM129" i="6"/>
  <c r="AZ22" i="6"/>
  <c r="GA6" i="6"/>
  <c r="BK128" i="6"/>
  <c r="BK129" i="6"/>
  <c r="AD116" i="6"/>
  <c r="AD117" i="6"/>
  <c r="G128" i="6"/>
  <c r="G129" i="6"/>
  <c r="U108" i="6"/>
  <c r="U115" i="6"/>
  <c r="U114" i="6"/>
  <c r="U127" i="6"/>
  <c r="H128" i="6"/>
  <c r="H129" i="6"/>
  <c r="CE117" i="6"/>
  <c r="CE116" i="6"/>
  <c r="CI23" i="6"/>
  <c r="HJ7" i="6"/>
  <c r="AY116" i="6"/>
  <c r="AY117" i="6"/>
  <c r="CH23" i="6"/>
  <c r="HI7" i="6"/>
  <c r="H117" i="6"/>
  <c r="H116" i="6"/>
  <c r="AT108" i="6"/>
  <c r="AT114" i="6"/>
  <c r="AT127" i="6"/>
  <c r="AT115" i="6"/>
  <c r="S115" i="6"/>
  <c r="S108" i="6"/>
  <c r="S114" i="6"/>
  <c r="S127" i="6"/>
  <c r="CQ115" i="6"/>
  <c r="CQ114" i="6"/>
  <c r="CQ127" i="6"/>
  <c r="CQ108" i="6"/>
  <c r="CF22" i="6"/>
  <c r="HG6" i="6"/>
  <c r="BA23" i="6"/>
  <c r="GB7" i="6"/>
  <c r="P129" i="6"/>
  <c r="P128" i="6"/>
  <c r="CM116" i="6"/>
  <c r="CM117" i="6"/>
  <c r="AZ23" i="6"/>
  <c r="GA7" i="6"/>
  <c r="AL116" i="6"/>
  <c r="AL117" i="6"/>
  <c r="BK117" i="6"/>
  <c r="BK116" i="6"/>
  <c r="AD129" i="6"/>
  <c r="AD128" i="6"/>
  <c r="G116" i="6"/>
  <c r="G117" i="6"/>
  <c r="BW23" i="6"/>
  <c r="DA129" i="6"/>
  <c r="DA128" i="6"/>
  <c r="N129" i="6"/>
  <c r="N128" i="6"/>
  <c r="L129" i="6"/>
  <c r="L128" i="6"/>
  <c r="AQ116" i="6"/>
  <c r="AQ117" i="6"/>
  <c r="CS116" i="6"/>
  <c r="CS117" i="6"/>
  <c r="AK129" i="6"/>
  <c r="AK128" i="6"/>
  <c r="M23" i="6"/>
  <c r="EN7" i="6"/>
  <c r="BA22" i="6"/>
  <c r="GB6" i="6"/>
  <c r="BG22" i="6"/>
  <c r="GH6" i="6"/>
  <c r="AL129" i="6"/>
  <c r="AL128" i="6"/>
  <c r="HY6" i="6"/>
  <c r="CX22" i="6"/>
  <c r="BW22" i="6"/>
  <c r="GX6" i="6"/>
  <c r="AF116" i="6"/>
  <c r="AF117" i="6"/>
  <c r="L117" i="6"/>
  <c r="L116" i="6"/>
  <c r="AQ128" i="6"/>
  <c r="AQ129" i="6"/>
  <c r="BV117" i="6"/>
  <c r="BV116" i="6"/>
  <c r="AK116" i="6"/>
  <c r="AK117" i="6"/>
  <c r="BR108" i="6"/>
  <c r="BR115" i="6"/>
  <c r="BR114" i="6"/>
  <c r="BR127" i="6"/>
  <c r="EN6" i="6"/>
  <c r="M22" i="6"/>
  <c r="BE129" i="6"/>
  <c r="BE128" i="6"/>
  <c r="BN22" i="6"/>
  <c r="GO6" i="6"/>
  <c r="AS23" i="6"/>
  <c r="FT7" i="6"/>
  <c r="HY7" i="6"/>
  <c r="CX23" i="6"/>
  <c r="N117" i="6"/>
  <c r="N116" i="6"/>
  <c r="AH22" i="6"/>
  <c r="FI6" i="6"/>
  <c r="Q108" i="6"/>
  <c r="Q127" i="6"/>
  <c r="Q114" i="6"/>
  <c r="Q115" i="6"/>
  <c r="BV128" i="6"/>
  <c r="BV129" i="6"/>
  <c r="CV115" i="6"/>
  <c r="CV114" i="6"/>
  <c r="CV108" i="6"/>
  <c r="CV127" i="6"/>
  <c r="CS128" i="6"/>
  <c r="CS129" i="6"/>
  <c r="BT117" i="6"/>
  <c r="BT116" i="6"/>
  <c r="BI129" i="6"/>
  <c r="BI128" i="6"/>
  <c r="AJ129" i="6"/>
  <c r="AJ128" i="6"/>
  <c r="BN23" i="6"/>
  <c r="GO7" i="6"/>
  <c r="HZ7" i="6"/>
  <c r="CY23" i="6"/>
  <c r="AS22" i="6"/>
  <c r="FT6" i="6"/>
  <c r="AV114" i="6"/>
  <c r="AV127" i="6"/>
  <c r="AV115" i="6"/>
  <c r="AV108" i="6"/>
  <c r="AF129" i="6"/>
  <c r="AF128" i="6"/>
  <c r="AH23" i="6"/>
  <c r="FI7" i="6"/>
  <c r="CU116" i="6"/>
  <c r="CU117" i="6"/>
  <c r="BC108" i="6"/>
  <c r="BC127" i="6"/>
  <c r="BC115" i="6"/>
  <c r="BC114" i="6"/>
  <c r="AC23" i="6"/>
  <c r="FD7" i="6"/>
  <c r="BE117" i="6"/>
  <c r="BE116" i="6"/>
  <c r="HZ6" i="6"/>
  <c r="CY22" i="6"/>
  <c r="BB128" i="6"/>
  <c r="BB129" i="6"/>
  <c r="HN10" i="6"/>
  <c r="DG5" i="6" a="1"/>
  <c r="DG6" i="6" s="1"/>
  <c r="BQ30" i="6"/>
  <c r="FO17" i="6"/>
  <c r="FO21" i="6" s="1"/>
  <c r="CC34" i="6"/>
  <c r="K48" i="7" s="1"/>
  <c r="EZ16" i="6" l="1"/>
  <c r="EZ20" i="6" s="1"/>
  <c r="HB17" i="6"/>
  <c r="HB21" i="6" s="1"/>
  <c r="HB16" i="6"/>
  <c r="HB20" i="6" s="1"/>
  <c r="BF128" i="6"/>
  <c r="BF129" i="6"/>
  <c r="GH7" i="6"/>
  <c r="GH17" i="6" s="1"/>
  <c r="GH21" i="6" s="1"/>
  <c r="BP117" i="6"/>
  <c r="BP116" i="6"/>
  <c r="BP128" i="6"/>
  <c r="BP129" i="6"/>
  <c r="BX34" i="6"/>
  <c r="F48" i="7" s="1"/>
  <c r="HU17" i="6"/>
  <c r="HU21" i="6" s="1"/>
  <c r="T23" i="6"/>
  <c r="EU7" i="6"/>
  <c r="FJ17" i="6"/>
  <c r="FJ21" i="6" s="1"/>
  <c r="EU6" i="6"/>
  <c r="T22" i="6"/>
  <c r="GA17" i="6"/>
  <c r="GA21" i="6" s="1"/>
  <c r="HG16" i="6"/>
  <c r="HG20" i="6" s="1"/>
  <c r="FC16" i="6"/>
  <c r="FC20" i="6" s="1"/>
  <c r="FD17" i="6"/>
  <c r="FD21" i="6" s="1"/>
  <c r="EY10" i="6"/>
  <c r="Y34" i="6"/>
  <c r="O36" i="7" s="1"/>
  <c r="AP30" i="6"/>
  <c r="FP10" i="6" s="1"/>
  <c r="EL17" i="6"/>
  <c r="EL21" i="6" s="1"/>
  <c r="EZ17" i="6"/>
  <c r="EZ21" i="6" s="1"/>
  <c r="HK17" i="6"/>
  <c r="HK21" i="6" s="1"/>
  <c r="FQ17" i="6"/>
  <c r="FQ21" i="6" s="1"/>
  <c r="K30" i="6"/>
  <c r="CJ30" i="6"/>
  <c r="HJ10" i="6" s="1"/>
  <c r="AS30" i="6"/>
  <c r="AS34" i="6" s="1"/>
  <c r="O40" i="7" s="1"/>
  <c r="FQ16" i="6"/>
  <c r="FQ20" i="6" s="1"/>
  <c r="CR30" i="6"/>
  <c r="HR10" i="6" s="1"/>
  <c r="HG17" i="6"/>
  <c r="HG21" i="6" s="1"/>
  <c r="AR30" i="6"/>
  <c r="FR10" i="6" s="1"/>
  <c r="HK16" i="6"/>
  <c r="HK20" i="6" s="1"/>
  <c r="EL16" i="6"/>
  <c r="EL20" i="6" s="1"/>
  <c r="EY7" i="6"/>
  <c r="X23" i="6"/>
  <c r="HA17" i="6"/>
  <c r="HA21" i="6" s="1"/>
  <c r="X22" i="6"/>
  <c r="EY6" i="6"/>
  <c r="CP23" i="6"/>
  <c r="HQ7" i="6"/>
  <c r="GN16" i="6"/>
  <c r="GN20" i="6" s="1"/>
  <c r="FJ16" i="6"/>
  <c r="FJ20" i="6" s="1"/>
  <c r="HQ6" i="6"/>
  <c r="CP22" i="6"/>
  <c r="GE17" i="6"/>
  <c r="GE21" i="6" s="1"/>
  <c r="GK17" i="6"/>
  <c r="GK21" i="6" s="1"/>
  <c r="FY7" i="6"/>
  <c r="AX23" i="6"/>
  <c r="IA17" i="6"/>
  <c r="IA21" i="6" s="1"/>
  <c r="AX22" i="6"/>
  <c r="FY6" i="6"/>
  <c r="CT30" i="6"/>
  <c r="HT10" i="6" s="1"/>
  <c r="AW22" i="6"/>
  <c r="FX6" i="6"/>
  <c r="HS16" i="6"/>
  <c r="HS20" i="6" s="1"/>
  <c r="AW23" i="6"/>
  <c r="FX7" i="6"/>
  <c r="CY30" i="6"/>
  <c r="CY34" i="6" s="1"/>
  <c r="M52" i="7" s="1"/>
  <c r="HZ16" i="6"/>
  <c r="HZ20" i="6" s="1"/>
  <c r="HM6" i="6"/>
  <c r="CL22" i="6"/>
  <c r="CL23" i="6"/>
  <c r="HM7" i="6"/>
  <c r="BG30" i="6"/>
  <c r="EW6" i="6"/>
  <c r="V22" i="6"/>
  <c r="BU22" i="6"/>
  <c r="GV6" i="6"/>
  <c r="CF30" i="6"/>
  <c r="V23" i="6"/>
  <c r="EW7" i="6"/>
  <c r="BA30" i="6"/>
  <c r="BA34" i="6" s="1"/>
  <c r="M42" i="7" s="1"/>
  <c r="BJ30" i="6"/>
  <c r="BJ34" i="6" s="1"/>
  <c r="L44" i="7" s="1"/>
  <c r="FP16" i="6"/>
  <c r="FP20" i="6" s="1"/>
  <c r="BZ30" i="6"/>
  <c r="GZ10" i="6" s="1"/>
  <c r="CX30" i="6"/>
  <c r="HX10" i="6" s="1"/>
  <c r="EN17" i="6"/>
  <c r="EN21" i="6" s="1"/>
  <c r="BU23" i="6"/>
  <c r="GV7" i="6"/>
  <c r="FD16" i="6"/>
  <c r="FD20" i="6" s="1"/>
  <c r="HY16" i="6"/>
  <c r="HY20" i="6" s="1"/>
  <c r="HA16" i="6"/>
  <c r="HA20" i="6" s="1"/>
  <c r="HU16" i="6"/>
  <c r="HU20" i="6" s="1"/>
  <c r="W23" i="6"/>
  <c r="EX7" i="6"/>
  <c r="CW23" i="6"/>
  <c r="HX7" i="6"/>
  <c r="W22" i="6"/>
  <c r="EX6" i="6"/>
  <c r="HX6" i="6"/>
  <c r="CW22" i="6"/>
  <c r="BD30" i="6"/>
  <c r="GD10" i="6" s="1"/>
  <c r="CG22" i="6"/>
  <c r="HH6" i="6"/>
  <c r="CZ30" i="6"/>
  <c r="AB30" i="6"/>
  <c r="AB34" i="6" s="1"/>
  <c r="H38" i="7" s="1"/>
  <c r="HS17" i="6"/>
  <c r="HS21" i="6" s="1"/>
  <c r="CG23" i="6"/>
  <c r="HH7" i="6"/>
  <c r="IA16" i="6"/>
  <c r="IA20" i="6" s="1"/>
  <c r="BL22" i="6"/>
  <c r="GM6" i="6"/>
  <c r="FN17" i="6"/>
  <c r="FN21" i="6" s="1"/>
  <c r="I22" i="6"/>
  <c r="EJ6" i="6"/>
  <c r="O23" i="6"/>
  <c r="EP7" i="6"/>
  <c r="BL23" i="6"/>
  <c r="GM7" i="6"/>
  <c r="FT17" i="6"/>
  <c r="FT21" i="6" s="1"/>
  <c r="I23" i="6"/>
  <c r="EJ7" i="6"/>
  <c r="O22" i="6"/>
  <c r="EP6" i="6"/>
  <c r="AE22" i="6"/>
  <c r="FF6" i="6"/>
  <c r="AI30" i="6"/>
  <c r="FS17" i="6"/>
  <c r="FS21" i="6" s="1"/>
  <c r="AE23" i="6"/>
  <c r="FF7" i="6"/>
  <c r="DH9" i="6"/>
  <c r="HI17" i="6"/>
  <c r="HI21" i="6" s="1"/>
  <c r="AC30" i="6"/>
  <c r="FC10" i="6" s="1"/>
  <c r="BS22" i="6"/>
  <c r="GT6" i="6"/>
  <c r="GT7" i="6"/>
  <c r="BS23" i="6"/>
  <c r="HZ17" i="6"/>
  <c r="HZ21" i="6" s="1"/>
  <c r="DH30" i="6"/>
  <c r="GO17" i="6"/>
  <c r="GO21" i="6" s="1"/>
  <c r="FP17" i="6"/>
  <c r="FP21" i="6" s="1"/>
  <c r="DI19" i="6"/>
  <c r="HJ17" i="6"/>
  <c r="HJ21" i="6" s="1"/>
  <c r="FV7" i="6"/>
  <c r="AU23" i="6"/>
  <c r="R23" i="6"/>
  <c r="ES7" i="6"/>
  <c r="DH38" i="6"/>
  <c r="GK16" i="6"/>
  <c r="GK20" i="6" s="1"/>
  <c r="FV6" i="6"/>
  <c r="AU22" i="6"/>
  <c r="FS16" i="6"/>
  <c r="FS20" i="6" s="1"/>
  <c r="R22" i="6"/>
  <c r="R30" i="6" s="1"/>
  <c r="ES6" i="6"/>
  <c r="ES16" i="6" s="1"/>
  <c r="ES20" i="6" s="1"/>
  <c r="GE16" i="6"/>
  <c r="GE20" i="6" s="1"/>
  <c r="CK23" i="6"/>
  <c r="HL7" i="6"/>
  <c r="CB22" i="6"/>
  <c r="HC6" i="6"/>
  <c r="FT16" i="6"/>
  <c r="FT20" i="6" s="1"/>
  <c r="FI16" i="6"/>
  <c r="FI20" i="6" s="1"/>
  <c r="GB16" i="6"/>
  <c r="GB20" i="6" s="1"/>
  <c r="GH16" i="6"/>
  <c r="GH20" i="6" s="1"/>
  <c r="GN17" i="6"/>
  <c r="GN21" i="6" s="1"/>
  <c r="CK22" i="6"/>
  <c r="HL6" i="6"/>
  <c r="CB23" i="6"/>
  <c r="HC7" i="6"/>
  <c r="AO30" i="6"/>
  <c r="DG45" i="6"/>
  <c r="DI37" i="6"/>
  <c r="DG48" i="6"/>
  <c r="DG37" i="6"/>
  <c r="DI50" i="6"/>
  <c r="DI8" i="6"/>
  <c r="DI26" i="6"/>
  <c r="AV128" i="6"/>
  <c r="AV129" i="6"/>
  <c r="CS23" i="6"/>
  <c r="HT7" i="6"/>
  <c r="GO16" i="6"/>
  <c r="GO20" i="6" s="1"/>
  <c r="AQ23" i="6"/>
  <c r="FR7" i="6"/>
  <c r="CQ128" i="6"/>
  <c r="CQ129" i="6"/>
  <c r="AT128" i="6"/>
  <c r="AT129" i="6"/>
  <c r="BK22" i="6"/>
  <c r="GL6" i="6"/>
  <c r="AY23" i="6"/>
  <c r="FZ7" i="6"/>
  <c r="Z128" i="6"/>
  <c r="Z129" i="6"/>
  <c r="DI17" i="6"/>
  <c r="DH47" i="6"/>
  <c r="DG41" i="6"/>
  <c r="DH14" i="6"/>
  <c r="DI74" i="6"/>
  <c r="DG46" i="6"/>
  <c r="GC7" i="6"/>
  <c r="BB23" i="6"/>
  <c r="AF22" i="6"/>
  <c r="FG6" i="6"/>
  <c r="CS22" i="6"/>
  <c r="HT6" i="6"/>
  <c r="BN30" i="6"/>
  <c r="BR117" i="6"/>
  <c r="BR116" i="6"/>
  <c r="AQ22" i="6"/>
  <c r="FR6" i="6"/>
  <c r="GX16" i="6"/>
  <c r="GX20" i="6" s="1"/>
  <c r="GX17" i="6"/>
  <c r="GX21" i="6" s="1"/>
  <c r="P22" i="6"/>
  <c r="EQ6" i="6"/>
  <c r="GA16" i="6"/>
  <c r="GA20" i="6" s="1"/>
  <c r="HJ16" i="6"/>
  <c r="HJ20" i="6" s="1"/>
  <c r="CE22" i="6"/>
  <c r="HF6" i="6"/>
  <c r="FC17" i="6"/>
  <c r="FC21" i="6" s="1"/>
  <c r="BH117" i="6"/>
  <c r="BH116" i="6"/>
  <c r="AA129" i="6"/>
  <c r="AA128" i="6"/>
  <c r="DI90" i="6"/>
  <c r="DH39" i="6"/>
  <c r="DG49" i="6"/>
  <c r="DG77" i="6"/>
  <c r="DH43" i="6"/>
  <c r="DI9" i="6"/>
  <c r="BB22" i="6"/>
  <c r="GC6" i="6"/>
  <c r="FG7" i="6"/>
  <c r="AF23" i="6"/>
  <c r="AJ22" i="6"/>
  <c r="FK6" i="6"/>
  <c r="CV129" i="6"/>
  <c r="CV128" i="6"/>
  <c r="Q128" i="6"/>
  <c r="Q129" i="6"/>
  <c r="BE22" i="6"/>
  <c r="GF6" i="6"/>
  <c r="M30" i="6"/>
  <c r="BW30" i="6"/>
  <c r="P23" i="6"/>
  <c r="EQ7" i="6"/>
  <c r="AT117" i="6"/>
  <c r="AT116" i="6"/>
  <c r="U116" i="6"/>
  <c r="U117" i="6"/>
  <c r="AZ30" i="6"/>
  <c r="CI30" i="6"/>
  <c r="CE23" i="6"/>
  <c r="HF7" i="6"/>
  <c r="BM30" i="6"/>
  <c r="Z117" i="6"/>
  <c r="Z116" i="6"/>
  <c r="BH129" i="6"/>
  <c r="BH128" i="6"/>
  <c r="BC129" i="6"/>
  <c r="BC128" i="6"/>
  <c r="AJ23" i="6"/>
  <c r="FK7" i="6"/>
  <c r="CV116" i="6"/>
  <c r="CV117" i="6"/>
  <c r="Q117" i="6"/>
  <c r="Q116" i="6"/>
  <c r="BE23" i="6"/>
  <c r="GF7" i="6"/>
  <c r="AL22" i="6"/>
  <c r="FM6" i="6"/>
  <c r="AK22" i="6"/>
  <c r="FL6" i="6"/>
  <c r="L22" i="6"/>
  <c r="EM6" i="6"/>
  <c r="GB17" i="6"/>
  <c r="GB21" i="6" s="1"/>
  <c r="S128" i="6"/>
  <c r="S129" i="6"/>
  <c r="G23" i="6"/>
  <c r="EH7" i="6"/>
  <c r="CM23" i="6"/>
  <c r="HN7" i="6"/>
  <c r="FH17" i="6"/>
  <c r="FH21" i="6" s="1"/>
  <c r="AA117" i="6"/>
  <c r="AA116" i="6"/>
  <c r="DI46" i="6"/>
  <c r="DG62" i="6"/>
  <c r="DG17" i="6"/>
  <c r="DI28" i="6"/>
  <c r="DH22" i="6"/>
  <c r="DI68" i="6"/>
  <c r="DG69" i="6"/>
  <c r="BC116" i="6"/>
  <c r="BC117" i="6"/>
  <c r="BI22" i="6"/>
  <c r="GJ6" i="6"/>
  <c r="AL23" i="6"/>
  <c r="FM7" i="6"/>
  <c r="AK23" i="6"/>
  <c r="FL7" i="6"/>
  <c r="L23" i="6"/>
  <c r="EM7" i="6"/>
  <c r="H23" i="6"/>
  <c r="EI7" i="6"/>
  <c r="G22" i="6"/>
  <c r="EH6" i="6"/>
  <c r="EH16" i="6" s="1"/>
  <c r="EH20" i="6" s="1"/>
  <c r="CM22" i="6"/>
  <c r="HN6" i="6"/>
  <c r="FG10" i="6"/>
  <c r="AG34" i="6"/>
  <c r="M38" i="7" s="1"/>
  <c r="CU22" i="6"/>
  <c r="HV6" i="6"/>
  <c r="CO23" i="6"/>
  <c r="HP7" i="6"/>
  <c r="DI10" i="6"/>
  <c r="DH58" i="6"/>
  <c r="DG89" i="6"/>
  <c r="DH45" i="6"/>
  <c r="DH36" i="6"/>
  <c r="DG18" i="6"/>
  <c r="BI23" i="6"/>
  <c r="GJ7" i="6"/>
  <c r="AH30" i="6"/>
  <c r="HY17" i="6"/>
  <c r="HY21" i="6" s="1"/>
  <c r="EN16" i="6"/>
  <c r="EN20" i="6" s="1"/>
  <c r="N22" i="6"/>
  <c r="EO6" i="6"/>
  <c r="AD22" i="6"/>
  <c r="FE6" i="6"/>
  <c r="S116" i="6"/>
  <c r="S117" i="6"/>
  <c r="H22" i="6"/>
  <c r="EI6" i="6"/>
  <c r="HI16" i="6"/>
  <c r="HI20" i="6" s="1"/>
  <c r="BY22" i="6"/>
  <c r="GZ6" i="6"/>
  <c r="FN16" i="6"/>
  <c r="FN20" i="6" s="1"/>
  <c r="BO23" i="6"/>
  <c r="GP7" i="6"/>
  <c r="EK7" i="6"/>
  <c r="J23" i="6"/>
  <c r="HV7" i="6"/>
  <c r="CU23" i="6"/>
  <c r="CO22" i="6"/>
  <c r="HP6" i="6"/>
  <c r="DG9" i="6"/>
  <c r="DG88" i="6"/>
  <c r="DH32" i="6"/>
  <c r="DH53" i="6"/>
  <c r="DI12" i="6"/>
  <c r="DI5" i="6"/>
  <c r="AV116" i="6"/>
  <c r="AV117" i="6"/>
  <c r="BV23" i="6"/>
  <c r="GW7" i="6"/>
  <c r="BR129" i="6"/>
  <c r="BR128" i="6"/>
  <c r="N23" i="6"/>
  <c r="EO7" i="6"/>
  <c r="DA22" i="6"/>
  <c r="IB6" i="6"/>
  <c r="AD23" i="6"/>
  <c r="FE7" i="6"/>
  <c r="CH30" i="6"/>
  <c r="BY23" i="6"/>
  <c r="GZ7" i="6"/>
  <c r="AM30" i="6"/>
  <c r="BO22" i="6"/>
  <c r="GP6" i="6"/>
  <c r="J22" i="6"/>
  <c r="EK6" i="6"/>
  <c r="GU6" i="6"/>
  <c r="BT22" i="6"/>
  <c r="DI25" i="6"/>
  <c r="DG58" i="6"/>
  <c r="DI101" i="6"/>
  <c r="DH19" i="6"/>
  <c r="DG39" i="6"/>
  <c r="DI21" i="6"/>
  <c r="FI17" i="6"/>
  <c r="FI21" i="6" s="1"/>
  <c r="BV22" i="6"/>
  <c r="GW6" i="6"/>
  <c r="DA23" i="6"/>
  <c r="IB7" i="6"/>
  <c r="CQ117" i="6"/>
  <c r="CQ116" i="6"/>
  <c r="U128" i="6"/>
  <c r="U129" i="6"/>
  <c r="BK23" i="6"/>
  <c r="GL7" i="6"/>
  <c r="AY22" i="6"/>
  <c r="FZ6" i="6"/>
  <c r="GU7" i="6"/>
  <c r="BT23" i="6"/>
  <c r="DG76" i="6"/>
  <c r="DH55" i="6"/>
  <c r="DI11" i="6"/>
  <c r="DI94" i="6"/>
  <c r="DG14" i="6"/>
  <c r="DI27" i="6"/>
  <c r="DI62" i="6"/>
  <c r="DH54" i="6"/>
  <c r="DG56" i="6"/>
  <c r="DG16" i="6"/>
  <c r="DI61" i="6"/>
  <c r="DI72" i="6"/>
  <c r="DG23" i="6"/>
  <c r="DH42" i="6"/>
  <c r="DI59" i="6"/>
  <c r="DI75" i="6"/>
  <c r="DH52" i="6"/>
  <c r="DI15" i="6"/>
  <c r="DG50" i="6"/>
  <c r="DH7" i="6"/>
  <c r="DI20" i="6"/>
  <c r="DI100" i="6"/>
  <c r="DH61" i="6"/>
  <c r="DI57" i="6"/>
  <c r="DI60" i="6"/>
  <c r="DI16" i="6"/>
  <c r="DH35" i="6"/>
  <c r="DG5" i="6"/>
  <c r="DI35" i="6"/>
  <c r="DH20" i="6"/>
  <c r="DG73" i="6"/>
  <c r="DH90" i="6"/>
  <c r="DI76" i="6"/>
  <c r="DG24" i="6"/>
  <c r="DI23" i="6"/>
  <c r="DI13" i="6"/>
  <c r="DI42" i="6"/>
  <c r="DG36" i="6"/>
  <c r="DI6" i="6"/>
  <c r="DH10" i="6"/>
  <c r="DG38" i="6"/>
  <c r="DI67" i="6"/>
  <c r="DH79" i="6"/>
  <c r="DG79" i="6"/>
  <c r="DG93" i="6"/>
  <c r="DI93" i="6"/>
  <c r="DG80" i="6"/>
  <c r="DG59" i="6"/>
  <c r="DH69" i="6"/>
  <c r="DH75" i="6"/>
  <c r="DI63" i="6"/>
  <c r="DI69" i="6"/>
  <c r="DI66" i="6"/>
  <c r="DI70" i="6"/>
  <c r="DI52" i="6"/>
  <c r="DH28" i="6"/>
  <c r="DH37" i="6"/>
  <c r="DH93" i="6"/>
  <c r="DH33" i="6"/>
  <c r="DG98" i="6"/>
  <c r="DG82" i="6"/>
  <c r="DH13" i="6"/>
  <c r="DH86" i="6"/>
  <c r="DG10" i="6"/>
  <c r="DH17" i="6"/>
  <c r="DI53" i="6"/>
  <c r="DH63" i="6"/>
  <c r="DG43" i="6"/>
  <c r="DG54" i="6"/>
  <c r="DH66" i="6"/>
  <c r="DH15" i="6"/>
  <c r="DH40" i="6"/>
  <c r="DI33" i="6"/>
  <c r="DI43" i="6"/>
  <c r="DI89" i="6"/>
  <c r="DI18" i="6"/>
  <c r="DG53" i="6"/>
  <c r="DH82" i="6"/>
  <c r="DI79" i="6"/>
  <c r="DH11" i="6"/>
  <c r="DG20" i="6"/>
  <c r="DG25" i="6"/>
  <c r="DG32" i="6"/>
  <c r="DH44" i="6"/>
  <c r="DI80" i="6"/>
  <c r="DI31" i="6"/>
  <c r="DI92" i="6"/>
  <c r="DI36" i="6"/>
  <c r="DG75" i="6"/>
  <c r="DH21" i="6"/>
  <c r="DG11" i="6"/>
  <c r="DH26" i="6"/>
  <c r="DH64" i="6"/>
  <c r="DG29" i="6"/>
  <c r="DG12" i="6"/>
  <c r="DI30" i="6"/>
  <c r="DH49" i="6"/>
  <c r="DG67" i="6"/>
  <c r="DG57" i="6"/>
  <c r="DG78" i="6"/>
  <c r="DG91" i="6"/>
  <c r="DG35" i="6"/>
  <c r="DG84" i="6"/>
  <c r="DG7" i="6"/>
  <c r="DG31" i="6"/>
  <c r="DG83" i="6"/>
  <c r="DH29" i="6"/>
  <c r="DH23" i="6"/>
  <c r="DI24" i="6"/>
  <c r="DG68" i="6"/>
  <c r="DH78" i="6"/>
  <c r="DH73" i="6"/>
  <c r="DH76" i="6"/>
  <c r="DG8" i="6"/>
  <c r="DG52" i="6"/>
  <c r="DI41" i="6"/>
  <c r="DH16" i="6"/>
  <c r="DH24" i="6"/>
  <c r="DG44" i="6"/>
  <c r="DH51" i="6"/>
  <c r="DH91" i="6"/>
  <c r="DI97" i="6"/>
  <c r="DG66" i="6"/>
  <c r="DI77" i="6"/>
  <c r="DI51" i="6"/>
  <c r="DG64" i="6"/>
  <c r="DH59" i="6"/>
  <c r="DI71" i="6"/>
  <c r="DI40" i="6"/>
  <c r="DH77" i="6"/>
  <c r="DH84" i="6"/>
  <c r="DI102" i="6"/>
  <c r="DG99" i="6"/>
  <c r="DI54" i="6"/>
  <c r="DH60" i="6"/>
  <c r="DG65" i="6"/>
  <c r="DH95" i="6"/>
  <c r="DG70" i="6"/>
  <c r="DI29" i="6"/>
  <c r="DG72" i="6"/>
  <c r="DG40" i="6"/>
  <c r="DG60" i="6"/>
  <c r="DH85" i="6"/>
  <c r="DH62" i="6"/>
  <c r="DI82" i="6"/>
  <c r="DG19" i="6"/>
  <c r="DH56" i="6"/>
  <c r="DI81" i="6"/>
  <c r="DI56" i="6"/>
  <c r="DH18" i="6"/>
  <c r="DH74" i="6"/>
  <c r="DG85" i="6"/>
  <c r="DG61" i="6"/>
  <c r="DG95" i="6"/>
  <c r="DI65" i="6"/>
  <c r="DG71" i="6"/>
  <c r="DG47" i="6"/>
  <c r="DI84" i="6"/>
  <c r="DG92" i="6"/>
  <c r="DG90" i="6"/>
  <c r="DH12" i="6"/>
  <c r="DG26" i="6"/>
  <c r="DG55" i="6"/>
  <c r="DI22" i="6"/>
  <c r="DH81" i="6"/>
  <c r="DH94" i="6"/>
  <c r="DH27" i="6"/>
  <c r="DG34" i="6"/>
  <c r="DH89" i="6"/>
  <c r="DG74" i="6"/>
  <c r="DI45" i="6"/>
  <c r="DH48" i="6"/>
  <c r="DH6" i="6"/>
  <c r="DH65" i="6"/>
  <c r="DI103" i="6"/>
  <c r="DI83" i="6"/>
  <c r="DI99" i="6"/>
  <c r="DG27" i="6"/>
  <c r="DI48" i="6"/>
  <c r="DI86" i="6"/>
  <c r="DH96" i="6"/>
  <c r="DG22" i="6"/>
  <c r="DG87" i="6"/>
  <c r="DH68" i="6"/>
  <c r="DI49" i="6"/>
  <c r="DI32" i="6"/>
  <c r="DG33" i="6"/>
  <c r="DG42" i="6"/>
  <c r="DI88" i="6"/>
  <c r="DH46" i="6"/>
  <c r="DH101" i="6"/>
  <c r="DG102" i="6"/>
  <c r="DG103" i="6"/>
  <c r="DG94" i="6"/>
  <c r="DH88" i="6"/>
  <c r="DI85" i="6"/>
  <c r="DI91" i="6"/>
  <c r="DH83" i="6"/>
  <c r="DH103" i="6"/>
  <c r="DI39" i="6"/>
  <c r="DH99" i="6"/>
  <c r="DH5" i="6"/>
  <c r="DG13" i="6"/>
  <c r="DG30" i="6"/>
  <c r="DI64" i="6"/>
  <c r="DG15" i="6"/>
  <c r="DI14" i="6"/>
  <c r="DG21" i="6"/>
  <c r="DH25" i="6"/>
  <c r="DH8" i="6"/>
  <c r="DH67" i="6"/>
  <c r="DH102" i="6"/>
  <c r="DI44" i="6"/>
  <c r="DI47" i="6"/>
  <c r="DI73" i="6"/>
  <c r="DI58" i="6"/>
  <c r="DH57" i="6"/>
  <c r="DI55" i="6"/>
  <c r="DI98" i="6"/>
  <c r="DH80" i="6"/>
  <c r="DG51" i="6"/>
  <c r="DH34" i="6"/>
  <c r="DH70" i="6"/>
  <c r="DH72" i="6"/>
  <c r="DI7" i="6"/>
  <c r="DG63" i="6"/>
  <c r="DI78" i="6"/>
  <c r="DH98" i="6"/>
  <c r="DI96" i="6"/>
  <c r="DH31" i="6"/>
  <c r="DG28" i="6"/>
  <c r="DI38" i="6"/>
  <c r="DI34" i="6"/>
  <c r="DH50" i="6"/>
  <c r="DH71" i="6"/>
  <c r="DH41" i="6"/>
  <c r="DG100" i="6"/>
  <c r="DG97" i="6"/>
  <c r="DH97" i="6"/>
  <c r="DH92" i="6"/>
  <c r="DI95" i="6"/>
  <c r="DI87" i="6"/>
  <c r="DG101" i="6"/>
  <c r="DH100" i="6"/>
  <c r="DH87" i="6"/>
  <c r="DG96" i="6"/>
  <c r="DG86" i="6"/>
  <c r="DG81" i="6"/>
  <c r="GQ10" i="6"/>
  <c r="BQ34" i="6"/>
  <c r="I46" i="7" s="1"/>
  <c r="EK16" i="6" l="1"/>
  <c r="EK20" i="6" s="1"/>
  <c r="BF23" i="6"/>
  <c r="GG7" i="6"/>
  <c r="BF22" i="6"/>
  <c r="BF30" i="6" s="1"/>
  <c r="GG6" i="6"/>
  <c r="GG16" i="6" s="1"/>
  <c r="GG20" i="6" s="1"/>
  <c r="BP23" i="6"/>
  <c r="GQ7" i="6"/>
  <c r="BP22" i="6"/>
  <c r="GQ6" i="6"/>
  <c r="AR34" i="6"/>
  <c r="N40" i="7" s="1"/>
  <c r="EU17" i="6"/>
  <c r="EU21" i="6" s="1"/>
  <c r="EU16" i="6"/>
  <c r="EU20" i="6" s="1"/>
  <c r="T30" i="6"/>
  <c r="GW16" i="6"/>
  <c r="GW20" i="6" s="1"/>
  <c r="FS10" i="6"/>
  <c r="AP34" i="6"/>
  <c r="L40" i="7" s="1"/>
  <c r="CP30" i="6"/>
  <c r="HP10" i="6" s="1"/>
  <c r="BZ34" i="6"/>
  <c r="H48" i="7" s="1"/>
  <c r="FZ16" i="6"/>
  <c r="FZ20" i="6" s="1"/>
  <c r="HH17" i="6"/>
  <c r="HH21" i="6" s="1"/>
  <c r="HY10" i="6"/>
  <c r="FG17" i="6"/>
  <c r="FG21" i="6" s="1"/>
  <c r="EY16" i="6"/>
  <c r="EY20" i="6" s="1"/>
  <c r="K34" i="6"/>
  <c r="K34" i="7" s="1"/>
  <c r="EK10" i="6"/>
  <c r="FK17" i="6"/>
  <c r="FK21" i="6" s="1"/>
  <c r="FB10" i="6"/>
  <c r="CR34" i="6"/>
  <c r="F52" i="7" s="1"/>
  <c r="CJ34" i="6"/>
  <c r="H50" i="7" s="1"/>
  <c r="AY30" i="6"/>
  <c r="HP16" i="6"/>
  <c r="HP20" i="6" s="1"/>
  <c r="EQ17" i="6"/>
  <c r="EQ21" i="6" s="1"/>
  <c r="AQ30" i="6"/>
  <c r="AQ34" i="6" s="1"/>
  <c r="M40" i="7" s="1"/>
  <c r="BD34" i="6"/>
  <c r="F44" i="7" s="1"/>
  <c r="HQ16" i="6"/>
  <c r="HQ20" i="6" s="1"/>
  <c r="HQ17" i="6"/>
  <c r="HQ21" i="6" s="1"/>
  <c r="FY16" i="6"/>
  <c r="FY20" i="6" s="1"/>
  <c r="X30" i="6"/>
  <c r="GA10" i="6"/>
  <c r="V30" i="6"/>
  <c r="EV10" i="6" s="1"/>
  <c r="AX30" i="6"/>
  <c r="AX34" i="6" s="1"/>
  <c r="J42" i="7" s="1"/>
  <c r="EY17" i="6"/>
  <c r="EY21" i="6" s="1"/>
  <c r="EW16" i="6"/>
  <c r="EW20" i="6" s="1"/>
  <c r="FX17" i="6"/>
  <c r="FX21" i="6" s="1"/>
  <c r="CT34" i="6"/>
  <c r="H52" i="7" s="1"/>
  <c r="BT30" i="6"/>
  <c r="BT34" i="6" s="1"/>
  <c r="L46" i="7" s="1"/>
  <c r="GC16" i="6"/>
  <c r="GC20" i="6" s="1"/>
  <c r="CX34" i="6"/>
  <c r="L52" i="7" s="1"/>
  <c r="AC34" i="6"/>
  <c r="I38" i="7" s="1"/>
  <c r="GJ17" i="6"/>
  <c r="GJ21" i="6" s="1"/>
  <c r="HT16" i="6"/>
  <c r="HT20" i="6" s="1"/>
  <c r="EX17" i="6"/>
  <c r="EX21" i="6" s="1"/>
  <c r="GV17" i="6"/>
  <c r="GV21" i="6" s="1"/>
  <c r="HM17" i="6"/>
  <c r="HM21" i="6" s="1"/>
  <c r="FY17" i="6"/>
  <c r="FY21" i="6" s="1"/>
  <c r="CO30" i="6"/>
  <c r="CO34" i="6" s="1"/>
  <c r="M50" i="7" s="1"/>
  <c r="CS30" i="6"/>
  <c r="HS10" i="6" s="1"/>
  <c r="FX16" i="6"/>
  <c r="FX20" i="6" s="1"/>
  <c r="EO17" i="6"/>
  <c r="EO21" i="6" s="1"/>
  <c r="AW30" i="6"/>
  <c r="GG10" i="6"/>
  <c r="BG34" i="6"/>
  <c r="I44" i="7" s="1"/>
  <c r="EW17" i="6"/>
  <c r="EW21" i="6" s="1"/>
  <c r="GJ10" i="6"/>
  <c r="HX16" i="6"/>
  <c r="HX20" i="6" s="1"/>
  <c r="CF34" i="6"/>
  <c r="N48" i="7" s="1"/>
  <c r="HF10" i="6"/>
  <c r="CL30" i="6"/>
  <c r="GV16" i="6"/>
  <c r="GV20" i="6" s="1"/>
  <c r="HM16" i="6"/>
  <c r="HM20" i="6" s="1"/>
  <c r="EJ17" i="6"/>
  <c r="EJ21" i="6" s="1"/>
  <c r="BU30" i="6"/>
  <c r="HL16" i="6"/>
  <c r="HL20" i="6" s="1"/>
  <c r="FV16" i="6"/>
  <c r="FV20" i="6" s="1"/>
  <c r="CW30" i="6"/>
  <c r="GU17" i="6"/>
  <c r="GU21" i="6" s="1"/>
  <c r="J30" i="6"/>
  <c r="EJ10" i="6" s="1"/>
  <c r="EP16" i="6"/>
  <c r="EP20" i="6" s="1"/>
  <c r="W30" i="6"/>
  <c r="BB30" i="6"/>
  <c r="BB34" i="6" s="1"/>
  <c r="N42" i="7" s="1"/>
  <c r="EX16" i="6"/>
  <c r="EX20" i="6" s="1"/>
  <c r="GF17" i="6"/>
  <c r="GF21" i="6" s="1"/>
  <c r="HZ10" i="6"/>
  <c r="CZ34" i="6"/>
  <c r="N52" i="7" s="1"/>
  <c r="CU30" i="6"/>
  <c r="CU34" i="6" s="1"/>
  <c r="I52" i="7" s="1"/>
  <c r="FL17" i="6"/>
  <c r="FL21" i="6" s="1"/>
  <c r="CK30" i="6"/>
  <c r="CK34" i="6" s="1"/>
  <c r="I50" i="7" s="1"/>
  <c r="HH16" i="6"/>
  <c r="HH20" i="6" s="1"/>
  <c r="HV17" i="6"/>
  <c r="HV21" i="6" s="1"/>
  <c r="CG30" i="6"/>
  <c r="HX17" i="6"/>
  <c r="HX21" i="6" s="1"/>
  <c r="FF16" i="6"/>
  <c r="FF20" i="6" s="1"/>
  <c r="GZ17" i="6"/>
  <c r="GZ21" i="6" s="1"/>
  <c r="FI10" i="6"/>
  <c r="AI34" i="6"/>
  <c r="O38" i="7" s="1"/>
  <c r="GM17" i="6"/>
  <c r="GM21" i="6" s="1"/>
  <c r="GM16" i="6"/>
  <c r="GM20" i="6" s="1"/>
  <c r="BL30" i="6"/>
  <c r="AE30" i="6"/>
  <c r="EP17" i="6"/>
  <c r="EP21" i="6" s="1"/>
  <c r="EI17" i="6"/>
  <c r="EI21" i="6" s="1"/>
  <c r="O30" i="6"/>
  <c r="EJ16" i="6"/>
  <c r="EJ20" i="6" s="1"/>
  <c r="EM17" i="6"/>
  <c r="EM21" i="6" s="1"/>
  <c r="AL30" i="6"/>
  <c r="FL10" i="6" s="1"/>
  <c r="HC16" i="6"/>
  <c r="HC20" i="6" s="1"/>
  <c r="FF17" i="6"/>
  <c r="FF21" i="6" s="1"/>
  <c r="I30" i="6"/>
  <c r="GL17" i="6"/>
  <c r="GL21" i="6" s="1"/>
  <c r="DA30" i="6"/>
  <c r="IA10" i="6" s="1"/>
  <c r="GZ16" i="6"/>
  <c r="GZ20" i="6" s="1"/>
  <c r="FE16" i="6"/>
  <c r="FE20" i="6" s="1"/>
  <c r="CB30" i="6"/>
  <c r="AU30" i="6"/>
  <c r="HL17" i="6"/>
  <c r="HL21" i="6" s="1"/>
  <c r="FV17" i="6"/>
  <c r="FV21" i="6" s="1"/>
  <c r="FR16" i="6"/>
  <c r="FR20" i="6" s="1"/>
  <c r="GT17" i="6"/>
  <c r="GT21" i="6" s="1"/>
  <c r="GT16" i="6"/>
  <c r="GT20" i="6" s="1"/>
  <c r="BS30" i="6"/>
  <c r="EI16" i="6"/>
  <c r="EI20" i="6" s="1"/>
  <c r="ES17" i="6"/>
  <c r="ES21" i="6" s="1"/>
  <c r="FO10" i="6"/>
  <c r="AO34" i="6"/>
  <c r="K40" i="7" s="1"/>
  <c r="R34" i="6"/>
  <c r="H36" i="7" s="1"/>
  <c r="ER10" i="6"/>
  <c r="IB17" i="6"/>
  <c r="IB21" i="6" s="1"/>
  <c r="GP16" i="6"/>
  <c r="GP20" i="6" s="1"/>
  <c r="FM16" i="6"/>
  <c r="FM20" i="6" s="1"/>
  <c r="HC17" i="6"/>
  <c r="HC21" i="6" s="1"/>
  <c r="FE17" i="6"/>
  <c r="FE21" i="6" s="1"/>
  <c r="GW17" i="6"/>
  <c r="GW21" i="6" s="1"/>
  <c r="GP17" i="6"/>
  <c r="GP21" i="6" s="1"/>
  <c r="H30" i="6"/>
  <c r="GJ16" i="6"/>
  <c r="GJ20" i="6" s="1"/>
  <c r="EH17" i="6"/>
  <c r="EH21" i="6" s="1"/>
  <c r="AK30" i="6"/>
  <c r="Q23" i="6"/>
  <c r="ER7" i="6"/>
  <c r="AA22" i="6"/>
  <c r="FB6" i="6"/>
  <c r="FZ17" i="6"/>
  <c r="FZ21" i="6" s="1"/>
  <c r="AH34" i="6"/>
  <c r="N38" i="7" s="1"/>
  <c r="FH10" i="6"/>
  <c r="BI30" i="6"/>
  <c r="GM10" i="6"/>
  <c r="BM34" i="6"/>
  <c r="O44" i="7" s="1"/>
  <c r="Q22" i="6"/>
  <c r="ER6" i="6"/>
  <c r="AA23" i="6"/>
  <c r="FB7" i="6"/>
  <c r="EQ16" i="6"/>
  <c r="EQ20" i="6" s="1"/>
  <c r="GN10" i="6"/>
  <c r="BN34" i="6"/>
  <c r="F46" i="7" s="1"/>
  <c r="AV23" i="6"/>
  <c r="FW7" i="6"/>
  <c r="FY10" i="6"/>
  <c r="AY34" i="6"/>
  <c r="K42" i="7" s="1"/>
  <c r="BO30" i="6"/>
  <c r="IB16" i="6"/>
  <c r="IB20" i="6" s="1"/>
  <c r="S23" i="6"/>
  <c r="ET7" i="6"/>
  <c r="CV22" i="6"/>
  <c r="HW6" i="6"/>
  <c r="P30" i="6"/>
  <c r="GL16" i="6"/>
  <c r="GL20" i="6" s="1"/>
  <c r="AV22" i="6"/>
  <c r="FW6" i="6"/>
  <c r="AM34" i="6"/>
  <c r="I40" i="7" s="1"/>
  <c r="FM10" i="6"/>
  <c r="S22" i="6"/>
  <c r="ET6" i="6"/>
  <c r="BC22" i="6"/>
  <c r="GD6" i="6"/>
  <c r="CV23" i="6"/>
  <c r="HW7" i="6"/>
  <c r="BK30" i="6"/>
  <c r="BY30" i="6"/>
  <c r="AD30" i="6"/>
  <c r="HP17" i="6"/>
  <c r="HP21" i="6" s="1"/>
  <c r="BC23" i="6"/>
  <c r="GD7" i="6"/>
  <c r="HI10" i="6"/>
  <c r="CI34" i="6"/>
  <c r="G50" i="7" s="1"/>
  <c r="GW10" i="6"/>
  <c r="BW34" i="6"/>
  <c r="O46" i="7" s="1"/>
  <c r="FK16" i="6"/>
  <c r="FK20" i="6" s="1"/>
  <c r="FG16" i="6"/>
  <c r="FG20" i="6" s="1"/>
  <c r="AT23" i="6"/>
  <c r="FU7" i="6"/>
  <c r="FR17" i="6"/>
  <c r="FR21" i="6" s="1"/>
  <c r="U23" i="6"/>
  <c r="EV7" i="6"/>
  <c r="BV30" i="6"/>
  <c r="EO16" i="6"/>
  <c r="EO20" i="6" s="1"/>
  <c r="EM16" i="6"/>
  <c r="EM20" i="6" s="1"/>
  <c r="BH22" i="6"/>
  <c r="GI6" i="6"/>
  <c r="FZ10" i="6"/>
  <c r="AZ34" i="6"/>
  <c r="L42" i="7" s="1"/>
  <c r="M34" i="6"/>
  <c r="M34" i="7" s="1"/>
  <c r="EM10" i="6"/>
  <c r="AJ30" i="6"/>
  <c r="HF17" i="6"/>
  <c r="HF21" i="6" s="1"/>
  <c r="HF16" i="6"/>
  <c r="HF20" i="6" s="1"/>
  <c r="AF30" i="6"/>
  <c r="AT22" i="6"/>
  <c r="FU6" i="6"/>
  <c r="U22" i="6"/>
  <c r="EV6" i="6"/>
  <c r="GU16" i="6"/>
  <c r="GU20" i="6" s="1"/>
  <c r="BF34" i="6"/>
  <c r="H44" i="7" s="1"/>
  <c r="GF10" i="6"/>
  <c r="BR22" i="6"/>
  <c r="GS6" i="6"/>
  <c r="N30" i="6"/>
  <c r="HV16" i="6"/>
  <c r="HV20" i="6" s="1"/>
  <c r="FM17" i="6"/>
  <c r="FM21" i="6" s="1"/>
  <c r="HN16" i="6"/>
  <c r="HN20" i="6" s="1"/>
  <c r="HN17" i="6"/>
  <c r="HN21" i="6" s="1"/>
  <c r="L30" i="6"/>
  <c r="BH23" i="6"/>
  <c r="GI7" i="6"/>
  <c r="GF16" i="6"/>
  <c r="GF20" i="6" s="1"/>
  <c r="CE30" i="6"/>
  <c r="Z23" i="6"/>
  <c r="FA7" i="6"/>
  <c r="HR7" i="6"/>
  <c r="CQ23" i="6"/>
  <c r="CH34" i="6"/>
  <c r="F50" i="7" s="1"/>
  <c r="HH10" i="6"/>
  <c r="BR23" i="6"/>
  <c r="GS7" i="6"/>
  <c r="EK17" i="6"/>
  <c r="EK21" i="6" s="1"/>
  <c r="G30" i="6"/>
  <c r="CM30" i="6"/>
  <c r="FL16" i="6"/>
  <c r="FL20" i="6" s="1"/>
  <c r="BE30" i="6"/>
  <c r="GC17" i="6"/>
  <c r="GC21" i="6" s="1"/>
  <c r="Z22" i="6"/>
  <c r="FA6" i="6"/>
  <c r="CQ22" i="6"/>
  <c r="HR6" i="6"/>
  <c r="HT17" i="6"/>
  <c r="HT21" i="6" s="1"/>
  <c r="J34" i="6" l="1"/>
  <c r="J34" i="7" s="1"/>
  <c r="GQ16" i="6"/>
  <c r="GQ20" i="6" s="1"/>
  <c r="GG17" i="6"/>
  <c r="GG21" i="6" s="1"/>
  <c r="BP30" i="6"/>
  <c r="GQ17" i="6"/>
  <c r="GQ21" i="6" s="1"/>
  <c r="FQ10" i="6"/>
  <c r="HR16" i="6"/>
  <c r="HR20" i="6" s="1"/>
  <c r="ET10" i="6"/>
  <c r="T34" i="6"/>
  <c r="J36" i="7" s="1"/>
  <c r="CP34" i="6"/>
  <c r="N50" i="7" s="1"/>
  <c r="Z30" i="6"/>
  <c r="Z34" i="6" s="1"/>
  <c r="F38" i="7" s="1"/>
  <c r="HO10" i="6"/>
  <c r="GT10" i="6"/>
  <c r="HU10" i="6"/>
  <c r="FU16" i="6"/>
  <c r="FU20" i="6" s="1"/>
  <c r="CS34" i="6"/>
  <c r="G52" i="7" s="1"/>
  <c r="FX10" i="6"/>
  <c r="GB10" i="6"/>
  <c r="GI17" i="6"/>
  <c r="GI21" i="6" s="1"/>
  <c r="V34" i="6"/>
  <c r="L36" i="7" s="1"/>
  <c r="EX10" i="6"/>
  <c r="X34" i="6"/>
  <c r="N36" i="7" s="1"/>
  <c r="ET16" i="6"/>
  <c r="ET20" i="6" s="1"/>
  <c r="S30" i="6"/>
  <c r="S34" i="6" s="1"/>
  <c r="I36" i="7" s="1"/>
  <c r="FW10" i="6"/>
  <c r="AW34" i="6"/>
  <c r="I42" i="7" s="1"/>
  <c r="HW17" i="6"/>
  <c r="HW21" i="6" s="1"/>
  <c r="AL34" i="6"/>
  <c r="H40" i="7" s="1"/>
  <c r="ER16" i="6"/>
  <c r="ER20" i="6" s="1"/>
  <c r="Q30" i="6"/>
  <c r="EQ10" i="6" s="1"/>
  <c r="HL10" i="6"/>
  <c r="CL34" i="6"/>
  <c r="J50" i="7" s="1"/>
  <c r="FB17" i="6"/>
  <c r="FB21" i="6" s="1"/>
  <c r="GU10" i="6"/>
  <c r="BU34" i="6"/>
  <c r="M46" i="7" s="1"/>
  <c r="BH30" i="6"/>
  <c r="BH34" i="6" s="1"/>
  <c r="J44" i="7" s="1"/>
  <c r="HK10" i="6"/>
  <c r="FA17" i="6"/>
  <c r="FA21" i="6" s="1"/>
  <c r="CQ30" i="6"/>
  <c r="HQ10" i="6" s="1"/>
  <c r="W34" i="6"/>
  <c r="M36" i="7" s="1"/>
  <c r="EW10" i="6"/>
  <c r="DA34" i="6"/>
  <c r="O52" i="7" s="1"/>
  <c r="DD5" i="6" a="1"/>
  <c r="DF85" i="6" s="1"/>
  <c r="EV16" i="6"/>
  <c r="EV20" i="6" s="1"/>
  <c r="GD16" i="6"/>
  <c r="GD20" i="6" s="1"/>
  <c r="HG10" i="6"/>
  <c r="CG34" i="6"/>
  <c r="O48" i="7" s="1"/>
  <c r="CW34" i="6"/>
  <c r="K52" i="7" s="1"/>
  <c r="HW10" i="6"/>
  <c r="FE10" i="6"/>
  <c r="AE34" i="6"/>
  <c r="K38" i="7" s="1"/>
  <c r="U30" i="6"/>
  <c r="EU10" i="6" s="1"/>
  <c r="GL10" i="6"/>
  <c r="BL34" i="6"/>
  <c r="N44" i="7" s="1"/>
  <c r="I34" i="6"/>
  <c r="I34" i="7" s="1"/>
  <c r="EI10" i="6"/>
  <c r="EO10" i="6"/>
  <c r="O34" i="6"/>
  <c r="O34" i="7" s="1"/>
  <c r="GS10" i="6"/>
  <c r="BS34" i="6"/>
  <c r="K46" i="7" s="1"/>
  <c r="AU34" i="6"/>
  <c r="G42" i="7" s="1"/>
  <c r="FU10" i="6"/>
  <c r="FW16" i="6"/>
  <c r="FW20" i="6" s="1"/>
  <c r="CB34" i="6"/>
  <c r="J48" i="7" s="1"/>
  <c r="HB10" i="6"/>
  <c r="AT30" i="6"/>
  <c r="FT10" i="6" s="1"/>
  <c r="AV30" i="6"/>
  <c r="AV34" i="6" s="1"/>
  <c r="H42" i="7" s="1"/>
  <c r="HW16" i="6"/>
  <c r="HW20" i="6" s="1"/>
  <c r="GE10" i="6"/>
  <c r="BE34" i="6"/>
  <c r="G44" i="7" s="1"/>
  <c r="FJ10" i="6"/>
  <c r="AJ34" i="6"/>
  <c r="F40" i="7" s="1"/>
  <c r="FD10" i="6"/>
  <c r="AD34" i="6"/>
  <c r="J38" i="7" s="1"/>
  <c r="CV30" i="6"/>
  <c r="BV34" i="6"/>
  <c r="N46" i="7" s="1"/>
  <c r="GV10" i="6"/>
  <c r="BY34" i="6"/>
  <c r="G48" i="7" s="1"/>
  <c r="GY10" i="6"/>
  <c r="FW17" i="6"/>
  <c r="FW21" i="6" s="1"/>
  <c r="EH10" i="6"/>
  <c r="H34" i="6"/>
  <c r="H34" i="7" s="1"/>
  <c r="CM34" i="6"/>
  <c r="K50" i="7" s="1"/>
  <c r="HM10" i="6"/>
  <c r="HE10" i="6"/>
  <c r="CE34" i="6"/>
  <c r="M48" i="7" s="1"/>
  <c r="EV17" i="6"/>
  <c r="EV21" i="6" s="1"/>
  <c r="BC30" i="6"/>
  <c r="FB16" i="6"/>
  <c r="FB20" i="6" s="1"/>
  <c r="N34" i="6"/>
  <c r="N34" i="7" s="1"/>
  <c r="EN10" i="6"/>
  <c r="ET17" i="6"/>
  <c r="ET21" i="6" s="1"/>
  <c r="AA30" i="6"/>
  <c r="G34" i="6"/>
  <c r="G34" i="7" s="1"/>
  <c r="BK34" i="6"/>
  <c r="M44" i="7" s="1"/>
  <c r="GK10" i="6"/>
  <c r="ER17" i="6"/>
  <c r="ER21" i="6" s="1"/>
  <c r="FA16" i="6"/>
  <c r="FA20" i="6" s="1"/>
  <c r="HR17" i="6"/>
  <c r="HR21" i="6" s="1"/>
  <c r="BR30" i="6"/>
  <c r="AF34" i="6"/>
  <c r="L38" i="7" s="1"/>
  <c r="FF10" i="6"/>
  <c r="GI16" i="6"/>
  <c r="GI20" i="6" s="1"/>
  <c r="FU17" i="6"/>
  <c r="FU21" i="6" s="1"/>
  <c r="GD17" i="6"/>
  <c r="GD21" i="6" s="1"/>
  <c r="GS16" i="6"/>
  <c r="GS20" i="6" s="1"/>
  <c r="GS17" i="6"/>
  <c r="GS21" i="6" s="1"/>
  <c r="EL10" i="6"/>
  <c r="L34" i="6"/>
  <c r="L34" i="7" s="1"/>
  <c r="P34" i="6"/>
  <c r="F36" i="7" s="1"/>
  <c r="EP10" i="6"/>
  <c r="GO10" i="6"/>
  <c r="BO34" i="6"/>
  <c r="G46" i="7" s="1"/>
  <c r="GI10" i="6"/>
  <c r="BI34" i="6"/>
  <c r="K44" i="7" s="1"/>
  <c r="FK10" i="6"/>
  <c r="AK34" i="6"/>
  <c r="G40" i="7" s="1"/>
  <c r="BP34" i="6" l="1"/>
  <c r="H46" i="7" s="1"/>
  <c r="GP10" i="6"/>
  <c r="EZ10" i="6"/>
  <c r="GH10" i="6"/>
  <c r="CQ34" i="6"/>
  <c r="O50" i="7" s="1"/>
  <c r="ES10" i="6"/>
  <c r="AT34" i="6"/>
  <c r="F42" i="7" s="1"/>
  <c r="DE18" i="6"/>
  <c r="DE16" i="6"/>
  <c r="Q34" i="6"/>
  <c r="G36" i="7" s="1"/>
  <c r="DF7" i="6"/>
  <c r="DE68" i="6"/>
  <c r="DF12" i="6"/>
  <c r="DD49" i="6"/>
  <c r="DD6" i="6"/>
  <c r="DD26" i="6"/>
  <c r="DD39" i="6"/>
  <c r="DD8" i="6"/>
  <c r="DD47" i="6"/>
  <c r="DD21" i="6"/>
  <c r="DF29" i="6"/>
  <c r="DD43" i="6"/>
  <c r="DF76" i="6"/>
  <c r="DD29" i="6"/>
  <c r="DE51" i="6"/>
  <c r="DF15" i="6"/>
  <c r="DF14" i="6"/>
  <c r="DF49" i="6"/>
  <c r="U34" i="6"/>
  <c r="K36" i="7" s="1"/>
  <c r="DD41" i="6"/>
  <c r="DF56" i="6"/>
  <c r="DF88" i="6"/>
  <c r="FV10" i="6"/>
  <c r="DF22" i="6"/>
  <c r="DF18" i="6"/>
  <c r="DE34" i="6"/>
  <c r="DE49" i="6"/>
  <c r="DD18" i="6"/>
  <c r="DF39" i="6"/>
  <c r="DE24" i="6"/>
  <c r="DE31" i="6"/>
  <c r="DE39" i="6"/>
  <c r="DD86" i="6"/>
  <c r="DE36" i="6"/>
  <c r="DE6" i="6"/>
  <c r="DD66" i="6"/>
  <c r="DD73" i="6"/>
  <c r="DD81" i="6"/>
  <c r="DE42" i="6"/>
  <c r="DE46" i="6"/>
  <c r="DD85" i="6"/>
  <c r="DD56" i="6"/>
  <c r="DF68" i="6"/>
  <c r="DF84" i="6"/>
  <c r="DF103" i="6"/>
  <c r="DE7" i="6"/>
  <c r="DF40" i="6"/>
  <c r="DE57" i="6"/>
  <c r="DD19" i="6"/>
  <c r="DD95" i="6"/>
  <c r="DE44" i="6"/>
  <c r="DF101" i="6"/>
  <c r="DF23" i="6"/>
  <c r="DF55" i="6"/>
  <c r="DF60" i="6"/>
  <c r="DE13" i="6"/>
  <c r="DF78" i="6"/>
  <c r="DE86" i="6"/>
  <c r="DF82" i="6"/>
  <c r="DF13" i="6"/>
  <c r="DE91" i="6"/>
  <c r="DD100" i="6"/>
  <c r="DE87" i="6"/>
  <c r="DD16" i="6"/>
  <c r="DD46" i="6"/>
  <c r="DD58" i="6"/>
  <c r="DE32" i="6"/>
  <c r="DF34" i="6"/>
  <c r="DD102" i="6"/>
  <c r="DD89" i="6"/>
  <c r="DE81" i="6"/>
  <c r="DE43" i="6"/>
  <c r="DE102" i="6"/>
  <c r="DD74" i="6"/>
  <c r="DF32" i="6"/>
  <c r="DL32" i="6" s="1"/>
  <c r="DD87" i="6"/>
  <c r="DF33" i="6"/>
  <c r="DF20" i="6"/>
  <c r="DD36" i="6"/>
  <c r="DD24" i="6"/>
  <c r="DF71" i="6"/>
  <c r="DE74" i="6"/>
  <c r="DF94" i="6"/>
  <c r="DD60" i="6"/>
  <c r="DD54" i="6"/>
  <c r="DE58" i="6"/>
  <c r="DF8" i="6"/>
  <c r="DD80" i="6"/>
  <c r="DE65" i="6"/>
  <c r="DE21" i="6"/>
  <c r="DD98" i="6"/>
  <c r="DF67" i="6"/>
  <c r="DD35" i="6"/>
  <c r="DD103" i="6"/>
  <c r="DF81" i="6"/>
  <c r="DL81" i="6" s="1"/>
  <c r="DD32" i="6"/>
  <c r="DF52" i="6"/>
  <c r="DD10" i="6"/>
  <c r="DE29" i="6"/>
  <c r="DL29" i="6" s="1"/>
  <c r="DE62" i="6"/>
  <c r="DD93" i="6"/>
  <c r="DF66" i="6"/>
  <c r="DF77" i="6"/>
  <c r="DD55" i="6"/>
  <c r="DD40" i="6"/>
  <c r="DD101" i="6"/>
  <c r="DD71" i="6"/>
  <c r="DE100" i="6"/>
  <c r="DF74" i="6"/>
  <c r="DE25" i="6"/>
  <c r="DE78" i="6"/>
  <c r="DF69" i="6"/>
  <c r="DE61" i="6"/>
  <c r="DF30" i="6"/>
  <c r="DF45" i="6"/>
  <c r="DE69" i="6"/>
  <c r="DE50" i="6"/>
  <c r="DE71" i="6"/>
  <c r="DD83" i="6"/>
  <c r="DE67" i="6"/>
  <c r="DF21" i="6"/>
  <c r="DE28" i="6"/>
  <c r="DE97" i="6"/>
  <c r="DF42" i="6"/>
  <c r="DD11" i="6"/>
  <c r="DE80" i="6"/>
  <c r="DF64" i="6"/>
  <c r="DE101" i="6"/>
  <c r="DD9" i="6"/>
  <c r="DD28" i="6"/>
  <c r="DF16" i="6"/>
  <c r="DD23" i="6"/>
  <c r="DF47" i="6"/>
  <c r="DD59" i="6"/>
  <c r="DE37" i="6"/>
  <c r="DF96" i="6"/>
  <c r="DD14" i="6"/>
  <c r="DE14" i="6"/>
  <c r="DD68" i="6"/>
  <c r="DF100" i="6"/>
  <c r="DL100" i="6" s="1"/>
  <c r="DE85" i="6"/>
  <c r="DL85" i="6" s="1"/>
  <c r="DF91" i="6"/>
  <c r="DD92" i="6"/>
  <c r="DE96" i="6"/>
  <c r="DE90" i="6"/>
  <c r="DE66" i="6"/>
  <c r="DD25" i="6"/>
  <c r="DF11" i="6"/>
  <c r="DE77" i="6"/>
  <c r="DE27" i="6"/>
  <c r="DF50" i="6"/>
  <c r="DE9" i="6"/>
  <c r="DD53" i="6"/>
  <c r="DD62" i="6"/>
  <c r="DD48" i="6"/>
  <c r="DF58" i="6"/>
  <c r="DF61" i="6"/>
  <c r="DD63" i="6"/>
  <c r="DD91" i="6"/>
  <c r="DE70" i="6"/>
  <c r="DF86" i="6"/>
  <c r="DD17" i="6"/>
  <c r="DD57" i="6"/>
  <c r="DF44" i="6"/>
  <c r="DE76" i="6"/>
  <c r="DD13" i="6"/>
  <c r="DE54" i="6"/>
  <c r="DE48" i="6"/>
  <c r="DE15" i="6"/>
  <c r="DD64" i="6"/>
  <c r="DD37" i="6"/>
  <c r="DE83" i="6"/>
  <c r="DF70" i="6"/>
  <c r="DD52" i="6"/>
  <c r="DE8" i="6"/>
  <c r="DE75" i="6"/>
  <c r="DF97" i="6"/>
  <c r="DF19" i="6"/>
  <c r="DE10" i="6"/>
  <c r="DE20" i="6"/>
  <c r="DD84" i="6"/>
  <c r="DE92" i="6"/>
  <c r="DE98" i="6"/>
  <c r="DD22" i="6"/>
  <c r="DE38" i="6"/>
  <c r="DD78" i="6"/>
  <c r="DF73" i="6"/>
  <c r="DF54" i="6"/>
  <c r="DD77" i="6"/>
  <c r="DE12" i="6"/>
  <c r="DE56" i="6"/>
  <c r="DE17" i="6"/>
  <c r="DD15" i="6"/>
  <c r="DF26" i="6"/>
  <c r="DE88" i="6"/>
  <c r="DE95" i="6"/>
  <c r="DD20" i="6"/>
  <c r="DD61" i="6"/>
  <c r="DF25" i="6"/>
  <c r="DE73" i="6"/>
  <c r="DF87" i="6"/>
  <c r="DE94" i="6"/>
  <c r="DD34" i="6"/>
  <c r="DE22" i="6"/>
  <c r="DD75" i="6"/>
  <c r="DE84" i="6"/>
  <c r="DE11" i="6"/>
  <c r="DE47" i="6"/>
  <c r="DD5" i="6"/>
  <c r="DF79" i="6"/>
  <c r="DF65" i="6"/>
  <c r="DF9" i="6"/>
  <c r="DE60" i="6"/>
  <c r="DF62" i="6"/>
  <c r="DD88" i="6"/>
  <c r="DD42" i="6"/>
  <c r="DD51" i="6"/>
  <c r="DE82" i="6"/>
  <c r="DF38" i="6"/>
  <c r="DF93" i="6"/>
  <c r="DD76" i="6"/>
  <c r="DE72" i="6"/>
  <c r="DE19" i="6"/>
  <c r="DD27" i="6"/>
  <c r="DE55" i="6"/>
  <c r="DF36" i="6"/>
  <c r="DD82" i="6"/>
  <c r="DF28" i="6"/>
  <c r="DF92" i="6"/>
  <c r="DE52" i="6"/>
  <c r="DD38" i="6"/>
  <c r="DF6" i="6"/>
  <c r="DF37" i="6"/>
  <c r="DD45" i="6"/>
  <c r="DD70" i="6"/>
  <c r="DE79" i="6"/>
  <c r="DE5" i="6"/>
  <c r="DU6" i="6" s="1"/>
  <c r="DE93" i="6"/>
  <c r="DE23" i="6"/>
  <c r="DF43" i="6"/>
  <c r="DL43" i="6" s="1"/>
  <c r="DF98" i="6"/>
  <c r="DE26" i="6"/>
  <c r="DF48" i="6"/>
  <c r="DE35" i="6"/>
  <c r="DE33" i="6"/>
  <c r="DF24" i="6"/>
  <c r="DF59" i="6"/>
  <c r="DD65" i="6"/>
  <c r="DF51" i="6"/>
  <c r="DD96" i="6"/>
  <c r="DF5" i="6"/>
  <c r="DE64" i="6"/>
  <c r="DF10" i="6"/>
  <c r="DE41" i="6"/>
  <c r="DE103" i="6"/>
  <c r="DD67" i="6"/>
  <c r="DF31" i="6"/>
  <c r="DD69" i="6"/>
  <c r="DF95" i="6"/>
  <c r="DD94" i="6"/>
  <c r="DE89" i="6"/>
  <c r="DD90" i="6"/>
  <c r="DF89" i="6"/>
  <c r="DF35" i="6"/>
  <c r="DE40" i="6"/>
  <c r="DF57" i="6"/>
  <c r="DF41" i="6"/>
  <c r="DD33" i="6"/>
  <c r="DD12" i="6"/>
  <c r="DD44" i="6"/>
  <c r="DF53" i="6"/>
  <c r="DD50" i="6"/>
  <c r="DF63" i="6"/>
  <c r="DF90" i="6"/>
  <c r="DD79" i="6"/>
  <c r="DF72" i="6"/>
  <c r="DF46" i="6"/>
  <c r="DE53" i="6"/>
  <c r="DE99" i="6"/>
  <c r="DF80" i="6"/>
  <c r="DF27" i="6"/>
  <c r="DF17" i="6"/>
  <c r="DE59" i="6"/>
  <c r="DD99" i="6"/>
  <c r="DE45" i="6"/>
  <c r="DE63" i="6"/>
  <c r="DD31" i="6"/>
  <c r="DF102" i="6"/>
  <c r="DD97" i="6"/>
  <c r="DD72" i="6"/>
  <c r="DF83" i="6"/>
  <c r="DD30" i="6"/>
  <c r="DF99" i="6"/>
  <c r="DE30" i="6"/>
  <c r="DD7" i="6"/>
  <c r="DF75" i="6"/>
  <c r="DL75" i="6" s="1"/>
  <c r="GR10" i="6"/>
  <c r="BR34" i="6"/>
  <c r="J46" i="7" s="1"/>
  <c r="HV10" i="6"/>
  <c r="CV34" i="6"/>
  <c r="J52" i="7" s="1"/>
  <c r="AA34" i="6"/>
  <c r="G38" i="7" s="1"/>
  <c r="FA10" i="6"/>
  <c r="BC34" i="6"/>
  <c r="O42" i="7" s="1"/>
  <c r="GC10" i="6"/>
  <c r="G32" i="6"/>
  <c r="G35" i="6" s="1"/>
  <c r="E4" i="7" s="1"/>
  <c r="F34" i="7" s="1"/>
  <c r="DJ5" i="6" a="1"/>
  <c r="DL103" i="6" l="1"/>
  <c r="DM103" i="6" s="1"/>
  <c r="DL80" i="6"/>
  <c r="DL27" i="6"/>
  <c r="DL25" i="6"/>
  <c r="DL92" i="6"/>
  <c r="DM92" i="6" s="1"/>
  <c r="DL93" i="6"/>
  <c r="DL41" i="6"/>
  <c r="DL13" i="6"/>
  <c r="DM13" i="6" s="1"/>
  <c r="DL8" i="6"/>
  <c r="DM8" i="6" s="1"/>
  <c r="DL52" i="6"/>
  <c r="DL71" i="6"/>
  <c r="DL15" i="6"/>
  <c r="DM15" i="6" s="1"/>
  <c r="DL46" i="6"/>
  <c r="DM46" i="6" s="1"/>
  <c r="DL40" i="6"/>
  <c r="DM40" i="6" s="1"/>
  <c r="DL31" i="6"/>
  <c r="DL51" i="6"/>
  <c r="DM51" i="6" s="1"/>
  <c r="DL98" i="6"/>
  <c r="DL37" i="6"/>
  <c r="DM37" i="6" s="1"/>
  <c r="DL87" i="6"/>
  <c r="DL78" i="6"/>
  <c r="DM78" i="6" s="1"/>
  <c r="DL99" i="6"/>
  <c r="DM99" i="6" s="1"/>
  <c r="DL89" i="6"/>
  <c r="DM89" i="6" s="1"/>
  <c r="DL60" i="6"/>
  <c r="DL77" i="6"/>
  <c r="DM77" i="6" s="1"/>
  <c r="DL16" i="6"/>
  <c r="DM16" i="6" s="1"/>
  <c r="DL59" i="6"/>
  <c r="DL56" i="6"/>
  <c r="DM56" i="6" s="1"/>
  <c r="DL54" i="6"/>
  <c r="DL101" i="6"/>
  <c r="DL84" i="6"/>
  <c r="DL17" i="6"/>
  <c r="DL57" i="6"/>
  <c r="DM57" i="6" s="1"/>
  <c r="DL19" i="6"/>
  <c r="DM19" i="6" s="1"/>
  <c r="DL14" i="6"/>
  <c r="DM14" i="6" s="1"/>
  <c r="DL67" i="6"/>
  <c r="DL102" i="6"/>
  <c r="DL70" i="6"/>
  <c r="DL61" i="6"/>
  <c r="DM61" i="6" s="1"/>
  <c r="DL79" i="6"/>
  <c r="DL28" i="6"/>
  <c r="DL9" i="6"/>
  <c r="DL22" i="6"/>
  <c r="DL48" i="6"/>
  <c r="DL38" i="6"/>
  <c r="DM38" i="6" s="1"/>
  <c r="DL65" i="6"/>
  <c r="DL94" i="6"/>
  <c r="DL82" i="6"/>
  <c r="DL12" i="6"/>
  <c r="DL97" i="6"/>
  <c r="DL91" i="6"/>
  <c r="DM91" i="6" s="1"/>
  <c r="DL23" i="6"/>
  <c r="DM23" i="6" s="1"/>
  <c r="DL39" i="6"/>
  <c r="DL95" i="6"/>
  <c r="DM95" i="6" s="1"/>
  <c r="DL44" i="6"/>
  <c r="DM44" i="6" s="1"/>
  <c r="DL11" i="6"/>
  <c r="DL42" i="6"/>
  <c r="DL34" i="6"/>
  <c r="DL49" i="6"/>
  <c r="DM49" i="6" s="1"/>
  <c r="DL68" i="6"/>
  <c r="DL6" i="6"/>
  <c r="DL76" i="6"/>
  <c r="DL47" i="6"/>
  <c r="DL50" i="6"/>
  <c r="DL55" i="6"/>
  <c r="DM55" i="6" s="1"/>
  <c r="DL7" i="6"/>
  <c r="DM7" i="6" s="1"/>
  <c r="DL24" i="6"/>
  <c r="DL88" i="6"/>
  <c r="DM88" i="6" s="1"/>
  <c r="DL18" i="6"/>
  <c r="DL5" i="6"/>
  <c r="DM5" i="6" s="1"/>
  <c r="DL62" i="6"/>
  <c r="DM87" i="6"/>
  <c r="DL53" i="6"/>
  <c r="DL64" i="6"/>
  <c r="DL20" i="6"/>
  <c r="DL58" i="6"/>
  <c r="DL33" i="6"/>
  <c r="DL83" i="6"/>
  <c r="DM83" i="6" s="1"/>
  <c r="DL10" i="6"/>
  <c r="DL45" i="6"/>
  <c r="DL90" i="6"/>
  <c r="DL36" i="6"/>
  <c r="DL35" i="6"/>
  <c r="DL96" i="6"/>
  <c r="DM54" i="6"/>
  <c r="DM29" i="6"/>
  <c r="DL73" i="6"/>
  <c r="DL63" i="6"/>
  <c r="DL26" i="6"/>
  <c r="DL30" i="6"/>
  <c r="DL86" i="6"/>
  <c r="DL21" i="6"/>
  <c r="DL69" i="6"/>
  <c r="DL66" i="6"/>
  <c r="DL72" i="6"/>
  <c r="DL74" i="6"/>
  <c r="DM43" i="6"/>
  <c r="DM32" i="6"/>
  <c r="DM27" i="6"/>
  <c r="DM80" i="6"/>
  <c r="DM85" i="6"/>
  <c r="DJ42" i="6"/>
  <c r="DK42" i="6" s="1"/>
  <c r="DJ86" i="6"/>
  <c r="DK86" i="6" s="1"/>
  <c r="DJ53" i="6"/>
  <c r="DK53" i="6" s="1"/>
  <c r="DJ61" i="6"/>
  <c r="DK61" i="6" s="1"/>
  <c r="DJ10" i="6"/>
  <c r="DK10" i="6" s="1"/>
  <c r="DJ14" i="6"/>
  <c r="DJ27" i="6"/>
  <c r="DK27" i="6" s="1"/>
  <c r="DJ48" i="6"/>
  <c r="DK48" i="6" s="1"/>
  <c r="DJ102" i="6"/>
  <c r="DK102" i="6" s="1"/>
  <c r="DJ15" i="6"/>
  <c r="DK15" i="6" s="1"/>
  <c r="DJ88" i="6"/>
  <c r="DK88" i="6" s="1"/>
  <c r="DJ67" i="6"/>
  <c r="DK67" i="6" s="1"/>
  <c r="DJ84" i="6"/>
  <c r="DK84" i="6" s="1"/>
  <c r="DJ70" i="6"/>
  <c r="DK70" i="6" s="1"/>
  <c r="DJ75" i="6"/>
  <c r="DK75" i="6" s="1"/>
  <c r="DJ74" i="6"/>
  <c r="DK74" i="6" s="1"/>
  <c r="DJ11" i="6"/>
  <c r="DJ77" i="6"/>
  <c r="DK77" i="6" s="1"/>
  <c r="DJ30" i="6"/>
  <c r="DK30" i="6" s="1"/>
  <c r="DJ51" i="6"/>
  <c r="DK51" i="6" s="1"/>
  <c r="DJ50" i="6"/>
  <c r="DK50" i="6" s="1"/>
  <c r="DJ100" i="6"/>
  <c r="DK100" i="6" s="1"/>
  <c r="DJ26" i="6"/>
  <c r="DK26" i="6" s="1"/>
  <c r="DJ5" i="6"/>
  <c r="DJ28" i="6"/>
  <c r="DK28" i="6" s="1"/>
  <c r="DJ36" i="6"/>
  <c r="DK36" i="6" s="1"/>
  <c r="DJ7" i="6"/>
  <c r="DJ46" i="6"/>
  <c r="DK46" i="6" s="1"/>
  <c r="DJ9" i="6"/>
  <c r="DJ95" i="6"/>
  <c r="DK95" i="6" s="1"/>
  <c r="DJ73" i="6"/>
  <c r="DK73" i="6" s="1"/>
  <c r="DJ25" i="6"/>
  <c r="DK25" i="6" s="1"/>
  <c r="DJ65" i="6"/>
  <c r="DK65" i="6" s="1"/>
  <c r="DJ72" i="6"/>
  <c r="DK72" i="6" s="1"/>
  <c r="DJ57" i="6"/>
  <c r="DK57" i="6" s="1"/>
  <c r="DJ60" i="6"/>
  <c r="DK60" i="6" s="1"/>
  <c r="DJ6" i="6"/>
  <c r="DK6" i="6" s="1"/>
  <c r="DJ12" i="6"/>
  <c r="DK12" i="6" s="1"/>
  <c r="DJ85" i="6"/>
  <c r="DK85" i="6" s="1"/>
  <c r="DJ20" i="6"/>
  <c r="DK20" i="6" s="1"/>
  <c r="DJ19" i="6"/>
  <c r="DJ17" i="6"/>
  <c r="DK17" i="6" s="1"/>
  <c r="DJ58" i="6"/>
  <c r="DK58" i="6" s="1"/>
  <c r="DJ37" i="6"/>
  <c r="DK37" i="6" s="1"/>
  <c r="DJ97" i="6"/>
  <c r="DK97" i="6" s="1"/>
  <c r="DJ101" i="6"/>
  <c r="DK101" i="6" s="1"/>
  <c r="DJ64" i="6"/>
  <c r="DK64" i="6" s="1"/>
  <c r="DJ92" i="6"/>
  <c r="DK92" i="6" s="1"/>
  <c r="DJ18" i="6"/>
  <c r="DK18" i="6" s="1"/>
  <c r="DJ76" i="6"/>
  <c r="DK76" i="6" s="1"/>
  <c r="DJ99" i="6"/>
  <c r="DK99" i="6" s="1"/>
  <c r="DJ81" i="6"/>
  <c r="DK81" i="6" s="1"/>
  <c r="DJ32" i="6"/>
  <c r="DK32" i="6" s="1"/>
  <c r="DJ62" i="6"/>
  <c r="DK62" i="6" s="1"/>
  <c r="DJ8" i="6"/>
  <c r="DK8" i="6" s="1"/>
  <c r="DJ93" i="6"/>
  <c r="DK93" i="6" s="1"/>
  <c r="DJ24" i="6"/>
  <c r="DK24" i="6" s="1"/>
  <c r="DJ54" i="6"/>
  <c r="DK54" i="6" s="1"/>
  <c r="DJ52" i="6"/>
  <c r="DK52" i="6" s="1"/>
  <c r="DJ96" i="6"/>
  <c r="DK96" i="6" s="1"/>
  <c r="DJ23" i="6"/>
  <c r="DK23" i="6" s="1"/>
  <c r="DJ34" i="6"/>
  <c r="DK34" i="6" s="1"/>
  <c r="DJ40" i="6"/>
  <c r="DK40" i="6" s="1"/>
  <c r="DJ39" i="6"/>
  <c r="DK39" i="6" s="1"/>
  <c r="DJ16" i="6"/>
  <c r="DK16" i="6" s="1"/>
  <c r="DJ82" i="6"/>
  <c r="DK82" i="6" s="1"/>
  <c r="DJ43" i="6"/>
  <c r="DK43" i="6" s="1"/>
  <c r="DJ29" i="6"/>
  <c r="DK29" i="6" s="1"/>
  <c r="DJ80" i="6"/>
  <c r="DK80" i="6" s="1"/>
  <c r="DJ47" i="6"/>
  <c r="DK47" i="6" s="1"/>
  <c r="DJ68" i="6"/>
  <c r="DK68" i="6" s="1"/>
  <c r="DJ90" i="6"/>
  <c r="DK90" i="6" s="1"/>
  <c r="DJ13" i="6"/>
  <c r="DJ35" i="6"/>
  <c r="DK35" i="6" s="1"/>
  <c r="DJ103" i="6"/>
  <c r="DK103" i="6" s="1"/>
  <c r="DJ66" i="6"/>
  <c r="DK66" i="6" s="1"/>
  <c r="DJ38" i="6"/>
  <c r="DK38" i="6" s="1"/>
  <c r="DJ71" i="6"/>
  <c r="DK71" i="6" s="1"/>
  <c r="DJ59" i="6"/>
  <c r="DK59" i="6" s="1"/>
  <c r="DJ44" i="6"/>
  <c r="DK44" i="6" s="1"/>
  <c r="DJ87" i="6"/>
  <c r="DK87" i="6" s="1"/>
  <c r="DJ94" i="6"/>
  <c r="DK94" i="6" s="1"/>
  <c r="DJ41" i="6"/>
  <c r="DK41" i="6" s="1"/>
  <c r="DJ21" i="6"/>
  <c r="DK21" i="6" s="1"/>
  <c r="DJ91" i="6"/>
  <c r="DK91" i="6" s="1"/>
  <c r="DJ69" i="6"/>
  <c r="DK69" i="6" s="1"/>
  <c r="DJ22" i="6"/>
  <c r="DK22" i="6" s="1"/>
  <c r="DJ33" i="6"/>
  <c r="DK33" i="6" s="1"/>
  <c r="DJ78" i="6"/>
  <c r="DK78" i="6" s="1"/>
  <c r="DJ31" i="6"/>
  <c r="DK31" i="6" s="1"/>
  <c r="DJ56" i="6"/>
  <c r="DK56" i="6" s="1"/>
  <c r="DJ63" i="6"/>
  <c r="DK63" i="6" s="1"/>
  <c r="DJ83" i="6"/>
  <c r="DK83" i="6" s="1"/>
  <c r="DJ49" i="6"/>
  <c r="DK49" i="6" s="1"/>
  <c r="DJ89" i="6"/>
  <c r="DK89" i="6" s="1"/>
  <c r="DJ55" i="6"/>
  <c r="DK55" i="6" s="1"/>
  <c r="DJ79" i="6"/>
  <c r="DK79" i="6" s="1"/>
  <c r="DJ98" i="6"/>
  <c r="DK98" i="6" s="1"/>
  <c r="DJ45" i="6"/>
  <c r="DK45" i="6" s="1"/>
  <c r="DM100" i="6"/>
  <c r="DM71" i="6"/>
  <c r="DM84" i="6"/>
  <c r="DM75" i="6"/>
  <c r="DM93" i="6"/>
  <c r="DM52" i="6"/>
  <c r="DM25" i="6"/>
  <c r="DM81" i="6"/>
  <c r="DM70" i="6"/>
  <c r="DM41" i="6" l="1"/>
  <c r="DM18" i="6"/>
  <c r="DM101" i="6"/>
  <c r="DM60" i="6"/>
  <c r="DM79" i="6"/>
  <c r="DM17" i="6"/>
  <c r="DM82" i="6"/>
  <c r="DM47" i="6"/>
  <c r="DM31" i="6"/>
  <c r="DM24" i="6"/>
  <c r="DM67" i="6"/>
  <c r="DM48" i="6"/>
  <c r="DM59" i="6"/>
  <c r="DM68" i="6"/>
  <c r="DM102" i="6"/>
  <c r="DM9" i="6"/>
  <c r="DM98" i="6"/>
  <c r="DM97" i="6"/>
  <c r="DM11" i="6"/>
  <c r="DM65" i="6"/>
  <c r="DM94" i="6"/>
  <c r="DM34" i="6"/>
  <c r="DM28" i="6"/>
  <c r="DM39" i="6"/>
  <c r="DM42" i="6"/>
  <c r="DM22" i="6"/>
  <c r="DM12" i="6"/>
  <c r="DM76" i="6"/>
  <c r="DM50" i="6"/>
  <c r="DM6" i="6"/>
  <c r="DM20" i="6"/>
  <c r="DM96" i="6"/>
  <c r="DM62" i="6"/>
  <c r="DM10" i="6"/>
  <c r="DM90" i="6"/>
  <c r="DM35" i="6"/>
  <c r="DM64" i="6"/>
  <c r="DM53" i="6"/>
  <c r="DM45" i="6"/>
  <c r="DM33" i="6"/>
  <c r="DM36" i="6"/>
  <c r="DM58" i="6"/>
  <c r="DM72" i="6"/>
  <c r="DM30" i="6"/>
  <c r="DM26" i="6"/>
  <c r="DM66" i="6"/>
  <c r="DM63" i="6"/>
  <c r="DM73" i="6"/>
  <c r="DM69" i="6"/>
  <c r="DM21" i="6"/>
  <c r="DM74" i="6"/>
  <c r="DM86" i="6"/>
  <c r="DK7" i="6"/>
  <c r="EA33" i="6"/>
  <c r="EA34" i="6" s="1"/>
  <c r="DK13" i="6"/>
  <c r="DV33" i="6"/>
  <c r="DV34" i="6" s="1"/>
  <c r="DK19" i="6"/>
  <c r="DZ33" i="6"/>
  <c r="DZ34" i="6" s="1"/>
  <c r="DK11" i="6"/>
  <c r="DW33" i="6"/>
  <c r="DW34" i="6" s="1"/>
  <c r="DK5" i="6"/>
  <c r="DY33" i="6"/>
  <c r="DY34" i="6" s="1"/>
  <c r="DK14" i="6"/>
  <c r="DU33" i="6"/>
  <c r="DU34" i="6" s="1"/>
  <c r="DK9" i="6"/>
  <c r="DX33" i="6"/>
  <c r="DX34" i="6" s="1"/>
  <c r="EU18" i="6" l="1"/>
  <c r="IB18" i="6"/>
  <c r="FW19" i="6"/>
  <c r="GG19" i="6"/>
  <c r="GB18" i="6"/>
  <c r="EA11" i="6"/>
  <c r="EA19" i="6" s="1"/>
  <c r="DX11" i="6"/>
  <c r="EW19" i="6"/>
  <c r="HN19" i="6"/>
  <c r="EZ19" i="6"/>
  <c r="HV18" i="6"/>
  <c r="HX19" i="6"/>
  <c r="FO19" i="6"/>
  <c r="FY18" i="6"/>
  <c r="HA18" i="6"/>
  <c r="EJ19" i="6"/>
  <c r="FR18" i="6"/>
  <c r="GU18" i="6"/>
  <c r="EM18" i="6"/>
  <c r="EP18" i="6"/>
  <c r="GH18" i="6"/>
  <c r="FE19" i="6"/>
  <c r="FM19" i="6"/>
  <c r="ES19" i="6"/>
  <c r="GL18" i="6"/>
  <c r="FI19" i="6"/>
  <c r="GA18" i="6"/>
  <c r="GP18" i="6"/>
  <c r="FP19" i="6"/>
  <c r="FB19" i="6"/>
  <c r="HT19" i="6"/>
  <c r="FX18" i="6"/>
  <c r="HF19" i="6"/>
  <c r="FK19" i="6"/>
  <c r="HZ18" i="6"/>
  <c r="HD19" i="6"/>
  <c r="GW19" i="6"/>
  <c r="FH18" i="6"/>
  <c r="HE19" i="6"/>
  <c r="HC18" i="6"/>
  <c r="FL18" i="6"/>
  <c r="HL18" i="6"/>
  <c r="HG18" i="6"/>
  <c r="GK18" i="6"/>
  <c r="FV18" i="6"/>
  <c r="HR18" i="6"/>
  <c r="FN19" i="6"/>
  <c r="GJ19" i="6"/>
  <c r="IA18" i="6"/>
  <c r="GD18" i="6"/>
  <c r="GX18" i="6"/>
  <c r="EK19" i="6"/>
  <c r="EY18" i="6"/>
  <c r="HK18" i="6"/>
  <c r="GT19" i="6"/>
  <c r="EQ18" i="6"/>
  <c r="HW18" i="6"/>
  <c r="ET19" i="6"/>
  <c r="GI19" i="6"/>
  <c r="GO19" i="6"/>
  <c r="GC18" i="6"/>
  <c r="EC6" i="6"/>
  <c r="EA10" i="6"/>
  <c r="EA22" i="6" s="1"/>
  <c r="DX9" i="6"/>
  <c r="DW7" i="6"/>
  <c r="EB6" i="6"/>
  <c r="EB11" i="6"/>
  <c r="EB19" i="6" s="1"/>
  <c r="EC9" i="6"/>
  <c r="EB9" i="6"/>
  <c r="DX8" i="6"/>
  <c r="EB8" i="6"/>
  <c r="DX7" i="6"/>
  <c r="DW10" i="6"/>
  <c r="DW22" i="6" s="1"/>
  <c r="DY11" i="6"/>
  <c r="DY18" i="6" s="1"/>
  <c r="DV7" i="6"/>
  <c r="ED7" i="6" s="1"/>
  <c r="DU9" i="6"/>
  <c r="DZ10" i="6"/>
  <c r="DZ22" i="6" s="1"/>
  <c r="DU7" i="6"/>
  <c r="DZ7" i="6"/>
  <c r="EC7" i="6"/>
  <c r="DW6" i="6"/>
  <c r="DW8" i="6"/>
  <c r="DZ9" i="6"/>
  <c r="EC11" i="6"/>
  <c r="EA7" i="6"/>
  <c r="DZ8" i="6"/>
  <c r="EA8" i="6"/>
  <c r="EA14" i="6" s="1"/>
  <c r="DU11" i="6"/>
  <c r="EA6" i="6"/>
  <c r="EA12" i="6" s="1"/>
  <c r="DV6" i="6"/>
  <c r="EB7" i="6"/>
  <c r="EC10" i="6"/>
  <c r="EC22" i="6" s="1"/>
  <c r="DW11" i="6"/>
  <c r="DW19" i="6" s="1"/>
  <c r="DZ11" i="6"/>
  <c r="DZ19" i="6" s="1"/>
  <c r="DV10" i="6"/>
  <c r="ED10" i="6" s="1"/>
  <c r="DX6" i="6"/>
  <c r="DU10" i="6"/>
  <c r="DU22" i="6" s="1"/>
  <c r="DY6" i="6"/>
  <c r="DV9" i="6"/>
  <c r="DY10" i="6"/>
  <c r="DY22" i="6" s="1"/>
  <c r="DV8" i="6"/>
  <c r="ED8" i="6" s="1"/>
  <c r="DY8" i="6"/>
  <c r="EA9" i="6"/>
  <c r="DY7" i="6"/>
  <c r="EC8" i="6"/>
  <c r="DU8" i="6"/>
  <c r="DU16" i="6" s="1"/>
  <c r="DU44" i="6" s="1"/>
  <c r="DY9" i="6"/>
  <c r="DV11" i="6"/>
  <c r="ED11" i="6" s="1"/>
  <c r="DZ6" i="6"/>
  <c r="DX10" i="6"/>
  <c r="DX22" i="6" s="1"/>
  <c r="DW9" i="6"/>
  <c r="DW15" i="6" s="1"/>
  <c r="EB10" i="6"/>
  <c r="EB22" i="6" s="1"/>
  <c r="EN18" i="6"/>
  <c r="EN19" i="6"/>
  <c r="GT18" i="6"/>
  <c r="EQ19" i="6"/>
  <c r="HW19" i="6"/>
  <c r="ET18" i="6"/>
  <c r="GF18" i="6"/>
  <c r="GF19" i="6"/>
  <c r="FF18" i="6"/>
  <c r="FF19" i="6"/>
  <c r="HS18" i="6"/>
  <c r="HS19" i="6"/>
  <c r="GE18" i="6"/>
  <c r="GE19" i="6"/>
  <c r="FW18" i="6"/>
  <c r="HU19" i="6"/>
  <c r="HU18" i="6"/>
  <c r="EV19" i="6"/>
  <c r="EV18" i="6"/>
  <c r="ER19" i="6"/>
  <c r="ER18" i="6"/>
  <c r="EO19" i="6"/>
  <c r="EO18" i="6"/>
  <c r="GY19" i="6"/>
  <c r="GY18" i="6"/>
  <c r="GZ18" i="6"/>
  <c r="GZ19" i="6"/>
  <c r="FD18" i="6"/>
  <c r="FD19" i="6"/>
  <c r="GQ19" i="6"/>
  <c r="GQ18" i="6"/>
  <c r="GN18" i="6"/>
  <c r="GN19" i="6"/>
  <c r="FZ19" i="6"/>
  <c r="FZ18" i="6"/>
  <c r="HM18" i="6"/>
  <c r="HM19" i="6"/>
  <c r="HJ19" i="6"/>
  <c r="HJ18" i="6"/>
  <c r="HP18" i="6"/>
  <c r="HP19" i="6"/>
  <c r="EH19" i="6"/>
  <c r="FO18" i="6"/>
  <c r="GV18" i="6"/>
  <c r="GV19" i="6"/>
  <c r="EL19" i="6"/>
  <c r="EL18" i="6"/>
  <c r="HH18" i="6"/>
  <c r="HH19" i="6"/>
  <c r="EC18" i="6"/>
  <c r="EC19" i="6"/>
  <c r="FA19" i="6"/>
  <c r="FA18" i="6"/>
  <c r="FK18" i="6"/>
  <c r="HZ19" i="6"/>
  <c r="HO18" i="6"/>
  <c r="HO19" i="6"/>
  <c r="FR19" i="6"/>
  <c r="HQ19" i="6"/>
  <c r="HQ18" i="6"/>
  <c r="GM18" i="6"/>
  <c r="GM19" i="6"/>
  <c r="HY18" i="6"/>
  <c r="HY19" i="6"/>
  <c r="FE18" i="6"/>
  <c r="FM18" i="6"/>
  <c r="GS19" i="6"/>
  <c r="GS18" i="6"/>
  <c r="FT18" i="6"/>
  <c r="FT19" i="6"/>
  <c r="FI18" i="6"/>
  <c r="FG18" i="6"/>
  <c r="FG19" i="6"/>
  <c r="GP19" i="6"/>
  <c r="DX18" i="6"/>
  <c r="DX19" i="6"/>
  <c r="EI18" i="6"/>
  <c r="EI19" i="6"/>
  <c r="HB18" i="6"/>
  <c r="HB19" i="6"/>
  <c r="HI18" i="6"/>
  <c r="HI19" i="6"/>
  <c r="FU18" i="6"/>
  <c r="FU19" i="6"/>
  <c r="EX18" i="6"/>
  <c r="EX19" i="6"/>
  <c r="FJ19" i="6"/>
  <c r="FJ18" i="6"/>
  <c r="GK19" i="6"/>
  <c r="FV19" i="6"/>
  <c r="GR19" i="6"/>
  <c r="GR18" i="6"/>
  <c r="FC18" i="6"/>
  <c r="FC19" i="6"/>
  <c r="FQ19" i="6"/>
  <c r="FQ18" i="6"/>
  <c r="IA19" i="6"/>
  <c r="GD19" i="6"/>
  <c r="GX19" i="6"/>
  <c r="FS18" i="6"/>
  <c r="FS19" i="6"/>
  <c r="DU19" i="6" l="1"/>
  <c r="DU18" i="6"/>
  <c r="DU20" i="6" s="1"/>
  <c r="EK18" i="6"/>
  <c r="FP18" i="6"/>
  <c r="HR19" i="6"/>
  <c r="FY19" i="6"/>
  <c r="EM19" i="6"/>
  <c r="FL19" i="6"/>
  <c r="FB18" i="6"/>
  <c r="ES18" i="6"/>
  <c r="EU19" i="6"/>
  <c r="HD18" i="6"/>
  <c r="GG18" i="6"/>
  <c r="HN18" i="6"/>
  <c r="EB16" i="6"/>
  <c r="EB44" i="6" s="1"/>
  <c r="EB14" i="6"/>
  <c r="EC17" i="6"/>
  <c r="DY19" i="6"/>
  <c r="DZ12" i="6"/>
  <c r="EB13" i="6"/>
  <c r="DX13" i="6"/>
  <c r="DX17" i="6"/>
  <c r="DV22" i="6"/>
  <c r="ED22" i="6" s="1"/>
  <c r="DX15" i="6"/>
  <c r="DU12" i="6"/>
  <c r="EC13" i="6"/>
  <c r="DW16" i="6"/>
  <c r="DW44" i="6" s="1"/>
  <c r="GB19" i="6"/>
  <c r="EZ18" i="6"/>
  <c r="IB19" i="6"/>
  <c r="EP19" i="6"/>
  <c r="HL19" i="6"/>
  <c r="GW18" i="6"/>
  <c r="GI18" i="6"/>
  <c r="DW12" i="6"/>
  <c r="DY13" i="6"/>
  <c r="DZ18" i="6"/>
  <c r="DX12" i="6"/>
  <c r="EA18" i="6"/>
  <c r="GJ18" i="6"/>
  <c r="GH19" i="6"/>
  <c r="EJ18" i="6"/>
  <c r="EB18" i="6"/>
  <c r="HV19" i="6"/>
  <c r="HF18" i="6"/>
  <c r="HX18" i="6"/>
  <c r="HE18" i="6"/>
  <c r="GA19" i="6"/>
  <c r="GC19" i="6"/>
  <c r="EW18" i="6"/>
  <c r="DY16" i="6"/>
  <c r="DV14" i="6"/>
  <c r="ED14" i="6" s="1"/>
  <c r="DW13" i="6"/>
  <c r="DU14" i="6"/>
  <c r="DZ15" i="6"/>
  <c r="FX19" i="6"/>
  <c r="DV13" i="6"/>
  <c r="ED13" i="6" s="1"/>
  <c r="FH19" i="6"/>
  <c r="GL19" i="6"/>
  <c r="HK19" i="6"/>
  <c r="DU13" i="6"/>
  <c r="DX14" i="6"/>
  <c r="EC16" i="6"/>
  <c r="FN18" i="6"/>
  <c r="DV16" i="6"/>
  <c r="HA19" i="6"/>
  <c r="HT18" i="6"/>
  <c r="ED6" i="6"/>
  <c r="EC12" i="6" s="1"/>
  <c r="GO18" i="6"/>
  <c r="EY19" i="6"/>
  <c r="HG19" i="6"/>
  <c r="EC14" i="6"/>
  <c r="DV17" i="6"/>
  <c r="EA16" i="6"/>
  <c r="EA44" i="6" s="1"/>
  <c r="EB15" i="6"/>
  <c r="DX16" i="6"/>
  <c r="EB12" i="6"/>
  <c r="GU19" i="6"/>
  <c r="DW14" i="6"/>
  <c r="HC19" i="6"/>
  <c r="EA17" i="6"/>
  <c r="ED9" i="6"/>
  <c r="EC15" i="6" s="1"/>
  <c r="EA15" i="6"/>
  <c r="EB17" i="6"/>
  <c r="DZ13" i="6"/>
  <c r="DU15" i="6"/>
  <c r="DZ14" i="6"/>
  <c r="DW18" i="6"/>
  <c r="EA13" i="6"/>
  <c r="DY15" i="6"/>
  <c r="DY17" i="6"/>
  <c r="DY45" i="6" s="1"/>
  <c r="DV12" i="6"/>
  <c r="ED12" i="6" s="1"/>
  <c r="DY14" i="6"/>
  <c r="DU17" i="6"/>
  <c r="DU45" i="6" s="1"/>
  <c r="DZ17" i="6"/>
  <c r="DZ16" i="6"/>
  <c r="DZ44" i="6" s="1"/>
  <c r="DV15" i="6"/>
  <c r="ED15" i="6" s="1"/>
  <c r="DY12" i="6"/>
  <c r="DV18" i="6"/>
  <c r="ED18" i="6" s="1"/>
  <c r="DW17" i="6"/>
  <c r="DV19" i="6"/>
  <c r="ED19" i="6" s="1"/>
  <c r="DZ21" i="6" l="1"/>
  <c r="DZ45" i="6"/>
  <c r="DW21" i="6"/>
  <c r="DW45" i="6"/>
  <c r="EB21" i="6"/>
  <c r="EB45" i="6"/>
  <c r="DX20" i="6"/>
  <c r="DX44" i="6"/>
  <c r="EC20" i="6"/>
  <c r="EC44" i="6"/>
  <c r="DY20" i="6"/>
  <c r="DY44" i="6"/>
  <c r="DX21" i="6"/>
  <c r="DX45" i="6"/>
  <c r="EA21" i="6"/>
  <c r="EA45" i="6"/>
  <c r="ED17" i="6"/>
  <c r="DV45" i="6"/>
  <c r="ED16" i="6"/>
  <c r="DV44" i="6"/>
  <c r="EC21" i="6"/>
  <c r="EC45" i="6"/>
  <c r="DU21" i="6"/>
  <c r="DY21" i="6"/>
  <c r="EB20" i="6"/>
  <c r="DZ20" i="6"/>
  <c r="DW20" i="6"/>
  <c r="EA20" i="6"/>
  <c r="DU24" i="6"/>
  <c r="DV21" i="6"/>
  <c r="ED21" i="6" s="1"/>
  <c r="DU25" i="6"/>
  <c r="DV20" i="6"/>
  <c r="ED20" i="6" s="1"/>
  <c r="DU26" i="6" l="1"/>
  <c r="E5" i="7" s="1"/>
</calcChain>
</file>

<file path=xl/sharedStrings.xml><?xml version="1.0" encoding="utf-8"?>
<sst xmlns="http://schemas.openxmlformats.org/spreadsheetml/2006/main" count="923" uniqueCount="438">
  <si>
    <t>cmf2</t>
  </si>
  <si>
    <t>nm</t>
  </si>
  <si>
    <t>cmf10</t>
  </si>
  <si>
    <t>sample type:</t>
  </si>
  <si>
    <t>1 - Nature</t>
  </si>
  <si>
    <t>2 - Skin</t>
  </si>
  <si>
    <t>3 - Textiles</t>
  </si>
  <si>
    <t>4 - Paints</t>
  </si>
  <si>
    <t>5 - Plastic</t>
  </si>
  <si>
    <t>6 - Printed</t>
  </si>
  <si>
    <t>7 - Color System</t>
  </si>
  <si>
    <t>sample nr</t>
  </si>
  <si>
    <t xml:space="preserve"> </t>
  </si>
  <si>
    <t>u</t>
  </si>
  <si>
    <t>v</t>
  </si>
  <si>
    <t>Color Temp</t>
  </si>
  <si>
    <t>a</t>
  </si>
  <si>
    <t>b</t>
  </si>
  <si>
    <t>c</t>
  </si>
  <si>
    <t>A</t>
  </si>
  <si>
    <t>B</t>
  </si>
  <si>
    <t>C</t>
  </si>
  <si>
    <t>duv</t>
  </si>
  <si>
    <t>[INPUT]</t>
  </si>
  <si>
    <t>CIE Publ. 15.2 Table 1.2</t>
  </si>
  <si>
    <t>Selected</t>
  </si>
  <si>
    <t>Test source</t>
  </si>
  <si>
    <t>2 degree</t>
  </si>
  <si>
    <t>Normalized for Y=100</t>
  </si>
  <si>
    <t>Reference</t>
  </si>
  <si>
    <t>T=</t>
  </si>
  <si>
    <t>Result</t>
  </si>
  <si>
    <t>Daylight Illuminant</t>
  </si>
  <si>
    <t>Wavelength (nm)</t>
  </si>
  <si>
    <t>Y-normallized</t>
  </si>
  <si>
    <t>x-bar</t>
  </si>
  <si>
    <t>y-bar</t>
  </si>
  <si>
    <t>z-bar</t>
  </si>
  <si>
    <t>Planck's Law</t>
  </si>
  <si>
    <t>Plancks</t>
  </si>
  <si>
    <t>Source</t>
  </si>
  <si>
    <t>Wavelength</t>
  </si>
  <si>
    <t>S0</t>
  </si>
  <si>
    <t>S1</t>
  </si>
  <si>
    <t>S2</t>
  </si>
  <si>
    <t>Illuminant</t>
  </si>
  <si>
    <t>&lt;-----------</t>
  </si>
  <si>
    <t xml:space="preserve"> --&gt;</t>
  </si>
  <si>
    <t>4000-7000K</t>
  </si>
  <si>
    <t xml:space="preserve">  maximum</t>
  </si>
  <si>
    <t>XD=</t>
  </si>
  <si>
    <t>7000-25000K</t>
  </si>
  <si>
    <t>X</t>
  </si>
  <si>
    <t>Y</t>
  </si>
  <si>
    <t>Automatic selection</t>
  </si>
  <si>
    <t>Z</t>
  </si>
  <si>
    <t>x</t>
  </si>
  <si>
    <t>YD=</t>
  </si>
  <si>
    <t>y</t>
  </si>
  <si>
    <t>M1=</t>
  </si>
  <si>
    <t>M2=</t>
  </si>
  <si>
    <t>T</t>
  </si>
  <si>
    <t>∆uv</t>
  </si>
  <si>
    <t>LER</t>
  </si>
  <si>
    <t>DC</t>
  </si>
  <si>
    <t>(calculation of CCT and reference happens on other sheets)</t>
  </si>
  <si>
    <t>Angle bin averages</t>
  </si>
  <si>
    <t>(repat first point to close the gamut path)</t>
  </si>
  <si>
    <t>normallized</t>
  </si>
  <si>
    <t>J_r</t>
  </si>
  <si>
    <t>a_r</t>
  </si>
  <si>
    <t>b_r</t>
  </si>
  <si>
    <t>J</t>
  </si>
  <si>
    <t>dE</t>
  </si>
  <si>
    <t>dE^2</t>
  </si>
  <si>
    <t>theta</t>
  </si>
  <si>
    <t>theta(°)</t>
  </si>
  <si>
    <t>bin</t>
  </si>
  <si>
    <t>sample_type</t>
  </si>
  <si>
    <t>ar</t>
  </si>
  <si>
    <t>br</t>
  </si>
  <si>
    <t>Test</t>
  </si>
  <si>
    <t>diff(ar)</t>
  </si>
  <si>
    <t>mean(br)</t>
  </si>
  <si>
    <t>diff(a)</t>
  </si>
  <si>
    <t>mean(b)</t>
  </si>
  <si>
    <t>da_relative</t>
  </si>
  <si>
    <t>∆x</t>
  </si>
  <si>
    <t>db_relative</t>
  </si>
  <si>
    <t>∆y</t>
  </si>
  <si>
    <t>path_x ref</t>
  </si>
  <si>
    <t>path_y ref</t>
  </si>
  <si>
    <t>path_x test</t>
  </si>
  <si>
    <t>J'</t>
  </si>
  <si>
    <t>path_y test</t>
  </si>
  <si>
    <t>aM</t>
  </si>
  <si>
    <t>Rf_i</t>
  </si>
  <si>
    <t>bM</t>
  </si>
  <si>
    <t>A0</t>
  </si>
  <si>
    <t>A1</t>
  </si>
  <si>
    <t>Rg</t>
  </si>
  <si>
    <t>Sample type averages</t>
  </si>
  <si>
    <t>Color syst</t>
  </si>
  <si>
    <t>Printed</t>
  </si>
  <si>
    <t>Plastics</t>
  </si>
  <si>
    <t>Paints</t>
  </si>
  <si>
    <t>Textiles</t>
  </si>
  <si>
    <t>Skin</t>
  </si>
  <si>
    <t>Nature</t>
  </si>
  <si>
    <t>dEavg</t>
  </si>
  <si>
    <t>cfactor</t>
  </si>
  <si>
    <t>Rf by type</t>
  </si>
  <si>
    <t>Rf</t>
  </si>
  <si>
    <t>Sample_type</t>
  </si>
  <si>
    <t>CIECAM02</t>
  </si>
  <si>
    <t>MCAT02</t>
  </si>
  <si>
    <t>invCAT02</t>
  </si>
  <si>
    <t>MHPE</t>
  </si>
  <si>
    <t>invMPHE</t>
  </si>
  <si>
    <t>LA (cd/m2)</t>
  </si>
  <si>
    <t>Yb</t>
  </si>
  <si>
    <t>Did</t>
  </si>
  <si>
    <t>F</t>
  </si>
  <si>
    <t>Nc</t>
  </si>
  <si>
    <t>D</t>
  </si>
  <si>
    <t>Xw</t>
  </si>
  <si>
    <t>Yw</t>
  </si>
  <si>
    <t>Zw</t>
  </si>
  <si>
    <t>k</t>
  </si>
  <si>
    <t>FL</t>
  </si>
  <si>
    <t>n</t>
  </si>
  <si>
    <t>Nbb</t>
  </si>
  <si>
    <t>Ncb</t>
  </si>
  <si>
    <t>z</t>
  </si>
  <si>
    <t>R</t>
  </si>
  <si>
    <t>G</t>
  </si>
  <si>
    <t>Rw</t>
  </si>
  <si>
    <t>Gw</t>
  </si>
  <si>
    <t>Bw</t>
  </si>
  <si>
    <t>Rc</t>
  </si>
  <si>
    <t>Gc</t>
  </si>
  <si>
    <t>Bc</t>
  </si>
  <si>
    <t>Rcw</t>
  </si>
  <si>
    <t>Gcw</t>
  </si>
  <si>
    <t>Bcw</t>
  </si>
  <si>
    <t>Xc</t>
  </si>
  <si>
    <t>Yc</t>
  </si>
  <si>
    <t>Zc</t>
  </si>
  <si>
    <t>Xcw</t>
  </si>
  <si>
    <t>Ycw</t>
  </si>
  <si>
    <t>Zcw</t>
  </si>
  <si>
    <t>R'</t>
  </si>
  <si>
    <t>G'</t>
  </si>
  <si>
    <t>B'</t>
  </si>
  <si>
    <t>R'w</t>
  </si>
  <si>
    <t>G'w</t>
  </si>
  <si>
    <t>B'w</t>
  </si>
  <si>
    <t>R'a</t>
  </si>
  <si>
    <t>G'a</t>
  </si>
  <si>
    <t>B'a</t>
  </si>
  <si>
    <t>R'aw</t>
  </si>
  <si>
    <t>G'aw</t>
  </si>
  <si>
    <t>B'aw</t>
  </si>
  <si>
    <t>h</t>
  </si>
  <si>
    <t>H</t>
  </si>
  <si>
    <t>Hc (Red)</t>
  </si>
  <si>
    <t>Hc (Yellow)</t>
  </si>
  <si>
    <t>Hc (Green)</t>
  </si>
  <si>
    <t>Hc (Blue)</t>
  </si>
  <si>
    <t>e</t>
  </si>
  <si>
    <t>Aw</t>
  </si>
  <si>
    <t>Q</t>
  </si>
  <si>
    <t>t</t>
  </si>
  <si>
    <t>s</t>
  </si>
  <si>
    <t>M</t>
  </si>
  <si>
    <t>ac</t>
  </si>
  <si>
    <t>bc</t>
  </si>
  <si>
    <t>as</t>
  </si>
  <si>
    <t>bs</t>
  </si>
  <si>
    <t>CAM02UCS</t>
  </si>
  <si>
    <t>Jc=(1+100*0.007)*J./(1+0.007*J);</t>
  </si>
  <si>
    <t>Mc=(1/0.0228)*log(1+0.0228*M);</t>
  </si>
  <si>
    <t>aMc=Mc.*cos(h*pi/180);</t>
  </si>
  <si>
    <t>bMc=Mc.*sin(h*pi/180);</t>
  </si>
  <si>
    <t>Jc</t>
  </si>
  <si>
    <t>Mc</t>
  </si>
  <si>
    <t>Tbounds for smooth mix</t>
  </si>
  <si>
    <t>Tb(K)</t>
  </si>
  <si>
    <t>Te(K)</t>
  </si>
  <si>
    <t>aB</t>
  </si>
  <si>
    <t>aD</t>
  </si>
  <si>
    <t>wavelength</t>
  </si>
  <si>
    <t>reference</t>
  </si>
  <si>
    <t>CCT (K)</t>
  </si>
  <si>
    <t>Duv</t>
  </si>
  <si>
    <t>LER (lm/W)</t>
  </si>
  <si>
    <t>SPD Conversion (1nm to 5nm)</t>
  </si>
  <si>
    <t>1nm</t>
  </si>
  <si>
    <t>5nm</t>
  </si>
  <si>
    <t>Normalized</t>
  </si>
  <si>
    <t xml:space="preserve">CCT and Duv calculation </t>
  </si>
  <si>
    <t>See Ohno Y. Practical use and calculation of CCT and Duv. Leukos. 2014 Jan 2;10(1):47-55.</t>
  </si>
  <si>
    <t>u'</t>
  </si>
  <si>
    <t>v'</t>
  </si>
  <si>
    <t>Distance</t>
  </si>
  <si>
    <t>min</t>
  </si>
  <si>
    <t>match</t>
  </si>
  <si>
    <t>distance</t>
  </si>
  <si>
    <t>T(m-1)</t>
  </si>
  <si>
    <t>T(m)</t>
  </si>
  <si>
    <t>T(m+1)</t>
  </si>
  <si>
    <t>d=</t>
  </si>
  <si>
    <t>Triangular</t>
  </si>
  <si>
    <t>x=</t>
  </si>
  <si>
    <t>u(BB)</t>
  </si>
  <si>
    <t>solution</t>
  </si>
  <si>
    <t>Tx=</t>
  </si>
  <si>
    <t>v(BB)</t>
  </si>
  <si>
    <t>CCT (corrected)</t>
  </si>
  <si>
    <t>Duv sign</t>
  </si>
  <si>
    <t>Parabolic</t>
  </si>
  <si>
    <t>Threshold</t>
  </si>
  <si>
    <t xml:space="preserve">   </t>
  </si>
  <si>
    <t>Final CCT</t>
  </si>
  <si>
    <t>Final Duv</t>
  </si>
  <si>
    <t>Rf1</t>
  </si>
  <si>
    <t>Rf2</t>
  </si>
  <si>
    <t>Rf3</t>
  </si>
  <si>
    <t>Rf4</t>
  </si>
  <si>
    <t>Rf5</t>
  </si>
  <si>
    <t>Rf6</t>
  </si>
  <si>
    <t>Rf7</t>
  </si>
  <si>
    <t>Rf8</t>
  </si>
  <si>
    <t>Rf9</t>
  </si>
  <si>
    <t>Rf10</t>
  </si>
  <si>
    <t>Rf11</t>
  </si>
  <si>
    <t>Rf12</t>
  </si>
  <si>
    <t>Rf13</t>
  </si>
  <si>
    <t>Rf14</t>
  </si>
  <si>
    <t>Rf15</t>
  </si>
  <si>
    <t>Rf16</t>
  </si>
  <si>
    <t>Rf17</t>
  </si>
  <si>
    <t>Rf18</t>
  </si>
  <si>
    <t>Rf19</t>
  </si>
  <si>
    <t>Rf20</t>
  </si>
  <si>
    <t>Rf21</t>
  </si>
  <si>
    <t>Rf22</t>
  </si>
  <si>
    <t>Rf23</t>
  </si>
  <si>
    <t>Rf24</t>
  </si>
  <si>
    <t>Rf25</t>
  </si>
  <si>
    <t>Rf26</t>
  </si>
  <si>
    <t>Rf27</t>
  </si>
  <si>
    <t>Rf28</t>
  </si>
  <si>
    <t>Rf29</t>
  </si>
  <si>
    <t>Rf30</t>
  </si>
  <si>
    <t>Rf31</t>
  </si>
  <si>
    <t>Rf32</t>
  </si>
  <si>
    <t>Rf33</t>
  </si>
  <si>
    <t>Rf34</t>
  </si>
  <si>
    <t>Rf35</t>
  </si>
  <si>
    <t>Rf36</t>
  </si>
  <si>
    <t>Rf37</t>
  </si>
  <si>
    <t>Rf38</t>
  </si>
  <si>
    <t>Rf39</t>
  </si>
  <si>
    <t>Rf40</t>
  </si>
  <si>
    <t>Rf41</t>
  </si>
  <si>
    <t>Rf42</t>
  </si>
  <si>
    <t>Rf43</t>
  </si>
  <si>
    <t>Rf44</t>
  </si>
  <si>
    <t>Rf45</t>
  </si>
  <si>
    <t>Rf46</t>
  </si>
  <si>
    <t>Rf47</t>
  </si>
  <si>
    <t>Rf48</t>
  </si>
  <si>
    <t>Rf49</t>
  </si>
  <si>
    <t>Rf50</t>
  </si>
  <si>
    <t>Rf51</t>
  </si>
  <si>
    <t>Rf52</t>
  </si>
  <si>
    <t>Rf53</t>
  </si>
  <si>
    <t>Rf54</t>
  </si>
  <si>
    <t>Rf55</t>
  </si>
  <si>
    <t>Rf56</t>
  </si>
  <si>
    <t>Rf57</t>
  </si>
  <si>
    <t>Rf58</t>
  </si>
  <si>
    <t>Rf59</t>
  </si>
  <si>
    <t>Rf60</t>
  </si>
  <si>
    <t>Rf61</t>
  </si>
  <si>
    <t>Rf62</t>
  </si>
  <si>
    <t>Rf63</t>
  </si>
  <si>
    <t>Rf64</t>
  </si>
  <si>
    <t>Rf65</t>
  </si>
  <si>
    <t>Rf66</t>
  </si>
  <si>
    <t>Rf67</t>
  </si>
  <si>
    <t>Rf68</t>
  </si>
  <si>
    <t>Rf69</t>
  </si>
  <si>
    <t>Rf70</t>
  </si>
  <si>
    <t>Rf71</t>
  </si>
  <si>
    <t>Rf72</t>
  </si>
  <si>
    <t>Rf73</t>
  </si>
  <si>
    <t>Rf74</t>
  </si>
  <si>
    <t>Rf75</t>
  </si>
  <si>
    <t>Rf76</t>
  </si>
  <si>
    <t>Rf77</t>
  </si>
  <si>
    <t>Rf78</t>
  </si>
  <si>
    <t>Rf79</t>
  </si>
  <si>
    <t>Rf80</t>
  </si>
  <si>
    <t>Rf81</t>
  </si>
  <si>
    <t>Rf82</t>
  </si>
  <si>
    <t>Rf83</t>
  </si>
  <si>
    <t>Rf84</t>
  </si>
  <si>
    <t>Rf85</t>
  </si>
  <si>
    <t>Rf86</t>
  </si>
  <si>
    <t>Rf87</t>
  </si>
  <si>
    <t>Rf88</t>
  </si>
  <si>
    <t>Rf89</t>
  </si>
  <si>
    <t>Rf90</t>
  </si>
  <si>
    <t>Rf91</t>
  </si>
  <si>
    <t>Rf92</t>
  </si>
  <si>
    <t>Rf93</t>
  </si>
  <si>
    <t>Rf94</t>
  </si>
  <si>
    <t>Rf95</t>
  </si>
  <si>
    <t>Rf96</t>
  </si>
  <si>
    <t>Rf97</t>
  </si>
  <si>
    <t>Rf98</t>
  </si>
  <si>
    <t>Rf99</t>
  </si>
  <si>
    <t>Calculation of chromaticity coordinates of samples, dEi, dEavg, Rfi and Rf</t>
  </si>
  <si>
    <t>TCS1</t>
  </si>
  <si>
    <t>TCS2</t>
  </si>
  <si>
    <t>TCS3</t>
  </si>
  <si>
    <t>TCS4</t>
  </si>
  <si>
    <t>TCS5</t>
  </si>
  <si>
    <t>TCS6</t>
  </si>
  <si>
    <t>TCS7</t>
  </si>
  <si>
    <t>TCS8</t>
  </si>
  <si>
    <t>TCS9</t>
  </si>
  <si>
    <t>TCS10</t>
  </si>
  <si>
    <t>TCS11</t>
  </si>
  <si>
    <t>TCS12</t>
  </si>
  <si>
    <t>TCS13</t>
  </si>
  <si>
    <t>TCS14</t>
  </si>
  <si>
    <t>TCS15</t>
  </si>
  <si>
    <t>TCS16</t>
  </si>
  <si>
    <t>TCS17</t>
  </si>
  <si>
    <t>TCS18</t>
  </si>
  <si>
    <t>TCS19</t>
  </si>
  <si>
    <t>TCS20</t>
  </si>
  <si>
    <t>TCS21</t>
  </si>
  <si>
    <t>TCS22</t>
  </si>
  <si>
    <t>TCS23</t>
  </si>
  <si>
    <t>TCS24</t>
  </si>
  <si>
    <t>TCS25</t>
  </si>
  <si>
    <t>TCS26</t>
  </si>
  <si>
    <t>TCS27</t>
  </si>
  <si>
    <t>TCS28</t>
  </si>
  <si>
    <t>TCS29</t>
  </si>
  <si>
    <t>TCS30</t>
  </si>
  <si>
    <t>TCS31</t>
  </si>
  <si>
    <t>TCS32</t>
  </si>
  <si>
    <t>TCS33</t>
  </si>
  <si>
    <t>TCS34</t>
  </si>
  <si>
    <t>TCS35</t>
  </si>
  <si>
    <t>TCS36</t>
  </si>
  <si>
    <t>TCS37</t>
  </si>
  <si>
    <t>TCS38</t>
  </si>
  <si>
    <t>TCS39</t>
  </si>
  <si>
    <t>TCS40</t>
  </si>
  <si>
    <t>TCS41</t>
  </si>
  <si>
    <t>TCS42</t>
  </si>
  <si>
    <t>TCS43</t>
  </si>
  <si>
    <t>TCS44</t>
  </si>
  <si>
    <t>TCS45</t>
  </si>
  <si>
    <t>TCS46</t>
  </si>
  <si>
    <t>TCS47</t>
  </si>
  <si>
    <t>TCS48</t>
  </si>
  <si>
    <t>TCS49</t>
  </si>
  <si>
    <t>TCS50</t>
  </si>
  <si>
    <t>TCS51</t>
  </si>
  <si>
    <t>TCS52</t>
  </si>
  <si>
    <t>TCS53</t>
  </si>
  <si>
    <t>TCS54</t>
  </si>
  <si>
    <t>TCS55</t>
  </si>
  <si>
    <t>TCS56</t>
  </si>
  <si>
    <t>TCS57</t>
  </si>
  <si>
    <t>TCS58</t>
  </si>
  <si>
    <t>TCS59</t>
  </si>
  <si>
    <t>TCS60</t>
  </si>
  <si>
    <t>TCS61</t>
  </si>
  <si>
    <t>TCS62</t>
  </si>
  <si>
    <t>TCS63</t>
  </si>
  <si>
    <t>TCS64</t>
  </si>
  <si>
    <t>TCS65</t>
  </si>
  <si>
    <t>TCS66</t>
  </si>
  <si>
    <t>TCS67</t>
  </si>
  <si>
    <t>TCS68</t>
  </si>
  <si>
    <t>TCS69</t>
  </si>
  <si>
    <t>TCS70</t>
  </si>
  <si>
    <t>TCS71</t>
  </si>
  <si>
    <t>TCS72</t>
  </si>
  <si>
    <t>TCS73</t>
  </si>
  <si>
    <t>TCS74</t>
  </si>
  <si>
    <t>TCS75</t>
  </si>
  <si>
    <t>TCS76</t>
  </si>
  <si>
    <t>TCS77</t>
  </si>
  <si>
    <t>TCS78</t>
  </si>
  <si>
    <t>TCS79</t>
  </si>
  <si>
    <t>TCS80</t>
  </si>
  <si>
    <t>TCS81</t>
  </si>
  <si>
    <t>TCS82</t>
  </si>
  <si>
    <t>TCS83</t>
  </si>
  <si>
    <t>TCS84</t>
  </si>
  <si>
    <t>TCS85</t>
  </si>
  <si>
    <t>TCS86</t>
  </si>
  <si>
    <t>TCS87</t>
  </si>
  <si>
    <t>TCS88</t>
  </si>
  <si>
    <t>TCS89</t>
  </si>
  <si>
    <t>TCS90</t>
  </si>
  <si>
    <t>TCS91</t>
  </si>
  <si>
    <t>TCS92</t>
  </si>
  <si>
    <t>TCS93</t>
  </si>
  <si>
    <t>TCS94</t>
  </si>
  <si>
    <t>TCS95</t>
  </si>
  <si>
    <t>TCS96</t>
  </si>
  <si>
    <t>TCS97</t>
  </si>
  <si>
    <t>TCS98</t>
  </si>
  <si>
    <t>TCS99</t>
  </si>
  <si>
    <t>source</t>
  </si>
  <si>
    <t>x_circ</t>
  </si>
  <si>
    <t>y_circ</t>
  </si>
  <si>
    <t>theta_circel = ref</t>
  </si>
  <si>
    <t>All TCS</t>
  </si>
  <si>
    <t xml:space="preserve">To calculate CIE Rf following TR "CIE 224:2017": enter spectral data (5nm spacing, 380 nm - 780 nm) in gray cells [B3:B83]. </t>
  </si>
  <si>
    <t>&lt;-- input from 'Reference' sheet</t>
  </si>
  <si>
    <t>==&gt;</t>
  </si>
  <si>
    <t>octal bin a</t>
  </si>
  <si>
    <t>5000K ref</t>
  </si>
  <si>
    <t>octal bin hue</t>
  </si>
  <si>
    <t>octal bin hue 5000K</t>
  </si>
  <si>
    <t>For graph:</t>
  </si>
  <si>
    <t>scaler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</si>
</sst>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0000"/>
    <numFmt numFmtId="165" formatCode="0.000E+00"/>
    <numFmt numFmtId="166" formatCode="0.0000"/>
    <numFmt numFmtId="167" formatCode="0.0"/>
    <numFmt numFmtId="168" formatCode="0.0000000"/>
    <numFmt numFmtId="169" formatCode="0.00000"/>
    <numFmt numFmtId="170" formatCode="0.000"/>
    <numFmt numFmtId="171" formatCode="0.000000"/>
  </numFmts>
  <fonts count="7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Geneva"/>
    </font>
    <font>
      <sz val="10"/>
      <color indexed="12"/>
      <name val="Geneva"/>
    </font>
    <font>
      <sz val="10"/>
      <color indexed="10"/>
      <name val="Geneva"/>
    </font>
    <font>
      <sz val="10"/>
      <name val="Arial CE"/>
    </font>
    <font>
      <sz val="9"/>
      <color indexed="17"/>
      <name val="Geneva"/>
    </font>
    <font>
      <sz val="10"/>
      <name val="Geneva"/>
    </font>
    <font>
      <sz val="9"/>
      <color indexed="12"/>
      <name val="Geneva"/>
    </font>
    <font>
      <b/>
      <sz val="10"/>
      <color indexed="56"/>
      <name val="Geneva"/>
    </font>
    <font>
      <sz val="9"/>
      <color indexed="10"/>
      <name val="Geneva"/>
    </font>
    <font>
      <b/>
      <sz val="9"/>
      <color indexed="12"/>
      <name val="Geneva"/>
    </font>
    <font>
      <b/>
      <sz val="9"/>
      <name val="Geneva"/>
    </font>
    <font>
      <b/>
      <sz val="9"/>
      <color indexed="10"/>
      <name val="Geneva"/>
    </font>
    <font>
      <sz val="10"/>
      <color indexed="8"/>
      <name val="Geneva"/>
      <family val="2"/>
    </font>
    <font>
      <b/>
      <sz val="14"/>
      <name val="Geneva"/>
    </font>
    <font>
      <b/>
      <sz val="10"/>
      <name val="Geneva"/>
    </font>
    <font>
      <b/>
      <sz val="10"/>
      <color indexed="12"/>
      <name val="Geneva"/>
    </font>
    <font>
      <sz val="10"/>
      <color rgb="FF0000FF"/>
      <name val="Geneva"/>
    </font>
    <font>
      <sz val="10"/>
      <color rgb="FFC00000"/>
      <name val="Geneva"/>
    </font>
    <font>
      <sz val="10"/>
      <color theme="1"/>
      <name val="Geneva"/>
    </font>
    <font>
      <sz val="9"/>
      <color theme="1"/>
      <name val="Geneva"/>
    </font>
    <font>
      <i/>
      <sz val="11"/>
      <color theme="1"/>
      <name val="Arial Narrow"/>
      <family val="2"/>
    </font>
    <font>
      <i/>
      <sz val="10"/>
      <name val="Geneva"/>
    </font>
    <font>
      <b/>
      <sz val="10"/>
      <color theme="0"/>
      <name val="Geneva"/>
    </font>
    <font>
      <b/>
      <sz val="14"/>
      <color theme="0" tint="-4.9989318521683403E-2"/>
      <name val="Geneva"/>
    </font>
    <font>
      <b/>
      <sz val="14"/>
      <color theme="0"/>
      <name val="Geneva"/>
    </font>
    <font>
      <b/>
      <sz val="10"/>
      <color theme="1" tint="0.499984740745262"/>
      <name val="Geneva"/>
    </font>
    <font>
      <b/>
      <sz val="11"/>
      <color theme="0"/>
      <name val="Geneva"/>
    </font>
    <font>
      <sz val="9"/>
      <color theme="1" tint="0.499984740745262"/>
      <name val="Geneva"/>
    </font>
    <font>
      <sz val="9"/>
      <color theme="0"/>
      <name val="Geneva"/>
    </font>
    <font>
      <sz val="11"/>
      <color theme="0"/>
      <name val="Geneva"/>
    </font>
    <font>
      <b/>
      <sz val="10"/>
      <color rgb="FFFF0000"/>
      <name val="Geneva"/>
    </font>
    <font>
      <sz val="10"/>
      <color theme="0"/>
      <name val="Geneva"/>
    </font>
    <font>
      <b/>
      <sz val="10"/>
      <color theme="1"/>
      <name val="Geneva"/>
    </font>
    <font>
      <b/>
      <sz val="11"/>
      <color theme="0" tint="-0.499984740745262"/>
      <name val="Geneva"/>
    </font>
    <font>
      <sz val="9"/>
      <color theme="0" tint="-0.499984740745262"/>
      <name val="Geneva"/>
    </font>
    <font>
      <sz val="9"/>
      <color theme="0" tint="-4.9989318521683403E-2"/>
      <name val="Geneva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color indexed="55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2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4"/>
      <name val="Arial"/>
      <family val="2"/>
    </font>
    <font>
      <sz val="10"/>
      <color indexed="50"/>
      <name val="Arial"/>
      <family val="2"/>
    </font>
    <font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9"/>
      <color rgb="FFFF0000"/>
      <name val="Geneva"/>
    </font>
    <font>
      <sz val="11"/>
      <name val="Calibri"/>
      <family val="2"/>
      <scheme val="minor"/>
    </font>
    <font>
      <b/>
      <sz val="9"/>
      <color rgb="FF0070C0"/>
      <name val="Geneva"/>
    </font>
    <font>
      <sz val="9"/>
      <color rgb="FF0070C0"/>
      <name val="Geneva"/>
    </font>
    <font>
      <b/>
      <sz val="9"/>
      <color theme="0"/>
      <name val="Geneva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Geneva"/>
    </font>
    <font>
      <b/>
      <sz val="8"/>
      <color theme="0" tint="-0.249977111117893"/>
      <name val="Geneva"/>
    </font>
    <font>
      <sz val="8"/>
      <color theme="0" tint="-0.249977111117893"/>
      <name val="Calibri"/>
      <family val="2"/>
    </font>
    <font>
      <b/>
      <sz val="14"/>
      <color rgb="FFC00000"/>
      <name val="Geneva"/>
    </font>
    <font>
      <b/>
      <sz val="10"/>
      <color theme="0"/>
      <name val="Arial"/>
      <family val="2"/>
    </font>
    <font>
      <sz val="12"/>
      <color rgb="FFC00000"/>
      <name val="Arial"/>
      <family val="2"/>
    </font>
    <font>
      <sz val="10"/>
      <color rgb="FFC00000"/>
      <name val="Arial"/>
      <family val="2"/>
    </font>
    <font>
      <b/>
      <i/>
      <sz val="10"/>
      <color rgb="FFC00000"/>
      <name val="Arial"/>
      <family val="2"/>
    </font>
    <font>
      <b/>
      <sz val="12"/>
      <name val="Arial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67955565050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medium">
        <color theme="0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4" fillId="0" borderId="0"/>
    <xf numFmtId="0" fontId="7" fillId="0" borderId="0"/>
    <xf numFmtId="0" fontId="3" fillId="0" borderId="0"/>
    <xf numFmtId="0" fontId="41" fillId="0" borderId="0"/>
    <xf numFmtId="0" fontId="3" fillId="0" borderId="0"/>
  </cellStyleXfs>
  <cellXfs count="273">
    <xf numFmtId="0" fontId="0" fillId="0" borderId="0" xfId="0"/>
    <xf numFmtId="164" fontId="0" fillId="0" borderId="0" xfId="0" applyNumberFormat="1"/>
    <xf numFmtId="165" fontId="1" fillId="0" borderId="0" xfId="1" applyNumberFormat="1">
      <alignment vertical="center"/>
    </xf>
    <xf numFmtId="165" fontId="1" fillId="0" borderId="0" xfId="1" applyNumberFormat="1" applyFill="1">
      <alignment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center"/>
    </xf>
    <xf numFmtId="0" fontId="4" fillId="0" borderId="0" xfId="2"/>
    <xf numFmtId="0" fontId="4" fillId="0" borderId="0" xfId="2" applyAlignment="1">
      <alignment horizontal="right"/>
    </xf>
    <xf numFmtId="11" fontId="4" fillId="0" borderId="0" xfId="2" applyNumberFormat="1"/>
    <xf numFmtId="0" fontId="8" fillId="0" borderId="0" xfId="2" applyFont="1"/>
    <xf numFmtId="168" fontId="9" fillId="0" borderId="0" xfId="2" applyNumberFormat="1" applyFont="1" applyBorder="1"/>
    <xf numFmtId="0" fontId="10" fillId="0" borderId="0" xfId="2" applyFont="1"/>
    <xf numFmtId="1" fontId="11" fillId="0" borderId="2" xfId="2" applyNumberFormat="1" applyFont="1" applyBorder="1"/>
    <xf numFmtId="11" fontId="12" fillId="0" borderId="0" xfId="2" applyNumberFormat="1" applyFont="1"/>
    <xf numFmtId="11" fontId="10" fillId="0" borderId="3" xfId="2" applyNumberFormat="1" applyFont="1" applyBorder="1"/>
    <xf numFmtId="11" fontId="10" fillId="0" borderId="0" xfId="2" applyNumberFormat="1" applyFont="1"/>
    <xf numFmtId="0" fontId="13" fillId="0" borderId="0" xfId="2" applyFont="1"/>
    <xf numFmtId="0" fontId="4" fillId="0" borderId="3" xfId="2" applyBorder="1"/>
    <xf numFmtId="0" fontId="12" fillId="0" borderId="0" xfId="2" applyFont="1"/>
    <xf numFmtId="0" fontId="4" fillId="0" borderId="0" xfId="2" applyBorder="1"/>
    <xf numFmtId="1" fontId="12" fillId="0" borderId="0" xfId="2" applyNumberFormat="1" applyFont="1"/>
    <xf numFmtId="0" fontId="10" fillId="0" borderId="3" xfId="2" applyFont="1" applyBorder="1"/>
    <xf numFmtId="0" fontId="13" fillId="0" borderId="0" xfId="2" applyFont="1" applyAlignment="1">
      <alignment horizontal="center"/>
    </xf>
    <xf numFmtId="168" fontId="9" fillId="0" borderId="0" xfId="2" applyNumberFormat="1" applyFont="1" applyBorder="1" applyAlignment="1">
      <alignment horizontal="center"/>
    </xf>
    <xf numFmtId="1" fontId="10" fillId="0" borderId="3" xfId="2" applyNumberFormat="1" applyFont="1" applyBorder="1"/>
    <xf numFmtId="1" fontId="10" fillId="0" borderId="0" xfId="2" applyNumberFormat="1" applyFont="1"/>
    <xf numFmtId="0" fontId="14" fillId="0" borderId="0" xfId="2" applyFont="1" applyAlignment="1">
      <alignment horizontal="right"/>
    </xf>
    <xf numFmtId="1" fontId="14" fillId="0" borderId="0" xfId="2" applyNumberFormat="1" applyFont="1"/>
    <xf numFmtId="169" fontId="8" fillId="0" borderId="0" xfId="2" applyNumberFormat="1" applyFont="1"/>
    <xf numFmtId="168" fontId="4" fillId="0" borderId="0" xfId="2" applyNumberFormat="1" applyBorder="1"/>
    <xf numFmtId="11" fontId="4" fillId="0" borderId="1" xfId="2" applyNumberFormat="1" applyBorder="1"/>
    <xf numFmtId="0" fontId="12" fillId="0" borderId="1" xfId="2" applyFont="1" applyBorder="1"/>
    <xf numFmtId="0" fontId="12" fillId="0" borderId="0" xfId="2" applyFont="1" applyBorder="1"/>
    <xf numFmtId="0" fontId="10" fillId="0" borderId="0" xfId="2" applyFont="1" applyBorder="1"/>
    <xf numFmtId="0" fontId="4" fillId="0" borderId="0" xfId="2" applyBorder="1" applyAlignment="1">
      <alignment horizontal="center"/>
    </xf>
    <xf numFmtId="166" fontId="12" fillId="0" borderId="0" xfId="2" applyNumberFormat="1" applyFont="1"/>
    <xf numFmtId="168" fontId="4" fillId="0" borderId="0" xfId="2" applyNumberFormat="1" applyFont="1" applyBorder="1"/>
    <xf numFmtId="166" fontId="12" fillId="0" borderId="0" xfId="2" applyNumberFormat="1" applyFont="1" applyAlignment="1">
      <alignment horizontal="right"/>
    </xf>
    <xf numFmtId="166" fontId="10" fillId="0" borderId="3" xfId="2" applyNumberFormat="1" applyFont="1" applyBorder="1" applyAlignment="1">
      <alignment horizontal="right"/>
    </xf>
    <xf numFmtId="166" fontId="13" fillId="0" borderId="0" xfId="2" applyNumberFormat="1" applyFont="1"/>
    <xf numFmtId="2" fontId="4" fillId="0" borderId="0" xfId="2" applyNumberFormat="1"/>
    <xf numFmtId="2" fontId="12" fillId="0" borderId="0" xfId="2" applyNumberFormat="1" applyFont="1"/>
    <xf numFmtId="166" fontId="4" fillId="0" borderId="0" xfId="2" applyNumberFormat="1" applyBorder="1"/>
    <xf numFmtId="166" fontId="10" fillId="0" borderId="0" xfId="2" applyNumberFormat="1" applyFont="1" applyAlignment="1">
      <alignment horizontal="right"/>
    </xf>
    <xf numFmtId="169" fontId="4" fillId="0" borderId="0" xfId="2" applyNumberFormat="1"/>
    <xf numFmtId="0" fontId="4" fillId="0" borderId="0" xfId="2" applyFont="1" applyFill="1" applyBorder="1"/>
    <xf numFmtId="166" fontId="4" fillId="0" borderId="0" xfId="2" applyNumberFormat="1" applyFont="1" applyFill="1" applyBorder="1"/>
    <xf numFmtId="166" fontId="12" fillId="0" borderId="4" xfId="2" applyNumberFormat="1" applyFont="1" applyBorder="1"/>
    <xf numFmtId="166" fontId="15" fillId="0" borderId="5" xfId="2" applyNumberFormat="1" applyFont="1" applyBorder="1"/>
    <xf numFmtId="166" fontId="10" fillId="0" borderId="4" xfId="2" applyNumberFormat="1" applyFont="1" applyBorder="1"/>
    <xf numFmtId="166" fontId="13" fillId="0" borderId="5" xfId="2" applyNumberFormat="1" applyFont="1" applyBorder="1"/>
    <xf numFmtId="166" fontId="12" fillId="0" borderId="3" xfId="2" applyNumberFormat="1" applyFont="1" applyBorder="1"/>
    <xf numFmtId="2" fontId="12" fillId="0" borderId="6" xfId="2" applyNumberFormat="1" applyFont="1" applyBorder="1"/>
    <xf numFmtId="166" fontId="10" fillId="0" borderId="3" xfId="2" applyNumberFormat="1" applyFont="1" applyBorder="1"/>
    <xf numFmtId="2" fontId="10" fillId="0" borderId="6" xfId="2" applyNumberFormat="1" applyFont="1" applyBorder="1"/>
    <xf numFmtId="166" fontId="12" fillId="0" borderId="6" xfId="2" applyNumberFormat="1" applyFont="1" applyBorder="1"/>
    <xf numFmtId="166" fontId="10" fillId="0" borderId="6" xfId="2" applyNumberFormat="1" applyFont="1" applyBorder="1"/>
    <xf numFmtId="0" fontId="12" fillId="0" borderId="3" xfId="2" applyFont="1" applyBorder="1"/>
    <xf numFmtId="1" fontId="13" fillId="0" borderId="6" xfId="2" applyNumberFormat="1" applyFont="1" applyBorder="1"/>
    <xf numFmtId="166" fontId="10" fillId="0" borderId="7" xfId="2" applyNumberFormat="1" applyFont="1" applyBorder="1"/>
    <xf numFmtId="166" fontId="12" fillId="0" borderId="8" xfId="2" applyNumberFormat="1" applyFont="1" applyBorder="1"/>
    <xf numFmtId="166" fontId="10" fillId="0" borderId="8" xfId="2" applyNumberFormat="1" applyFont="1" applyBorder="1"/>
    <xf numFmtId="166" fontId="10" fillId="0" borderId="0" xfId="2" applyNumberFormat="1" applyFont="1"/>
    <xf numFmtId="167" fontId="15" fillId="0" borderId="0" xfId="2" applyNumberFormat="1" applyFont="1"/>
    <xf numFmtId="166" fontId="13" fillId="0" borderId="3" xfId="2" applyNumberFormat="1" applyFont="1" applyBorder="1"/>
    <xf numFmtId="0" fontId="16" fillId="0" borderId="0" xfId="2" applyFont="1"/>
    <xf numFmtId="0" fontId="12" fillId="0" borderId="0" xfId="0" applyFont="1"/>
    <xf numFmtId="170" fontId="9" fillId="0" borderId="0" xfId="0" applyNumberFormat="1" applyFont="1" applyBorder="1"/>
    <xf numFmtId="166" fontId="9" fillId="0" borderId="0" xfId="0" applyNumberFormat="1" applyFont="1" applyBorder="1"/>
    <xf numFmtId="1" fontId="12" fillId="0" borderId="0" xfId="0" applyNumberFormat="1" applyFont="1"/>
    <xf numFmtId="0" fontId="9" fillId="0" borderId="0" xfId="0" applyFont="1"/>
    <xf numFmtId="0" fontId="6" fillId="0" borderId="0" xfId="0" applyFont="1"/>
    <xf numFmtId="0" fontId="14" fillId="0" borderId="0" xfId="0" applyFont="1" applyFill="1"/>
    <xf numFmtId="166" fontId="9" fillId="0" borderId="0" xfId="0" applyNumberFormat="1" applyFont="1" applyFill="1" applyBorder="1"/>
    <xf numFmtId="0" fontId="9" fillId="0" borderId="0" xfId="0" applyFont="1" applyFill="1"/>
    <xf numFmtId="0" fontId="18" fillId="0" borderId="0" xfId="0" applyFont="1"/>
    <xf numFmtId="0" fontId="5" fillId="3" borderId="0" xfId="0" applyFont="1" applyFill="1" applyBorder="1"/>
    <xf numFmtId="166" fontId="5" fillId="3" borderId="0" xfId="0" applyNumberFormat="1" applyFont="1" applyFill="1" applyBorder="1"/>
    <xf numFmtId="0" fontId="5" fillId="3" borderId="0" xfId="0" applyFont="1" applyFill="1"/>
    <xf numFmtId="0" fontId="5" fillId="0" borderId="0" xfId="0" applyFont="1" applyFill="1"/>
    <xf numFmtId="0" fontId="1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166" fontId="0" fillId="0" borderId="0" xfId="0" applyNumberFormat="1"/>
    <xf numFmtId="170" fontId="5" fillId="3" borderId="0" xfId="0" applyNumberFormat="1" applyFont="1" applyFill="1" applyBorder="1" applyAlignment="1">
      <alignment horizontal="right"/>
    </xf>
    <xf numFmtId="167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5" fillId="3" borderId="0" xfId="0" applyFont="1" applyFill="1" applyBorder="1" applyAlignment="1">
      <alignment horizontal="right"/>
    </xf>
    <xf numFmtId="166" fontId="10" fillId="3" borderId="0" xfId="0" applyNumberFormat="1" applyFont="1" applyFill="1" applyBorder="1"/>
    <xf numFmtId="166" fontId="12" fillId="0" borderId="0" xfId="0" applyNumberFormat="1" applyFont="1"/>
    <xf numFmtId="0" fontId="6" fillId="3" borderId="0" xfId="0" applyFont="1" applyFill="1" applyBorder="1"/>
    <xf numFmtId="166" fontId="12" fillId="3" borderId="0" xfId="0" applyNumberFormat="1" applyFont="1" applyFill="1" applyBorder="1"/>
    <xf numFmtId="166" fontId="12" fillId="3" borderId="0" xfId="0" applyNumberFormat="1" applyFont="1" applyFill="1"/>
    <xf numFmtId="170" fontId="6" fillId="3" borderId="0" xfId="0" applyNumberFormat="1" applyFont="1" applyFill="1" applyBorder="1" applyAlignment="1">
      <alignment horizontal="right"/>
    </xf>
    <xf numFmtId="166" fontId="6" fillId="3" borderId="0" xfId="0" applyNumberFormat="1" applyFont="1" applyFill="1" applyBorder="1"/>
    <xf numFmtId="0" fontId="12" fillId="3" borderId="0" xfId="0" applyFont="1" applyFill="1" applyBorder="1" applyAlignment="1">
      <alignment horizontal="right"/>
    </xf>
    <xf numFmtId="170" fontId="6" fillId="3" borderId="0" xfId="0" applyNumberFormat="1" applyFont="1" applyFill="1" applyBorder="1"/>
    <xf numFmtId="0" fontId="12" fillId="3" borderId="0" xfId="0" applyFont="1" applyFill="1"/>
    <xf numFmtId="170" fontId="16" fillId="3" borderId="0" xfId="0" applyNumberFormat="1" applyFont="1" applyFill="1" applyBorder="1" applyAlignment="1">
      <alignment horizontal="right"/>
    </xf>
    <xf numFmtId="166" fontId="16" fillId="3" borderId="0" xfId="0" applyNumberFormat="1" applyFont="1" applyFill="1" applyBorder="1"/>
    <xf numFmtId="170" fontId="16" fillId="3" borderId="0" xfId="0" applyNumberFormat="1" applyFont="1" applyFill="1" applyBorder="1"/>
    <xf numFmtId="170" fontId="9" fillId="3" borderId="0" xfId="0" applyNumberFormat="1" applyFont="1" applyFill="1" applyBorder="1" applyAlignment="1">
      <alignment horizontal="right"/>
    </xf>
    <xf numFmtId="0" fontId="0" fillId="3" borderId="0" xfId="0" applyFill="1"/>
    <xf numFmtId="170" fontId="20" fillId="3" borderId="0" xfId="0" applyNumberFormat="1" applyFont="1" applyFill="1" applyBorder="1" applyAlignment="1">
      <alignment horizontal="right"/>
    </xf>
    <xf numFmtId="166" fontId="20" fillId="3" borderId="0" xfId="0" applyNumberFormat="1" applyFont="1" applyFill="1" applyBorder="1"/>
    <xf numFmtId="170" fontId="21" fillId="3" borderId="0" xfId="0" applyNumberFormat="1" applyFont="1" applyFill="1" applyBorder="1" applyAlignment="1">
      <alignment horizontal="right"/>
    </xf>
    <xf numFmtId="166" fontId="21" fillId="3" borderId="0" xfId="0" applyNumberFormat="1" applyFont="1" applyFill="1" applyBorder="1"/>
    <xf numFmtId="0" fontId="14" fillId="0" borderId="0" xfId="0" applyFont="1"/>
    <xf numFmtId="0" fontId="14" fillId="4" borderId="0" xfId="0" applyFont="1" applyFill="1" applyBorder="1" applyAlignment="1">
      <alignment horizontal="right"/>
    </xf>
    <xf numFmtId="0" fontId="0" fillId="4" borderId="0" xfId="0" applyFill="1" applyBorder="1"/>
    <xf numFmtId="167" fontId="0" fillId="4" borderId="0" xfId="0" applyNumberFormat="1" applyFill="1" applyBorder="1"/>
    <xf numFmtId="170" fontId="0" fillId="4" borderId="0" xfId="0" applyNumberFormat="1" applyFill="1" applyBorder="1"/>
    <xf numFmtId="170" fontId="18" fillId="4" borderId="0" xfId="0" applyNumberFormat="1" applyFont="1" applyFill="1" applyBorder="1" applyAlignment="1">
      <alignment horizontal="right"/>
    </xf>
    <xf numFmtId="166" fontId="9" fillId="4" borderId="0" xfId="0" applyNumberFormat="1" applyFont="1" applyFill="1" applyBorder="1"/>
    <xf numFmtId="170" fontId="9" fillId="4" borderId="0" xfId="0" applyNumberFormat="1" applyFont="1" applyFill="1" applyBorder="1"/>
    <xf numFmtId="0" fontId="3" fillId="4" borderId="0" xfId="4" applyFill="1" applyBorder="1"/>
    <xf numFmtId="170" fontId="9" fillId="5" borderId="0" xfId="0" applyNumberFormat="1" applyFont="1" applyFill="1" applyBorder="1" applyAlignment="1">
      <alignment horizontal="right"/>
    </xf>
    <xf numFmtId="166" fontId="6" fillId="5" borderId="0" xfId="0" applyNumberFormat="1" applyFont="1" applyFill="1" applyBorder="1"/>
    <xf numFmtId="170" fontId="6" fillId="5" borderId="0" xfId="0" applyNumberFormat="1" applyFont="1" applyFill="1" applyBorder="1"/>
    <xf numFmtId="0" fontId="0" fillId="5" borderId="0" xfId="0" applyFill="1" applyBorder="1"/>
    <xf numFmtId="170" fontId="9" fillId="5" borderId="0" xfId="0" applyNumberFormat="1" applyFont="1" applyFill="1" applyBorder="1"/>
    <xf numFmtId="166" fontId="5" fillId="5" borderId="0" xfId="0" applyNumberFormat="1" applyFont="1" applyFill="1" applyBorder="1"/>
    <xf numFmtId="0" fontId="10" fillId="5" borderId="0" xfId="0" applyFont="1" applyFill="1" applyBorder="1"/>
    <xf numFmtId="0" fontId="12" fillId="5" borderId="0" xfId="0" applyFont="1" applyFill="1" applyBorder="1"/>
    <xf numFmtId="166" fontId="9" fillId="6" borderId="0" xfId="0" applyNumberFormat="1" applyFont="1" applyFill="1" applyBorder="1"/>
    <xf numFmtId="166" fontId="5" fillId="6" borderId="0" xfId="0" applyNumberFormat="1" applyFont="1" applyFill="1" applyBorder="1"/>
    <xf numFmtId="166" fontId="10" fillId="6" borderId="0" xfId="0" applyNumberFormat="1" applyFont="1" applyFill="1" applyBorder="1"/>
    <xf numFmtId="166" fontId="22" fillId="6" borderId="0" xfId="0" applyNumberFormat="1" applyFont="1" applyFill="1" applyBorder="1" applyAlignment="1">
      <alignment horizontal="center"/>
    </xf>
    <xf numFmtId="166" fontId="23" fillId="6" borderId="0" xfId="0" applyNumberFormat="1" applyFont="1" applyFill="1" applyBorder="1" applyAlignment="1">
      <alignment horizontal="center"/>
    </xf>
    <xf numFmtId="166" fontId="23" fillId="6" borderId="0" xfId="0" applyNumberFormat="1" applyFont="1" applyFill="1" applyBorder="1"/>
    <xf numFmtId="166" fontId="23" fillId="6" borderId="0" xfId="0" applyNumberFormat="1" applyFont="1" applyFill="1"/>
    <xf numFmtId="166" fontId="9" fillId="6" borderId="0" xfId="0" applyNumberFormat="1" applyFont="1" applyFill="1" applyAlignment="1">
      <alignment horizontal="left"/>
    </xf>
    <xf numFmtId="166" fontId="0" fillId="6" borderId="0" xfId="0" applyNumberFormat="1" applyFill="1"/>
    <xf numFmtId="166" fontId="24" fillId="6" borderId="0" xfId="2" applyNumberFormat="1" applyFont="1" applyFill="1" applyBorder="1"/>
    <xf numFmtId="166" fontId="12" fillId="6" borderId="0" xfId="0" applyNumberFormat="1" applyFont="1" applyFill="1" applyBorder="1"/>
    <xf numFmtId="166" fontId="0" fillId="6" borderId="0" xfId="0" applyNumberFormat="1" applyFill="1" applyBorder="1"/>
    <xf numFmtId="166" fontId="25" fillId="6" borderId="0" xfId="0" applyNumberFormat="1" applyFont="1" applyFill="1" applyAlignment="1">
      <alignment horizontal="center"/>
    </xf>
    <xf numFmtId="166" fontId="9" fillId="6" borderId="0" xfId="0" applyNumberFormat="1" applyFont="1" applyFill="1"/>
    <xf numFmtId="166" fontId="9" fillId="6" borderId="0" xfId="0" applyNumberFormat="1" applyFont="1" applyFill="1" applyBorder="1" applyAlignment="1">
      <alignment horizontal="center"/>
    </xf>
    <xf numFmtId="2" fontId="9" fillId="6" borderId="0" xfId="0" applyNumberFormat="1" applyFont="1" applyFill="1" applyBorder="1"/>
    <xf numFmtId="170" fontId="27" fillId="7" borderId="0" xfId="0" applyNumberFormat="1" applyFont="1" applyFill="1" applyAlignment="1">
      <alignment horizontal="center"/>
    </xf>
    <xf numFmtId="0" fontId="28" fillId="7" borderId="0" xfId="0" applyFont="1" applyFill="1" applyAlignment="1">
      <alignment horizontal="center"/>
    </xf>
    <xf numFmtId="0" fontId="29" fillId="7" borderId="0" xfId="0" applyFont="1" applyFill="1" applyAlignment="1">
      <alignment horizontal="center"/>
    </xf>
    <xf numFmtId="170" fontId="29" fillId="7" borderId="0" xfId="0" applyNumberFormat="1" applyFont="1" applyFill="1" applyAlignment="1">
      <alignment horizontal="center"/>
    </xf>
    <xf numFmtId="0" fontId="30" fillId="7" borderId="0" xfId="0" applyFont="1" applyFill="1" applyAlignment="1">
      <alignment horizontal="center"/>
    </xf>
    <xf numFmtId="0" fontId="31" fillId="7" borderId="0" xfId="0" applyFont="1" applyFill="1" applyAlignment="1">
      <alignment horizontal="center"/>
    </xf>
    <xf numFmtId="170" fontId="31" fillId="7" borderId="0" xfId="0" applyNumberFormat="1" applyFont="1" applyFill="1" applyAlignment="1">
      <alignment horizontal="center"/>
    </xf>
    <xf numFmtId="0" fontId="32" fillId="7" borderId="0" xfId="0" applyFont="1" applyFill="1" applyAlignment="1">
      <alignment horizontal="center"/>
    </xf>
    <xf numFmtId="1" fontId="33" fillId="7" borderId="0" xfId="0" applyNumberFormat="1" applyFont="1" applyFill="1" applyAlignment="1">
      <alignment horizontal="center"/>
    </xf>
    <xf numFmtId="0" fontId="26" fillId="7" borderId="10" xfId="0" applyFont="1" applyFill="1" applyBorder="1" applyAlignment="1">
      <alignment horizontal="center"/>
    </xf>
    <xf numFmtId="167" fontId="30" fillId="7" borderId="0" xfId="0" applyNumberFormat="1" applyFont="1" applyFill="1" applyBorder="1" applyAlignment="1">
      <alignment horizontal="center"/>
    </xf>
    <xf numFmtId="0" fontId="26" fillId="7" borderId="12" xfId="0" applyFont="1" applyFill="1" applyBorder="1" applyAlignment="1">
      <alignment horizontal="center"/>
    </xf>
    <xf numFmtId="0" fontId="33" fillId="7" borderId="0" xfId="0" applyFont="1" applyFill="1" applyAlignment="1">
      <alignment horizontal="center"/>
    </xf>
    <xf numFmtId="169" fontId="35" fillId="7" borderId="13" xfId="0" applyNumberFormat="1" applyFont="1" applyFill="1" applyBorder="1" applyAlignment="1">
      <alignment horizontal="center"/>
    </xf>
    <xf numFmtId="170" fontId="33" fillId="7" borderId="0" xfId="0" applyNumberFormat="1" applyFont="1" applyFill="1" applyAlignment="1">
      <alignment horizontal="center"/>
    </xf>
    <xf numFmtId="167" fontId="35" fillId="7" borderId="13" xfId="0" applyNumberFormat="1" applyFont="1" applyFill="1" applyBorder="1" applyAlignment="1">
      <alignment horizontal="center"/>
    </xf>
    <xf numFmtId="0" fontId="36" fillId="7" borderId="14" xfId="0" applyFont="1" applyFill="1" applyBorder="1" applyAlignment="1">
      <alignment horizontal="center"/>
    </xf>
    <xf numFmtId="170" fontId="22" fillId="7" borderId="14" xfId="0" applyNumberFormat="1" applyFont="1" applyFill="1" applyBorder="1" applyAlignment="1">
      <alignment horizontal="center"/>
    </xf>
    <xf numFmtId="167" fontId="33" fillId="7" borderId="0" xfId="0" applyNumberFormat="1" applyFont="1" applyFill="1" applyAlignment="1">
      <alignment horizontal="center"/>
    </xf>
    <xf numFmtId="0" fontId="36" fillId="7" borderId="0" xfId="0" applyFont="1" applyFill="1" applyBorder="1" applyAlignment="1">
      <alignment horizontal="center"/>
    </xf>
    <xf numFmtId="170" fontId="22" fillId="7" borderId="0" xfId="0" applyNumberFormat="1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0" fillId="7" borderId="0" xfId="0" applyFill="1"/>
    <xf numFmtId="0" fontId="37" fillId="7" borderId="0" xfId="0" applyFont="1" applyFill="1" applyAlignment="1">
      <alignment horizontal="center"/>
    </xf>
    <xf numFmtId="0" fontId="38" fillId="7" borderId="0" xfId="0" applyFont="1" applyFill="1" applyAlignment="1">
      <alignment horizontal="center"/>
    </xf>
    <xf numFmtId="168" fontId="39" fillId="8" borderId="0" xfId="0" applyNumberFormat="1" applyFont="1" applyFill="1"/>
    <xf numFmtId="168" fontId="38" fillId="7" borderId="0" xfId="0" applyNumberFormat="1" applyFont="1" applyFill="1" applyAlignment="1">
      <alignment horizontal="center"/>
    </xf>
    <xf numFmtId="168" fontId="39" fillId="8" borderId="0" xfId="0" applyNumberFormat="1" applyFont="1" applyFill="1" applyAlignment="1">
      <alignment horizontal="center"/>
    </xf>
    <xf numFmtId="170" fontId="26" fillId="7" borderId="9" xfId="0" applyNumberFormat="1" applyFont="1" applyFill="1" applyBorder="1" applyAlignment="1">
      <alignment horizontal="center"/>
    </xf>
    <xf numFmtId="170" fontId="17" fillId="7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69" fontId="9" fillId="0" borderId="0" xfId="0" applyNumberFormat="1" applyFont="1"/>
    <xf numFmtId="165" fontId="0" fillId="0" borderId="0" xfId="0" applyNumberFormat="1" applyAlignment="1">
      <alignment vertical="center"/>
    </xf>
    <xf numFmtId="1" fontId="42" fillId="0" borderId="0" xfId="5" applyNumberFormat="1" applyFont="1" applyFill="1" applyBorder="1" applyAlignment="1">
      <alignment horizontal="left"/>
    </xf>
    <xf numFmtId="166" fontId="43" fillId="0" borderId="0" xfId="5" applyNumberFormat="1" applyFont="1" applyFill="1" applyBorder="1" applyAlignment="1">
      <alignment horizontal="center"/>
    </xf>
    <xf numFmtId="166" fontId="44" fillId="0" borderId="0" xfId="5" applyNumberFormat="1" applyFont="1" applyFill="1" applyBorder="1" applyAlignment="1">
      <alignment horizontal="center"/>
    </xf>
    <xf numFmtId="2" fontId="43" fillId="0" borderId="0" xfId="5" applyNumberFormat="1" applyFont="1" applyFill="1" applyBorder="1" applyAlignment="1">
      <alignment horizontal="center"/>
    </xf>
    <xf numFmtId="2" fontId="9" fillId="0" borderId="0" xfId="5" applyNumberFormat="1" applyFont="1" applyFill="1" applyBorder="1" applyAlignment="1">
      <alignment horizontal="center"/>
    </xf>
    <xf numFmtId="2" fontId="45" fillId="0" borderId="0" xfId="5" applyNumberFormat="1" applyFont="1" applyFill="1" applyBorder="1" applyAlignment="1">
      <alignment horizontal="center"/>
    </xf>
    <xf numFmtId="1" fontId="47" fillId="0" borderId="0" xfId="5" applyNumberFormat="1" applyFont="1" applyFill="1" applyBorder="1" applyAlignment="1">
      <alignment horizontal="center"/>
    </xf>
    <xf numFmtId="166" fontId="43" fillId="0" borderId="0" xfId="5" quotePrefix="1" applyNumberFormat="1" applyFont="1" applyFill="1" applyBorder="1" applyAlignment="1">
      <alignment horizontal="left"/>
    </xf>
    <xf numFmtId="171" fontId="9" fillId="0" borderId="0" xfId="5" applyNumberFormat="1" applyFont="1" applyFill="1" applyBorder="1" applyAlignment="1">
      <alignment horizontal="center"/>
    </xf>
    <xf numFmtId="166" fontId="47" fillId="0" borderId="0" xfId="5" applyNumberFormat="1" applyFont="1" applyFill="1" applyBorder="1" applyAlignment="1">
      <alignment horizontal="center"/>
    </xf>
    <xf numFmtId="171" fontId="43" fillId="0" borderId="0" xfId="5" applyNumberFormat="1" applyFont="1" applyFill="1" applyBorder="1" applyAlignment="1">
      <alignment horizontal="center"/>
    </xf>
    <xf numFmtId="169" fontId="4" fillId="0" borderId="0" xfId="5" applyNumberFormat="1" applyFont="1" applyFill="1" applyBorder="1" applyAlignment="1">
      <alignment horizontal="center"/>
    </xf>
    <xf numFmtId="1" fontId="43" fillId="0" borderId="0" xfId="5" applyNumberFormat="1" applyFont="1" applyFill="1" applyBorder="1" applyAlignment="1">
      <alignment horizontal="center"/>
    </xf>
    <xf numFmtId="166" fontId="48" fillId="0" borderId="0" xfId="5" applyNumberFormat="1" applyFont="1" applyFill="1" applyBorder="1" applyAlignment="1">
      <alignment horizontal="center"/>
    </xf>
    <xf numFmtId="167" fontId="44" fillId="0" borderId="0" xfId="5" applyNumberFormat="1" applyFont="1" applyFill="1" applyBorder="1" applyAlignment="1">
      <alignment horizontal="center"/>
    </xf>
    <xf numFmtId="168" fontId="43" fillId="0" borderId="0" xfId="5" applyNumberFormat="1" applyFont="1" applyFill="1" applyBorder="1" applyAlignment="1">
      <alignment horizontal="center"/>
    </xf>
    <xf numFmtId="2" fontId="46" fillId="0" borderId="0" xfId="5" applyNumberFormat="1" applyFont="1" applyFill="1" applyBorder="1" applyAlignment="1">
      <alignment horizontal="center"/>
    </xf>
    <xf numFmtId="2" fontId="49" fillId="0" borderId="0" xfId="5" applyNumberFormat="1" applyFont="1" applyFill="1" applyBorder="1" applyAlignment="1">
      <alignment horizontal="center"/>
    </xf>
    <xf numFmtId="2" fontId="50" fillId="0" borderId="0" xfId="5" applyNumberFormat="1" applyFont="1" applyFill="1" applyBorder="1" applyAlignment="1">
      <alignment horizontal="center"/>
    </xf>
    <xf numFmtId="171" fontId="46" fillId="0" borderId="0" xfId="5" applyNumberFormat="1" applyFont="1" applyFill="1" applyBorder="1" applyAlignment="1">
      <alignment horizontal="center"/>
    </xf>
    <xf numFmtId="171" fontId="51" fillId="0" borderId="0" xfId="5" applyNumberFormat="1" applyFont="1" applyFill="1" applyBorder="1" applyAlignment="1">
      <alignment horizontal="center"/>
    </xf>
    <xf numFmtId="170" fontId="43" fillId="0" borderId="0" xfId="5" applyNumberFormat="1" applyFont="1" applyFill="1" applyBorder="1" applyAlignment="1">
      <alignment horizontal="center"/>
    </xf>
    <xf numFmtId="0" fontId="43" fillId="0" borderId="0" xfId="5" applyFont="1" applyFill="1" applyBorder="1" applyAlignment="1">
      <alignment horizontal="center"/>
    </xf>
    <xf numFmtId="164" fontId="9" fillId="0" borderId="0" xfId="5" applyNumberFormat="1" applyFont="1" applyFill="1" applyBorder="1" applyAlignment="1">
      <alignment horizontal="center"/>
    </xf>
    <xf numFmtId="166" fontId="46" fillId="0" borderId="0" xfId="5" applyNumberFormat="1" applyFont="1" applyFill="1" applyBorder="1" applyAlignment="1">
      <alignment horizontal="center"/>
    </xf>
    <xf numFmtId="2" fontId="52" fillId="0" borderId="0" xfId="5" applyNumberFormat="1" applyFont="1" applyFill="1" applyBorder="1" applyAlignment="1">
      <alignment horizontal="center"/>
    </xf>
    <xf numFmtId="167" fontId="43" fillId="0" borderId="0" xfId="5" applyNumberFormat="1" applyFont="1" applyFill="1" applyBorder="1" applyAlignment="1">
      <alignment horizontal="center"/>
    </xf>
    <xf numFmtId="168" fontId="9" fillId="0" borderId="0" xfId="5" applyNumberFormat="1" applyFont="1" applyFill="1" applyBorder="1" applyAlignment="1">
      <alignment horizontal="center"/>
    </xf>
    <xf numFmtId="171" fontId="52" fillId="0" borderId="0" xfId="5" applyNumberFormat="1" applyFont="1" applyFill="1" applyBorder="1" applyAlignment="1">
      <alignment horizontal="center"/>
    </xf>
    <xf numFmtId="0" fontId="9" fillId="0" borderId="0" xfId="5" applyFont="1" applyFill="1" applyBorder="1" applyAlignment="1">
      <alignment horizontal="center"/>
    </xf>
    <xf numFmtId="169" fontId="43" fillId="0" borderId="0" xfId="5" applyNumberFormat="1" applyFont="1" applyFill="1" applyBorder="1" applyAlignment="1">
      <alignment horizontal="center"/>
    </xf>
    <xf numFmtId="1" fontId="54" fillId="0" borderId="0" xfId="5" applyNumberFormat="1" applyFont="1" applyFill="1" applyBorder="1" applyAlignment="1">
      <alignment horizontal="center"/>
    </xf>
    <xf numFmtId="166" fontId="54" fillId="0" borderId="0" xfId="5" applyNumberFormat="1" applyFont="1" applyFill="1" applyBorder="1" applyAlignment="1">
      <alignment horizontal="center"/>
    </xf>
    <xf numFmtId="167" fontId="54" fillId="0" borderId="0" xfId="5" applyNumberFormat="1" applyFont="1" applyFill="1" applyBorder="1" applyAlignment="1">
      <alignment horizontal="center"/>
    </xf>
    <xf numFmtId="167" fontId="45" fillId="0" borderId="0" xfId="5" applyNumberFormat="1" applyFont="1" applyFill="1" applyBorder="1" applyAlignment="1">
      <alignment horizontal="center"/>
    </xf>
    <xf numFmtId="0" fontId="41" fillId="0" borderId="0" xfId="5" applyFill="1" applyBorder="1" applyAlignment="1">
      <alignment horizontal="center"/>
    </xf>
    <xf numFmtId="2" fontId="56" fillId="4" borderId="0" xfId="6" applyNumberFormat="1" applyFont="1" applyFill="1" applyBorder="1"/>
    <xf numFmtId="167" fontId="58" fillId="7" borderId="0" xfId="0" applyNumberFormat="1" applyFont="1" applyFill="1" applyBorder="1" applyAlignment="1">
      <alignment horizontal="center"/>
    </xf>
    <xf numFmtId="167" fontId="59" fillId="7" borderId="0" xfId="0" applyNumberFormat="1" applyFont="1" applyFill="1" applyBorder="1" applyAlignment="1">
      <alignment horizontal="center"/>
    </xf>
    <xf numFmtId="0" fontId="40" fillId="7" borderId="0" xfId="0" applyFont="1" applyFill="1"/>
    <xf numFmtId="167" fontId="59" fillId="7" borderId="16" xfId="0" applyNumberFormat="1" applyFont="1" applyFill="1" applyBorder="1" applyAlignment="1">
      <alignment horizontal="center"/>
    </xf>
    <xf numFmtId="167" fontId="59" fillId="7" borderId="14" xfId="0" applyNumberFormat="1" applyFont="1" applyFill="1" applyBorder="1" applyAlignment="1">
      <alignment horizontal="center"/>
    </xf>
    <xf numFmtId="167" fontId="59" fillId="7" borderId="17" xfId="0" applyNumberFormat="1" applyFont="1" applyFill="1" applyBorder="1" applyAlignment="1">
      <alignment horizontal="center"/>
    </xf>
    <xf numFmtId="167" fontId="57" fillId="7" borderId="18" xfId="0" applyNumberFormat="1" applyFont="1" applyFill="1" applyBorder="1" applyAlignment="1">
      <alignment horizontal="center"/>
    </xf>
    <xf numFmtId="167" fontId="58" fillId="7" borderId="13" xfId="0" applyNumberFormat="1" applyFont="1" applyFill="1" applyBorder="1" applyAlignment="1">
      <alignment horizontal="center"/>
    </xf>
    <xf numFmtId="167" fontId="59" fillId="7" borderId="12" xfId="0" applyNumberFormat="1" applyFont="1" applyFill="1" applyBorder="1" applyAlignment="1">
      <alignment horizontal="center"/>
    </xf>
    <xf numFmtId="167" fontId="59" fillId="7" borderId="13" xfId="0" applyNumberFormat="1" applyFont="1" applyFill="1" applyBorder="1" applyAlignment="1">
      <alignment horizontal="center"/>
    </xf>
    <xf numFmtId="167" fontId="58" fillId="7" borderId="12" xfId="0" applyNumberFormat="1" applyFont="1" applyFill="1" applyBorder="1" applyAlignment="1">
      <alignment horizontal="center"/>
    </xf>
    <xf numFmtId="167" fontId="58" fillId="7" borderId="19" xfId="0" applyNumberFormat="1" applyFont="1" applyFill="1" applyBorder="1" applyAlignment="1">
      <alignment horizontal="center"/>
    </xf>
    <xf numFmtId="167" fontId="58" fillId="7" borderId="20" xfId="0" applyNumberFormat="1" applyFont="1" applyFill="1" applyBorder="1" applyAlignment="1">
      <alignment horizontal="center"/>
    </xf>
    <xf numFmtId="167" fontId="58" fillId="7" borderId="21" xfId="0" applyNumberFormat="1" applyFont="1" applyFill="1" applyBorder="1" applyAlignment="1">
      <alignment horizontal="center"/>
    </xf>
    <xf numFmtId="0" fontId="36" fillId="7" borderId="12" xfId="0" applyFont="1" applyFill="1" applyBorder="1" applyAlignment="1">
      <alignment horizontal="center"/>
    </xf>
    <xf numFmtId="167" fontId="36" fillId="7" borderId="22" xfId="0" applyNumberFormat="1" applyFont="1" applyFill="1" applyBorder="1" applyAlignment="1">
      <alignment horizontal="center"/>
    </xf>
    <xf numFmtId="0" fontId="17" fillId="0" borderId="0" xfId="6" applyFont="1"/>
    <xf numFmtId="0" fontId="60" fillId="0" borderId="0" xfId="0" applyFont="1"/>
    <xf numFmtId="166" fontId="60" fillId="0" borderId="0" xfId="0" applyNumberFormat="1" applyFont="1"/>
    <xf numFmtId="166" fontId="61" fillId="0" borderId="0" xfId="0" applyNumberFormat="1" applyFont="1"/>
    <xf numFmtId="166" fontId="62" fillId="0" borderId="0" xfId="2" applyNumberFormat="1" applyFont="1"/>
    <xf numFmtId="0" fontId="61" fillId="0" borderId="0" xfId="2" applyFont="1"/>
    <xf numFmtId="169" fontId="61" fillId="0" borderId="0" xfId="2" applyNumberFormat="1" applyFont="1"/>
    <xf numFmtId="166" fontId="61" fillId="0" borderId="0" xfId="2" applyNumberFormat="1" applyFont="1"/>
    <xf numFmtId="168" fontId="61" fillId="0" borderId="0" xfId="2" applyNumberFormat="1" applyFont="1" applyBorder="1"/>
    <xf numFmtId="166" fontId="61" fillId="0" borderId="0" xfId="2" applyNumberFormat="1" applyFont="1" applyAlignment="1">
      <alignment horizontal="right"/>
    </xf>
    <xf numFmtId="166" fontId="61" fillId="0" borderId="3" xfId="2" applyNumberFormat="1" applyFont="1" applyBorder="1" applyAlignment="1">
      <alignment horizontal="right"/>
    </xf>
    <xf numFmtId="166" fontId="62" fillId="0" borderId="0" xfId="2" applyNumberFormat="1" applyFont="1" applyAlignment="1">
      <alignment horizontal="right"/>
    </xf>
    <xf numFmtId="0" fontId="62" fillId="0" borderId="0" xfId="2" applyFont="1"/>
    <xf numFmtId="0" fontId="61" fillId="0" borderId="3" xfId="2" applyFont="1" applyBorder="1"/>
    <xf numFmtId="2" fontId="61" fillId="0" borderId="0" xfId="2" applyNumberFormat="1" applyFont="1"/>
    <xf numFmtId="169" fontId="12" fillId="0" borderId="0" xfId="2" applyNumberFormat="1" applyFont="1"/>
    <xf numFmtId="165" fontId="63" fillId="0" borderId="0" xfId="1" applyNumberFormat="1" applyFont="1">
      <alignment vertical="center"/>
    </xf>
    <xf numFmtId="165" fontId="63" fillId="0" borderId="0" xfId="1" applyNumberFormat="1" applyFont="1" applyFill="1">
      <alignment vertical="center"/>
    </xf>
    <xf numFmtId="165" fontId="60" fillId="0" borderId="0" xfId="0" applyNumberFormat="1" applyFont="1" applyAlignment="1">
      <alignment vertical="center"/>
    </xf>
    <xf numFmtId="0" fontId="60" fillId="0" borderId="0" xfId="0" applyFont="1" applyFill="1" applyAlignment="1">
      <alignment horizontal="center"/>
    </xf>
    <xf numFmtId="169" fontId="61" fillId="0" borderId="0" xfId="0" applyNumberFormat="1" applyFont="1"/>
    <xf numFmtId="11" fontId="4" fillId="0" borderId="0" xfId="2" applyNumberFormat="1" applyBorder="1"/>
    <xf numFmtId="0" fontId="8" fillId="0" borderId="0" xfId="2" applyFont="1" applyBorder="1"/>
    <xf numFmtId="0" fontId="5" fillId="0" borderId="0" xfId="2" applyFont="1" applyBorder="1"/>
    <xf numFmtId="11" fontId="4" fillId="0" borderId="0" xfId="2" applyNumberFormat="1" applyBorder="1" applyAlignment="1">
      <alignment horizontal="center" vertical="center" wrapText="1"/>
    </xf>
    <xf numFmtId="0" fontId="4" fillId="0" borderId="0" xfId="2" applyBorder="1" applyAlignment="1">
      <alignment horizontal="center" vertical="center" wrapText="1"/>
    </xf>
    <xf numFmtId="166" fontId="10" fillId="0" borderId="0" xfId="2" applyNumberFormat="1" applyFont="1" applyBorder="1"/>
    <xf numFmtId="170" fontId="10" fillId="0" borderId="0" xfId="2" applyNumberFormat="1" applyFont="1" applyBorder="1"/>
    <xf numFmtId="1" fontId="13" fillId="0" borderId="0" xfId="2" applyNumberFormat="1" applyFont="1" applyBorder="1"/>
    <xf numFmtId="170" fontId="55" fillId="6" borderId="15" xfId="0" applyNumberFormat="1" applyFont="1" applyFill="1" applyBorder="1" applyAlignment="1">
      <alignment horizontal="center"/>
    </xf>
    <xf numFmtId="0" fontId="64" fillId="7" borderId="0" xfId="0" applyFont="1" applyFill="1" applyAlignment="1">
      <alignment horizontal="left" vertical="center"/>
    </xf>
    <xf numFmtId="2" fontId="65" fillId="7" borderId="0" xfId="5" applyNumberFormat="1" applyFont="1" applyFill="1" applyBorder="1" applyAlignment="1">
      <alignment horizontal="center"/>
    </xf>
    <xf numFmtId="2" fontId="53" fillId="7" borderId="0" xfId="5" applyNumberFormat="1" applyFont="1" applyFill="1" applyBorder="1" applyAlignment="1">
      <alignment horizontal="center"/>
    </xf>
    <xf numFmtId="169" fontId="53" fillId="7" borderId="0" xfId="5" applyNumberFormat="1" applyFont="1" applyFill="1" applyBorder="1" applyAlignment="1">
      <alignment horizontal="center"/>
    </xf>
    <xf numFmtId="2" fontId="49" fillId="7" borderId="0" xfId="5" applyNumberFormat="1" applyFont="1" applyFill="1" applyBorder="1" applyAlignment="1">
      <alignment horizontal="center"/>
    </xf>
    <xf numFmtId="166" fontId="66" fillId="6" borderId="0" xfId="5" applyNumberFormat="1" applyFont="1" applyFill="1" applyBorder="1" applyAlignment="1">
      <alignment horizontal="center"/>
    </xf>
    <xf numFmtId="171" fontId="67" fillId="6" borderId="0" xfId="5" applyNumberFormat="1" applyFont="1" applyFill="1" applyBorder="1" applyAlignment="1">
      <alignment horizontal="center"/>
    </xf>
    <xf numFmtId="1" fontId="68" fillId="0" borderId="0" xfId="5" applyNumberFormat="1" applyFont="1" applyFill="1" applyBorder="1" applyAlignment="1">
      <alignment horizontal="left"/>
    </xf>
    <xf numFmtId="2" fontId="69" fillId="0" borderId="0" xfId="5" quotePrefix="1" applyNumberFormat="1" applyFont="1" applyFill="1" applyBorder="1" applyAlignment="1">
      <alignment horizontal="center"/>
    </xf>
    <xf numFmtId="2" fontId="15" fillId="0" borderId="6" xfId="2" applyNumberFormat="1" applyFont="1" applyBorder="1"/>
    <xf numFmtId="169" fontId="12" fillId="0" borderId="7" xfId="2" applyNumberFormat="1" applyFont="1" applyBorder="1"/>
    <xf numFmtId="169" fontId="23" fillId="6" borderId="0" xfId="0" applyNumberFormat="1" applyFont="1" applyFill="1"/>
    <xf numFmtId="2" fontId="34" fillId="7" borderId="11" xfId="0" applyNumberFormat="1" applyFont="1" applyFill="1" applyBorder="1" applyAlignment="1">
      <alignment horizontal="center"/>
    </xf>
    <xf numFmtId="167" fontId="56" fillId="0" borderId="0" xfId="6" applyNumberFormat="1" applyFont="1"/>
    <xf numFmtId="0" fontId="70" fillId="0" borderId="0" xfId="0" applyFont="1"/>
    <xf numFmtId="0" fontId="37" fillId="7" borderId="0" xfId="0" applyFont="1" applyFill="1" applyAlignment="1">
      <alignment horizontal="center" vertical="center"/>
    </xf>
  </cellXfs>
  <cellStyles count="7">
    <cellStyle name="Normal 5" xfId="4"/>
    <cellStyle name="Normal_CAS interpolation_Zong" xfId="3"/>
    <cellStyle name="Standaard" xfId="0" builtinId="0"/>
    <cellStyle name="Standaard 2" xfId="2"/>
    <cellStyle name="Standaard 3" xfId="6"/>
    <cellStyle name="Standaard 4" xfId="5"/>
    <cellStyle name="常规 2" xfId="1"/>
  </cellStyles>
  <dxfs count="0"/>
  <tableStyles count="0" defaultTableStyle="TableStyleMedium2" defaultPivotStyle="PivotStyleLight16"/>
  <colors>
    <mruColors>
      <color rgb="FF33CCFF"/>
      <color rgb="FF00FFCC"/>
      <color rgb="FF66FF66"/>
      <color rgb="FFFF9900"/>
      <color rgb="FFFF0000"/>
      <color rgb="FFFF66CC"/>
      <color rgb="FFFF00FF"/>
      <color rgb="FF9999FF"/>
      <color rgb="FFCCFF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tx>
            <c:v>test bin</c:v>
          </c:tx>
          <c:spPr>
            <a:ln w="25400">
              <a:noFill/>
            </a:ln>
          </c:spPr>
          <c:marker>
            <c:symbol val="diamond"/>
            <c:size val="6"/>
            <c:spPr>
              <a:ln>
                <a:noFill/>
              </a:ln>
            </c:spPr>
          </c:marker>
          <c:xVal>
            <c:numRef>
              <c:f>Calculator!$DU$44:$EC$44</c:f>
              <c:numCache>
                <c:formatCode>0.00</c:formatCode>
                <c:ptCount val="9"/>
                <c:pt idx="0">
                  <c:v>0.80808448135854638</c:v>
                </c:pt>
                <c:pt idx="1">
                  <c:v>0.25974888082215902</c:v>
                </c:pt>
                <c:pt idx="2">
                  <c:v>-0.41907613415212347</c:v>
                </c:pt>
                <c:pt idx="3">
                  <c:v>-0.8393884278244621</c:v>
                </c:pt>
                <c:pt idx="4">
                  <c:v>-0.77342782721602088</c:v>
                </c:pt>
                <c:pt idx="5">
                  <c:v>-0.26355523046837681</c:v>
                </c:pt>
                <c:pt idx="6">
                  <c:v>0.35252810393367345</c:v>
                </c:pt>
                <c:pt idx="7">
                  <c:v>0.84048652611770747</c:v>
                </c:pt>
                <c:pt idx="8">
                  <c:v>0.80808448135854671</c:v>
                </c:pt>
              </c:numCache>
            </c:numRef>
          </c:xVal>
          <c:yVal>
            <c:numRef>
              <c:f>Calculator!$DU$45:$EC$45</c:f>
              <c:numCache>
                <c:formatCode>0.00</c:formatCode>
                <c:ptCount val="9"/>
                <c:pt idx="0">
                  <c:v>0.37233328889980477</c:v>
                </c:pt>
                <c:pt idx="1">
                  <c:v>0.95955379123729123</c:v>
                </c:pt>
                <c:pt idx="2">
                  <c:v>0.95924738287122024</c:v>
                </c:pt>
                <c:pt idx="3">
                  <c:v>0.39308490779538391</c:v>
                </c:pt>
                <c:pt idx="4">
                  <c:v>-0.4580659319507645</c:v>
                </c:pt>
                <c:pt idx="5">
                  <c:v>-1.016302757345724</c:v>
                </c:pt>
                <c:pt idx="6">
                  <c:v>-1.0216389511300357</c:v>
                </c:pt>
                <c:pt idx="7">
                  <c:v>-0.49885725346919801</c:v>
                </c:pt>
                <c:pt idx="8">
                  <c:v>0.3723332888998041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9DB-4B7E-B27A-3AD2FFB842D2}"/>
            </c:ext>
          </c:extLst>
        </c:ser>
        <c:ser>
          <c:idx val="2"/>
          <c:order val="2"/>
          <c:tx>
            <c:v>circ = ref gamut</c:v>
          </c:tx>
          <c:spPr>
            <a:ln w="19050" cmpd="sng">
              <a:solidFill>
                <a:schemeClr val="bg1">
                  <a:lumMod val="50000"/>
                </a:schemeClr>
              </a:solidFill>
              <a:prstDash val="sysDash"/>
            </a:ln>
            <a:effectLst/>
          </c:spPr>
          <c:marker>
            <c:symbol val="none"/>
          </c:marker>
          <c:dPt>
            <c:idx val="6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08CA-4FD8-A532-4F29B73521CA}"/>
              </c:ext>
            </c:extLst>
          </c:dPt>
          <c:xVal>
            <c:numRef>
              <c:f>Calculator!$DU$39:$GN$39</c:f>
              <c:numCache>
                <c:formatCode>General</c:formatCode>
                <c:ptCount val="72"/>
                <c:pt idx="0">
                  <c:v>1</c:v>
                </c:pt>
                <c:pt idx="1">
                  <c:v>0.99619469809174555</c:v>
                </c:pt>
                <c:pt idx="2">
                  <c:v>0.98480775301220802</c:v>
                </c:pt>
                <c:pt idx="3">
                  <c:v>0.96592582628906831</c:v>
                </c:pt>
                <c:pt idx="4">
                  <c:v>0.93969262078590843</c:v>
                </c:pt>
                <c:pt idx="5">
                  <c:v>0.90630778703664994</c:v>
                </c:pt>
                <c:pt idx="6">
                  <c:v>0.86602540378443871</c:v>
                </c:pt>
                <c:pt idx="7">
                  <c:v>0.8191520442889918</c:v>
                </c:pt>
                <c:pt idx="8">
                  <c:v>0.76604444311897801</c:v>
                </c:pt>
                <c:pt idx="9">
                  <c:v>0.70710678118654757</c:v>
                </c:pt>
                <c:pt idx="10">
                  <c:v>0.64278760968653936</c:v>
                </c:pt>
                <c:pt idx="11">
                  <c:v>0.57357643635104616</c:v>
                </c:pt>
                <c:pt idx="12">
                  <c:v>0.50000000000000011</c:v>
                </c:pt>
                <c:pt idx="13">
                  <c:v>0.42261826174069944</c:v>
                </c:pt>
                <c:pt idx="14">
                  <c:v>0.34202014332566882</c:v>
                </c:pt>
                <c:pt idx="15">
                  <c:v>0.25881904510252074</c:v>
                </c:pt>
                <c:pt idx="16">
                  <c:v>0.17364817766693041</c:v>
                </c:pt>
                <c:pt idx="17">
                  <c:v>8.7155742747658138E-2</c:v>
                </c:pt>
                <c:pt idx="18">
                  <c:v>6.1257422745431001E-17</c:v>
                </c:pt>
                <c:pt idx="19">
                  <c:v>-8.7155742747658235E-2</c:v>
                </c:pt>
                <c:pt idx="20">
                  <c:v>-0.1736481776669303</c:v>
                </c:pt>
                <c:pt idx="21">
                  <c:v>-0.25881904510252085</c:v>
                </c:pt>
                <c:pt idx="22">
                  <c:v>-0.34202014332566871</c:v>
                </c:pt>
                <c:pt idx="23">
                  <c:v>-0.42261826174069933</c:v>
                </c:pt>
                <c:pt idx="24">
                  <c:v>-0.49999999999999978</c:v>
                </c:pt>
                <c:pt idx="25">
                  <c:v>-0.57357643635104583</c:v>
                </c:pt>
                <c:pt idx="26">
                  <c:v>-0.64278760968653936</c:v>
                </c:pt>
                <c:pt idx="27">
                  <c:v>-0.70710678118654746</c:v>
                </c:pt>
                <c:pt idx="28">
                  <c:v>-0.7660444431189779</c:v>
                </c:pt>
                <c:pt idx="29">
                  <c:v>-0.81915204428899158</c:v>
                </c:pt>
                <c:pt idx="30">
                  <c:v>-0.86602540378443871</c:v>
                </c:pt>
                <c:pt idx="31">
                  <c:v>-0.90630778703664994</c:v>
                </c:pt>
                <c:pt idx="32">
                  <c:v>-0.93969262078590832</c:v>
                </c:pt>
                <c:pt idx="33">
                  <c:v>-0.9659258262890682</c:v>
                </c:pt>
                <c:pt idx="34">
                  <c:v>-0.98480775301220802</c:v>
                </c:pt>
                <c:pt idx="35">
                  <c:v>-0.99619469809174555</c:v>
                </c:pt>
                <c:pt idx="36">
                  <c:v>-1</c:v>
                </c:pt>
                <c:pt idx="37">
                  <c:v>-0.99619469809174555</c:v>
                </c:pt>
                <c:pt idx="38">
                  <c:v>-0.98480775301220802</c:v>
                </c:pt>
                <c:pt idx="39">
                  <c:v>-0.96592582628906842</c:v>
                </c:pt>
                <c:pt idx="40">
                  <c:v>-0.93969262078590843</c:v>
                </c:pt>
                <c:pt idx="41">
                  <c:v>-0.90630778703665005</c:v>
                </c:pt>
                <c:pt idx="42">
                  <c:v>-0.8660254037844386</c:v>
                </c:pt>
                <c:pt idx="43">
                  <c:v>-0.81915204428899202</c:v>
                </c:pt>
                <c:pt idx="44">
                  <c:v>-0.76604444311897801</c:v>
                </c:pt>
                <c:pt idx="45">
                  <c:v>-0.70710678118654768</c:v>
                </c:pt>
                <c:pt idx="46">
                  <c:v>-0.64278760968653947</c:v>
                </c:pt>
                <c:pt idx="47">
                  <c:v>-0.57357643635104638</c:v>
                </c:pt>
                <c:pt idx="48">
                  <c:v>-0.50000000000000044</c:v>
                </c:pt>
                <c:pt idx="49">
                  <c:v>-0.42261826174069994</c:v>
                </c:pt>
                <c:pt idx="50">
                  <c:v>-0.34202014332566938</c:v>
                </c:pt>
                <c:pt idx="51">
                  <c:v>-0.25881904510252063</c:v>
                </c:pt>
                <c:pt idx="52">
                  <c:v>-0.17364817766693033</c:v>
                </c:pt>
                <c:pt idx="53">
                  <c:v>-8.7155742747658249E-2</c:v>
                </c:pt>
                <c:pt idx="54">
                  <c:v>-1.83772268236293E-16</c:v>
                </c:pt>
                <c:pt idx="55">
                  <c:v>8.7155742747657888E-2</c:v>
                </c:pt>
                <c:pt idx="56">
                  <c:v>0.17364817766692997</c:v>
                </c:pt>
                <c:pt idx="57">
                  <c:v>0.25881904510252113</c:v>
                </c:pt>
                <c:pt idx="58">
                  <c:v>0.34202014332566816</c:v>
                </c:pt>
                <c:pt idx="59">
                  <c:v>0.42261826174069961</c:v>
                </c:pt>
                <c:pt idx="60">
                  <c:v>0.50000000000000011</c:v>
                </c:pt>
                <c:pt idx="61">
                  <c:v>0.57357643635104605</c:v>
                </c:pt>
                <c:pt idx="62">
                  <c:v>0.64278760968653925</c:v>
                </c:pt>
                <c:pt idx="63">
                  <c:v>0.70710678118654735</c:v>
                </c:pt>
                <c:pt idx="64">
                  <c:v>0.76604444311897779</c:v>
                </c:pt>
                <c:pt idx="65">
                  <c:v>0.81915204428899158</c:v>
                </c:pt>
                <c:pt idx="66">
                  <c:v>0.86602540378443837</c:v>
                </c:pt>
                <c:pt idx="67">
                  <c:v>0.90630778703664971</c:v>
                </c:pt>
                <c:pt idx="68">
                  <c:v>0.93969262078590843</c:v>
                </c:pt>
                <c:pt idx="69">
                  <c:v>0.96592582628906831</c:v>
                </c:pt>
                <c:pt idx="70">
                  <c:v>0.98480775301220791</c:v>
                </c:pt>
                <c:pt idx="71">
                  <c:v>0.99619469809174555</c:v>
                </c:pt>
              </c:numCache>
            </c:numRef>
          </c:xVal>
          <c:yVal>
            <c:numRef>
              <c:f>Calculator!$DU$40:$GN$40</c:f>
              <c:numCache>
                <c:formatCode>General</c:formatCode>
                <c:ptCount val="72"/>
                <c:pt idx="0">
                  <c:v>0</c:v>
                </c:pt>
                <c:pt idx="1">
                  <c:v>8.7155742747658166E-2</c:v>
                </c:pt>
                <c:pt idx="2">
                  <c:v>0.17364817766693033</c:v>
                </c:pt>
                <c:pt idx="3">
                  <c:v>0.25881904510252074</c:v>
                </c:pt>
                <c:pt idx="4">
                  <c:v>0.34202014332566871</c:v>
                </c:pt>
                <c:pt idx="5">
                  <c:v>0.42261826174069944</c:v>
                </c:pt>
                <c:pt idx="6">
                  <c:v>0.49999999999999994</c:v>
                </c:pt>
                <c:pt idx="7">
                  <c:v>0.57357643635104605</c:v>
                </c:pt>
                <c:pt idx="8">
                  <c:v>0.64278760968653925</c:v>
                </c:pt>
                <c:pt idx="9">
                  <c:v>0.70710678118654746</c:v>
                </c:pt>
                <c:pt idx="10">
                  <c:v>0.76604444311897801</c:v>
                </c:pt>
                <c:pt idx="11">
                  <c:v>0.8191520442889918</c:v>
                </c:pt>
                <c:pt idx="12">
                  <c:v>0.8660254037844386</c:v>
                </c:pt>
                <c:pt idx="13">
                  <c:v>0.90630778703664994</c:v>
                </c:pt>
                <c:pt idx="14">
                  <c:v>0.93969262078590832</c:v>
                </c:pt>
                <c:pt idx="15">
                  <c:v>0.96592582628906831</c:v>
                </c:pt>
                <c:pt idx="16">
                  <c:v>0.98480775301220802</c:v>
                </c:pt>
                <c:pt idx="17">
                  <c:v>0.99619469809174555</c:v>
                </c:pt>
                <c:pt idx="18">
                  <c:v>1</c:v>
                </c:pt>
                <c:pt idx="19">
                  <c:v>0.99619469809174555</c:v>
                </c:pt>
                <c:pt idx="20">
                  <c:v>0.98480775301220802</c:v>
                </c:pt>
                <c:pt idx="21">
                  <c:v>0.96592582628906831</c:v>
                </c:pt>
                <c:pt idx="22">
                  <c:v>0.93969262078590843</c:v>
                </c:pt>
                <c:pt idx="23">
                  <c:v>0.90630778703665005</c:v>
                </c:pt>
                <c:pt idx="24">
                  <c:v>0.86602540378443871</c:v>
                </c:pt>
                <c:pt idx="25">
                  <c:v>0.81915204428899202</c:v>
                </c:pt>
                <c:pt idx="26">
                  <c:v>0.76604444311897801</c:v>
                </c:pt>
                <c:pt idx="27">
                  <c:v>0.70710678118654757</c:v>
                </c:pt>
                <c:pt idx="28">
                  <c:v>0.64278760968653947</c:v>
                </c:pt>
                <c:pt idx="29">
                  <c:v>0.57357643635104638</c:v>
                </c:pt>
                <c:pt idx="30">
                  <c:v>0.49999999999999994</c:v>
                </c:pt>
                <c:pt idx="31">
                  <c:v>0.4226182617406995</c:v>
                </c:pt>
                <c:pt idx="32">
                  <c:v>0.34202014332566888</c:v>
                </c:pt>
                <c:pt idx="33">
                  <c:v>0.25881904510252102</c:v>
                </c:pt>
                <c:pt idx="34">
                  <c:v>0.17364817766693028</c:v>
                </c:pt>
                <c:pt idx="35">
                  <c:v>8.7155742747658638E-2</c:v>
                </c:pt>
                <c:pt idx="36">
                  <c:v>1.22514845490862E-16</c:v>
                </c:pt>
                <c:pt idx="37">
                  <c:v>-8.7155742747657944E-2</c:v>
                </c:pt>
                <c:pt idx="38">
                  <c:v>-0.17364817766693047</c:v>
                </c:pt>
                <c:pt idx="39">
                  <c:v>-0.25881904510252035</c:v>
                </c:pt>
                <c:pt idx="40">
                  <c:v>-0.34202014332566866</c:v>
                </c:pt>
                <c:pt idx="41">
                  <c:v>-0.42261826174069927</c:v>
                </c:pt>
                <c:pt idx="42">
                  <c:v>-0.50000000000000011</c:v>
                </c:pt>
                <c:pt idx="43">
                  <c:v>-0.57357643635104583</c:v>
                </c:pt>
                <c:pt idx="44">
                  <c:v>-0.64278760968653925</c:v>
                </c:pt>
                <c:pt idx="45">
                  <c:v>-0.70710678118654746</c:v>
                </c:pt>
                <c:pt idx="46">
                  <c:v>-0.7660444431189779</c:v>
                </c:pt>
                <c:pt idx="47">
                  <c:v>-0.81915204428899158</c:v>
                </c:pt>
                <c:pt idx="48">
                  <c:v>-0.86602540378443837</c:v>
                </c:pt>
                <c:pt idx="49">
                  <c:v>-0.90630778703664971</c:v>
                </c:pt>
                <c:pt idx="50">
                  <c:v>-0.93969262078590821</c:v>
                </c:pt>
                <c:pt idx="51">
                  <c:v>-0.96592582628906831</c:v>
                </c:pt>
                <c:pt idx="52">
                  <c:v>-0.98480775301220802</c:v>
                </c:pt>
                <c:pt idx="53">
                  <c:v>-0.99619469809174555</c:v>
                </c:pt>
                <c:pt idx="54">
                  <c:v>-1</c:v>
                </c:pt>
                <c:pt idx="55">
                  <c:v>-0.99619469809174555</c:v>
                </c:pt>
                <c:pt idx="56">
                  <c:v>-0.98480775301220813</c:v>
                </c:pt>
                <c:pt idx="57">
                  <c:v>-0.9659258262890682</c:v>
                </c:pt>
                <c:pt idx="58">
                  <c:v>-0.93969262078590854</c:v>
                </c:pt>
                <c:pt idx="59">
                  <c:v>-0.90630778703664994</c:v>
                </c:pt>
                <c:pt idx="60">
                  <c:v>-0.8660254037844386</c:v>
                </c:pt>
                <c:pt idx="61">
                  <c:v>-0.8191520442889918</c:v>
                </c:pt>
                <c:pt idx="62">
                  <c:v>-0.76604444311897812</c:v>
                </c:pt>
                <c:pt idx="63">
                  <c:v>-0.70710678118654768</c:v>
                </c:pt>
                <c:pt idx="64">
                  <c:v>-0.64278760968653958</c:v>
                </c:pt>
                <c:pt idx="65">
                  <c:v>-0.57357643635104649</c:v>
                </c:pt>
                <c:pt idx="66">
                  <c:v>-0.50000000000000044</c:v>
                </c:pt>
                <c:pt idx="67">
                  <c:v>-0.4226182617407</c:v>
                </c:pt>
                <c:pt idx="68">
                  <c:v>-0.3420201433256686</c:v>
                </c:pt>
                <c:pt idx="69">
                  <c:v>-0.25881904510252068</c:v>
                </c:pt>
                <c:pt idx="70">
                  <c:v>-0.17364817766693127</c:v>
                </c:pt>
                <c:pt idx="71">
                  <c:v>-8.7155742747658319E-2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8CA-4FD8-A532-4F29B73521CA}"/>
            </c:ext>
          </c:extLst>
        </c:ser>
        <c:ser>
          <c:idx val="3"/>
          <c:order val="3"/>
          <c:tx>
            <c:v>bin1</c:v>
          </c:tx>
          <c:spPr>
            <a:ln w="22225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(Calculator!$DU$44,Calculator!$DU$42)</c:f>
              <c:numCache>
                <c:formatCode>0.00</c:formatCode>
                <c:ptCount val="2"/>
                <c:pt idx="0">
                  <c:v>0.80808448135854638</c:v>
                </c:pt>
                <c:pt idx="1">
                  <c:v>0.92387953251128674</c:v>
                </c:pt>
              </c:numCache>
            </c:numRef>
          </c:xVal>
          <c:yVal>
            <c:numRef>
              <c:f>(Calculator!$DU$45,Calculator!$DU$43)</c:f>
              <c:numCache>
                <c:formatCode>0.00</c:formatCode>
                <c:ptCount val="2"/>
                <c:pt idx="0">
                  <c:v>0.37233328889980477</c:v>
                </c:pt>
                <c:pt idx="1">
                  <c:v>0.38268343236508978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08CA-4FD8-A532-4F29B73521CA}"/>
            </c:ext>
          </c:extLst>
        </c:ser>
        <c:ser>
          <c:idx val="4"/>
          <c:order val="4"/>
          <c:tx>
            <c:v>bin2</c:v>
          </c:tx>
          <c:spPr>
            <a:ln w="25400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(Calculator!$DV$44,Calculator!$DV$42)</c:f>
              <c:numCache>
                <c:formatCode>0.00</c:formatCode>
                <c:ptCount val="2"/>
                <c:pt idx="0">
                  <c:v>0.25974888082215902</c:v>
                </c:pt>
                <c:pt idx="1">
                  <c:v>0.38268343236508984</c:v>
                </c:pt>
              </c:numCache>
            </c:numRef>
          </c:xVal>
          <c:yVal>
            <c:numRef>
              <c:f>(Calculator!$DV$45,Calculator!$DV$43)</c:f>
              <c:numCache>
                <c:formatCode>0.00</c:formatCode>
                <c:ptCount val="2"/>
                <c:pt idx="0">
                  <c:v>0.95955379123729123</c:v>
                </c:pt>
                <c:pt idx="1">
                  <c:v>0.92387953251128674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08CA-4FD8-A532-4F29B73521CA}"/>
            </c:ext>
          </c:extLst>
        </c:ser>
        <c:ser>
          <c:idx val="5"/>
          <c:order val="5"/>
          <c:tx>
            <c:v>bin3</c:v>
          </c:tx>
          <c:spPr>
            <a:ln w="25400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(Calculator!$DW$44,Calculator!$DW$42)</c:f>
              <c:numCache>
                <c:formatCode>0.00</c:formatCode>
                <c:ptCount val="2"/>
                <c:pt idx="0">
                  <c:v>-0.41907613415212347</c:v>
                </c:pt>
                <c:pt idx="1">
                  <c:v>-0.38268343236508973</c:v>
                </c:pt>
              </c:numCache>
            </c:numRef>
          </c:xVal>
          <c:yVal>
            <c:numRef>
              <c:f>(Calculator!$DW$45,Calculator!$DW$43)</c:f>
              <c:numCache>
                <c:formatCode>0.00</c:formatCode>
                <c:ptCount val="2"/>
                <c:pt idx="0">
                  <c:v>0.95924738287122024</c:v>
                </c:pt>
                <c:pt idx="1">
                  <c:v>0.92387953251128674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08CA-4FD8-A532-4F29B73521CA}"/>
            </c:ext>
          </c:extLst>
        </c:ser>
        <c:ser>
          <c:idx val="6"/>
          <c:order val="6"/>
          <c:tx>
            <c:v>bin4</c:v>
          </c:tx>
          <c:spPr>
            <a:ln w="28575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(Calculator!$DX$44,Calculator!$DX$42)</c:f>
              <c:numCache>
                <c:formatCode>0.00</c:formatCode>
                <c:ptCount val="2"/>
                <c:pt idx="0">
                  <c:v>-0.8393884278244621</c:v>
                </c:pt>
                <c:pt idx="1">
                  <c:v>-0.92387953251128674</c:v>
                </c:pt>
              </c:numCache>
            </c:numRef>
          </c:xVal>
          <c:yVal>
            <c:numRef>
              <c:f>(Calculator!$DX$45,Calculator!$DX$43)</c:f>
              <c:numCache>
                <c:formatCode>0.00</c:formatCode>
                <c:ptCount val="2"/>
                <c:pt idx="0">
                  <c:v>0.39308490779538391</c:v>
                </c:pt>
                <c:pt idx="1">
                  <c:v>0.38268343236508989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8CA-4FD8-A532-4F29B73521CA}"/>
            </c:ext>
          </c:extLst>
        </c:ser>
        <c:ser>
          <c:idx val="7"/>
          <c:order val="7"/>
          <c:tx>
            <c:v>bin5</c:v>
          </c:tx>
          <c:spPr>
            <a:ln w="28575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(Calculator!$DY$44,Calculator!$DY$42)</c:f>
              <c:numCache>
                <c:formatCode>0.00</c:formatCode>
                <c:ptCount val="2"/>
                <c:pt idx="0">
                  <c:v>-0.77342782721602088</c:v>
                </c:pt>
                <c:pt idx="1">
                  <c:v>-0.92387953251128696</c:v>
                </c:pt>
              </c:numCache>
            </c:numRef>
          </c:xVal>
          <c:yVal>
            <c:numRef>
              <c:f>(Calculator!$DY$45,Calculator!$DY$43)</c:f>
              <c:numCache>
                <c:formatCode>0.00</c:formatCode>
                <c:ptCount val="2"/>
                <c:pt idx="0">
                  <c:v>-0.4580659319507645</c:v>
                </c:pt>
                <c:pt idx="1">
                  <c:v>-0.38268343236508923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08CA-4FD8-A532-4F29B73521CA}"/>
            </c:ext>
          </c:extLst>
        </c:ser>
        <c:ser>
          <c:idx val="8"/>
          <c:order val="8"/>
          <c:tx>
            <c:v>bin6</c:v>
          </c:tx>
          <c:spPr>
            <a:ln w="28575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(Calculator!$DZ$44,Calculator!$DZ$42)</c:f>
              <c:numCache>
                <c:formatCode>0.00</c:formatCode>
                <c:ptCount val="2"/>
                <c:pt idx="0">
                  <c:v>-0.26355523046837681</c:v>
                </c:pt>
                <c:pt idx="1">
                  <c:v>-0.3826834323650895</c:v>
                </c:pt>
              </c:numCache>
            </c:numRef>
          </c:xVal>
          <c:yVal>
            <c:numRef>
              <c:f>(Calculator!$DZ$45,Calculator!$DZ$43)</c:f>
              <c:numCache>
                <c:formatCode>0.00</c:formatCode>
                <c:ptCount val="2"/>
                <c:pt idx="0">
                  <c:v>-1.016302757345724</c:v>
                </c:pt>
                <c:pt idx="1">
                  <c:v>-0.92387953251128685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08CA-4FD8-A532-4F29B73521CA}"/>
            </c:ext>
          </c:extLst>
        </c:ser>
        <c:ser>
          <c:idx val="9"/>
          <c:order val="9"/>
          <c:tx>
            <c:v>bin7</c:v>
          </c:tx>
          <c:spPr>
            <a:ln w="28575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(Calculator!$EA$44,Calculator!$EA$42)</c:f>
              <c:numCache>
                <c:formatCode>0.00</c:formatCode>
                <c:ptCount val="2"/>
                <c:pt idx="0">
                  <c:v>0.35252810393367345</c:v>
                </c:pt>
                <c:pt idx="1">
                  <c:v>0.38268343236509</c:v>
                </c:pt>
              </c:numCache>
            </c:numRef>
          </c:xVal>
          <c:yVal>
            <c:numRef>
              <c:f>(Calculator!$EA$45,Calculator!$EA$43)</c:f>
              <c:numCache>
                <c:formatCode>0.00</c:formatCode>
                <c:ptCount val="2"/>
                <c:pt idx="0">
                  <c:v>-1.0216389511300357</c:v>
                </c:pt>
                <c:pt idx="1">
                  <c:v>-0.92387953251128663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08CA-4FD8-A532-4F29B73521CA}"/>
            </c:ext>
          </c:extLst>
        </c:ser>
        <c:ser>
          <c:idx val="10"/>
          <c:order val="10"/>
          <c:tx>
            <c:v>bin8</c:v>
          </c:tx>
          <c:spPr>
            <a:ln w="28575">
              <a:solidFill>
                <a:schemeClr val="tx1"/>
              </a:solidFill>
              <a:headEnd type="triangle"/>
              <a:tailEnd type="none" w="sm" len="sm"/>
            </a:ln>
          </c:spPr>
          <c:marker>
            <c:symbol val="none"/>
          </c:marker>
          <c:xVal>
            <c:numRef>
              <c:f>(Calculator!$EB$44,Calculator!$EB$42)</c:f>
              <c:numCache>
                <c:formatCode>0.00</c:formatCode>
                <c:ptCount val="2"/>
                <c:pt idx="0">
                  <c:v>0.84048652611770747</c:v>
                </c:pt>
                <c:pt idx="1">
                  <c:v>0.92387953251128685</c:v>
                </c:pt>
              </c:numCache>
            </c:numRef>
          </c:xVal>
          <c:yVal>
            <c:numRef>
              <c:f>(Calculator!$EB$45,Calculator!$EB$43)</c:f>
              <c:numCache>
                <c:formatCode>0.00</c:formatCode>
                <c:ptCount val="2"/>
                <c:pt idx="0">
                  <c:v>-0.49885725346919801</c:v>
                </c:pt>
                <c:pt idx="1">
                  <c:v>-0.38268343236508956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08CA-4FD8-A532-4F29B7352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57696"/>
        <c:axId val="39236318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ref bin</c:v>
                </c:tx>
                <c:spPr>
                  <a:ln w="25400">
                    <a:noFill/>
                    <a:prstDash val="sysDash"/>
                  </a:ln>
                </c:spPr>
                <c:marker>
                  <c:symbol val="circle"/>
                  <c:size val="3"/>
                  <c:spPr>
                    <a:solidFill>
                      <a:schemeClr val="tx1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Calculator!$DU$43:$EC$43</c15:sqref>
                        </c15:formulaRef>
                      </c:ext>
                    </c:extLst>
                    <c:numCache>
                      <c:formatCode>0.00</c:formatCode>
                      <c:ptCount val="9"/>
                      <c:pt idx="0">
                        <c:v>0.38268343236508978</c:v>
                      </c:pt>
                      <c:pt idx="1">
                        <c:v>0.92387953251128674</c:v>
                      </c:pt>
                      <c:pt idx="2">
                        <c:v>0.92387953251128674</c:v>
                      </c:pt>
                      <c:pt idx="3">
                        <c:v>0.38268343236508989</c:v>
                      </c:pt>
                      <c:pt idx="4">
                        <c:v>-0.38268343236508923</c:v>
                      </c:pt>
                      <c:pt idx="5">
                        <c:v>-0.92387953251128685</c:v>
                      </c:pt>
                      <c:pt idx="6">
                        <c:v>-0.92387953251128663</c:v>
                      </c:pt>
                      <c:pt idx="7">
                        <c:v>-0.38268343236508956</c:v>
                      </c:pt>
                      <c:pt idx="8">
                        <c:v>0.38268343236508912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Calculator!$DU$19:$EC$19</c15:sqref>
                        </c15:formulaRef>
                      </c:ext>
                    </c:extLst>
                    <c:numCache>
                      <c:formatCode>0.00</c:formatCode>
                      <c:ptCount val="9"/>
                      <c:pt idx="0">
                        <c:v>0.37066416132242669</c:v>
                      </c:pt>
                      <c:pt idx="1">
                        <c:v>0.9196554998180182</c:v>
                      </c:pt>
                      <c:pt idx="2">
                        <c:v>0.94781878378518569</c:v>
                      </c:pt>
                      <c:pt idx="3">
                        <c:v>0.22444179228211694</c:v>
                      </c:pt>
                      <c:pt idx="4">
                        <c:v>-0.48599495536699172</c:v>
                      </c:pt>
                      <c:pt idx="5">
                        <c:v>-0.90946382060706299</c:v>
                      </c:pt>
                      <c:pt idx="6">
                        <c:v>-0.90626242672276935</c:v>
                      </c:pt>
                      <c:pt idx="7">
                        <c:v>-0.76746955688806162</c:v>
                      </c:pt>
                      <c:pt idx="8">
                        <c:v>0.37066416132242669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D9DB-4B7E-B27A-3AD2FFB842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all 99</c:v>
                </c:tx>
                <c:spPr>
                  <a:ln>
                    <a:noFill/>
                  </a:ln>
                </c:spPr>
                <c:marker>
                  <c:symbol val="circle"/>
                  <c:size val="3"/>
                  <c:spPr>
                    <a:solidFill>
                      <a:srgbClr val="C00000"/>
                    </a:solidFill>
                    <a:ln>
                      <a:noFill/>
                    </a:ln>
                  </c:spPr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Calculator!$EH$20:$IB$20</c15:sqref>
                        </c15:formulaRef>
                      </c:ext>
                    </c:extLst>
                    <c:numCache>
                      <c:formatCode>General</c:formatCode>
                      <c:ptCount val="99"/>
                      <c:pt idx="0">
                        <c:v>-0.96410868536000327</c:v>
                      </c:pt>
                      <c:pt idx="1">
                        <c:v>-0.96039273497709132</c:v>
                      </c:pt>
                      <c:pt idx="2">
                        <c:v>-0.98422540081039811</c:v>
                      </c:pt>
                      <c:pt idx="3">
                        <c:v>-1.0105759321023025</c:v>
                      </c:pt>
                      <c:pt idx="4">
                        <c:v>-1.009866655750614</c:v>
                      </c:pt>
                      <c:pt idx="5">
                        <c:v>-1.0322941926397595</c:v>
                      </c:pt>
                      <c:pt idx="6">
                        <c:v>-0.97710183288644059</c:v>
                      </c:pt>
                      <c:pt idx="7">
                        <c:v>-1.0064401893356201</c:v>
                      </c:pt>
                      <c:pt idx="8">
                        <c:v>-0.76601352350982688</c:v>
                      </c:pt>
                      <c:pt idx="9">
                        <c:v>-0.9729979016049084</c:v>
                      </c:pt>
                      <c:pt idx="10">
                        <c:v>-0.99344141695185439</c:v>
                      </c:pt>
                      <c:pt idx="11">
                        <c:v>-0.98639848990440238</c:v>
                      </c:pt>
                      <c:pt idx="12">
                        <c:v>-0.97578840324135985</c:v>
                      </c:pt>
                      <c:pt idx="13">
                        <c:v>-0.9927787397061909</c:v>
                      </c:pt>
                      <c:pt idx="14">
                        <c:v>-0.13649638597775612</c:v>
                      </c:pt>
                      <c:pt idx="15">
                        <c:v>-0.21074136764873241</c:v>
                      </c:pt>
                      <c:pt idx="16">
                        <c:v>-0.20575790693077903</c:v>
                      </c:pt>
                      <c:pt idx="17">
                        <c:v>-0.16229822781973771</c:v>
                      </c:pt>
                      <c:pt idx="18">
                        <c:v>-0.17164412069815629</c:v>
                      </c:pt>
                      <c:pt idx="19">
                        <c:v>-0.17119193928077525</c:v>
                      </c:pt>
                      <c:pt idx="20">
                        <c:v>-0.18065481317818308</c:v>
                      </c:pt>
                      <c:pt idx="21">
                        <c:v>-0.16850021072716478</c:v>
                      </c:pt>
                      <c:pt idx="22">
                        <c:v>-0.15849720586658711</c:v>
                      </c:pt>
                      <c:pt idx="23">
                        <c:v>-0.16922989352668288</c:v>
                      </c:pt>
                      <c:pt idx="24">
                        <c:v>-0.17716992065632695</c:v>
                      </c:pt>
                      <c:pt idx="25">
                        <c:v>-0.15720554542202142</c:v>
                      </c:pt>
                      <c:pt idx="26">
                        <c:v>-0.10716157685119151</c:v>
                      </c:pt>
                      <c:pt idx="27">
                        <c:v>-0.15081485373310471</c:v>
                      </c:pt>
                      <c:pt idx="28">
                        <c:v>-0.13146866040813998</c:v>
                      </c:pt>
                      <c:pt idx="29">
                        <c:v>-8.8026085811811039E-2</c:v>
                      </c:pt>
                      <c:pt idx="30">
                        <c:v>0.75218897195846013</c:v>
                      </c:pt>
                      <c:pt idx="31">
                        <c:v>0.71772180837644495</c:v>
                      </c:pt>
                      <c:pt idx="32">
                        <c:v>0.76977936742673347</c:v>
                      </c:pt>
                      <c:pt idx="33">
                        <c:v>0.73998683504537965</c:v>
                      </c:pt>
                      <c:pt idx="34">
                        <c:v>0.74485454766405101</c:v>
                      </c:pt>
                      <c:pt idx="35">
                        <c:v>0.89131076594076741</c:v>
                      </c:pt>
                      <c:pt idx="36">
                        <c:v>0.72386125113214139</c:v>
                      </c:pt>
                      <c:pt idx="37">
                        <c:v>0.8315264642303517</c:v>
                      </c:pt>
                      <c:pt idx="38">
                        <c:v>0.83163117307314949</c:v>
                      </c:pt>
                      <c:pt idx="39">
                        <c:v>0.81112172223397694</c:v>
                      </c:pt>
                      <c:pt idx="40">
                        <c:v>0.82516722404306186</c:v>
                      </c:pt>
                      <c:pt idx="41">
                        <c:v>0.79198501428951851</c:v>
                      </c:pt>
                      <c:pt idx="42">
                        <c:v>0.82611336120685797</c:v>
                      </c:pt>
                      <c:pt idx="43">
                        <c:v>0.7919722932446519</c:v>
                      </c:pt>
                      <c:pt idx="44">
                        <c:v>0.84343415001088207</c:v>
                      </c:pt>
                      <c:pt idx="45">
                        <c:v>0.87688752711041096</c:v>
                      </c:pt>
                      <c:pt idx="46">
                        <c:v>0.84609425219212853</c:v>
                      </c:pt>
                      <c:pt idx="47">
                        <c:v>0.99855660013837788</c:v>
                      </c:pt>
                      <c:pt idx="48">
                        <c:v>0.97189161194936169</c:v>
                      </c:pt>
                      <c:pt idx="49">
                        <c:v>0.98350500357581161</c:v>
                      </c:pt>
                      <c:pt idx="50">
                        <c:v>0.99792261460484621</c:v>
                      </c:pt>
                      <c:pt idx="51">
                        <c:v>0.98265781051174683</c:v>
                      </c:pt>
                      <c:pt idx="52">
                        <c:v>0.98374536182075756</c:v>
                      </c:pt>
                      <c:pt idx="53">
                        <c:v>1.007343141496331</c:v>
                      </c:pt>
                      <c:pt idx="54">
                        <c:v>1.0135474252198113</c:v>
                      </c:pt>
                      <c:pt idx="55">
                        <c:v>1.0028023952513296</c:v>
                      </c:pt>
                      <c:pt idx="56">
                        <c:v>1.0019528362128587</c:v>
                      </c:pt>
                      <c:pt idx="57">
                        <c:v>0.21852193147778515</c:v>
                      </c:pt>
                      <c:pt idx="58">
                        <c:v>0.23587825106927465</c:v>
                      </c:pt>
                      <c:pt idx="59">
                        <c:v>0.27989665043289746</c:v>
                      </c:pt>
                      <c:pt idx="60">
                        <c:v>0.25085004202420674</c:v>
                      </c:pt>
                      <c:pt idx="61">
                        <c:v>0.3328440526681325</c:v>
                      </c:pt>
                      <c:pt idx="62">
                        <c:v>1.0448947046425336</c:v>
                      </c:pt>
                      <c:pt idx="63">
                        <c:v>0.24558191169579785</c:v>
                      </c:pt>
                      <c:pt idx="64">
                        <c:v>0.32423511387599901</c:v>
                      </c:pt>
                      <c:pt idx="65">
                        <c:v>0.27368130147883885</c:v>
                      </c:pt>
                      <c:pt idx="66">
                        <c:v>0.27478734502223018</c:v>
                      </c:pt>
                      <c:pt idx="67">
                        <c:v>0.28023101148192764</c:v>
                      </c:pt>
                      <c:pt idx="68">
                        <c:v>0.32930883103291408</c:v>
                      </c:pt>
                      <c:pt idx="69">
                        <c:v>-0.62644329166653634</c:v>
                      </c:pt>
                      <c:pt idx="70">
                        <c:v>-0.58678260796771253</c:v>
                      </c:pt>
                      <c:pt idx="71">
                        <c:v>-0.61592515002750459</c:v>
                      </c:pt>
                      <c:pt idx="72">
                        <c:v>-0.63786986208258667</c:v>
                      </c:pt>
                      <c:pt idx="73">
                        <c:v>-0.76261184462581832</c:v>
                      </c:pt>
                      <c:pt idx="74">
                        <c:v>-0.5988265091977959</c:v>
                      </c:pt>
                      <c:pt idx="75">
                        <c:v>-0.65381406646330453</c:v>
                      </c:pt>
                      <c:pt idx="76">
                        <c:v>-0.71579348058973957</c:v>
                      </c:pt>
                      <c:pt idx="77">
                        <c:v>-0.66537164577061825</c:v>
                      </c:pt>
                      <c:pt idx="78">
                        <c:v>-0.73330375263122538</c:v>
                      </c:pt>
                      <c:pt idx="79">
                        <c:v>-0.73431849207657207</c:v>
                      </c:pt>
                      <c:pt idx="80">
                        <c:v>-0.99417204350212529</c:v>
                      </c:pt>
                      <c:pt idx="81">
                        <c:v>-0.90405363005335371</c:v>
                      </c:pt>
                      <c:pt idx="82">
                        <c:v>-0.93896845531017181</c:v>
                      </c:pt>
                      <c:pt idx="83">
                        <c:v>-0.85611651210405793</c:v>
                      </c:pt>
                      <c:pt idx="84">
                        <c:v>-1.0035930968076614</c:v>
                      </c:pt>
                      <c:pt idx="85">
                        <c:v>-1.0447198396274693</c:v>
                      </c:pt>
                      <c:pt idx="86">
                        <c:v>-0.95396400210688526</c:v>
                      </c:pt>
                      <c:pt idx="87">
                        <c:v>-0.97981904264692221</c:v>
                      </c:pt>
                      <c:pt idx="88">
                        <c:v>-0.31555170692832096</c:v>
                      </c:pt>
                      <c:pt idx="89">
                        <c:v>-0.26517560876173751</c:v>
                      </c:pt>
                      <c:pt idx="90">
                        <c:v>-4.1641693015451176E-2</c:v>
                      </c:pt>
                      <c:pt idx="91">
                        <c:v>-0.34075845760649226</c:v>
                      </c:pt>
                      <c:pt idx="92">
                        <c:v>-0.31718169649794464</c:v>
                      </c:pt>
                      <c:pt idx="93">
                        <c:v>-0.36365780454868635</c:v>
                      </c:pt>
                      <c:pt idx="94">
                        <c:v>-0.29468973494159123</c:v>
                      </c:pt>
                      <c:pt idx="95">
                        <c:v>-0.2986684066310567</c:v>
                      </c:pt>
                      <c:pt idx="96">
                        <c:v>-0.28165315737781549</c:v>
                      </c:pt>
                      <c:pt idx="97">
                        <c:v>-0.28853932444315367</c:v>
                      </c:pt>
                      <c:pt idx="98">
                        <c:v>-0.30108271718600083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Calculator!$EH$21:$IB$21</c15:sqref>
                        </c15:formulaRef>
                      </c:ext>
                    </c:extLst>
                    <c:numCache>
                      <c:formatCode>General</c:formatCode>
                      <c:ptCount val="99"/>
                      <c:pt idx="0">
                        <c:v>-0.50752622459924501</c:v>
                      </c:pt>
                      <c:pt idx="1">
                        <c:v>-0.51112909249714444</c:v>
                      </c:pt>
                      <c:pt idx="2">
                        <c:v>-0.62592567293597645</c:v>
                      </c:pt>
                      <c:pt idx="3">
                        <c:v>-0.46493184297304896</c:v>
                      </c:pt>
                      <c:pt idx="4">
                        <c:v>-0.49929039141618159</c:v>
                      </c:pt>
                      <c:pt idx="5">
                        <c:v>-0.49768316915043903</c:v>
                      </c:pt>
                      <c:pt idx="6">
                        <c:v>-0.51646874672819665</c:v>
                      </c:pt>
                      <c:pt idx="7">
                        <c:v>-0.52150353408852002</c:v>
                      </c:pt>
                      <c:pt idx="8">
                        <c:v>-0.62922259903457778</c:v>
                      </c:pt>
                      <c:pt idx="9">
                        <c:v>-0.46416190818424874</c:v>
                      </c:pt>
                      <c:pt idx="10">
                        <c:v>-0.46792242076824836</c:v>
                      </c:pt>
                      <c:pt idx="11">
                        <c:v>-0.47010084986808365</c:v>
                      </c:pt>
                      <c:pt idx="12">
                        <c:v>-0.48390783815208144</c:v>
                      </c:pt>
                      <c:pt idx="13">
                        <c:v>-0.47265191399523554</c:v>
                      </c:pt>
                      <c:pt idx="14">
                        <c:v>-1.0242437577853101</c:v>
                      </c:pt>
                      <c:pt idx="15">
                        <c:v>-0.99251878266916571</c:v>
                      </c:pt>
                      <c:pt idx="16">
                        <c:v>-0.97144548395085395</c:v>
                      </c:pt>
                      <c:pt idx="17">
                        <c:v>-0.99855818068503044</c:v>
                      </c:pt>
                      <c:pt idx="18">
                        <c:v>-0.9570775840918373</c:v>
                      </c:pt>
                      <c:pt idx="19">
                        <c:v>-0.90594204639280751</c:v>
                      </c:pt>
                      <c:pt idx="20">
                        <c:v>-0.95374032910113538</c:v>
                      </c:pt>
                      <c:pt idx="21">
                        <c:v>-0.96159961710175779</c:v>
                      </c:pt>
                      <c:pt idx="22">
                        <c:v>-0.96460850435742218</c:v>
                      </c:pt>
                      <c:pt idx="23">
                        <c:v>-0.94752783016013054</c:v>
                      </c:pt>
                      <c:pt idx="24">
                        <c:v>-0.9578560386448588</c:v>
                      </c:pt>
                      <c:pt idx="25">
                        <c:v>-0.95237011079344736</c:v>
                      </c:pt>
                      <c:pt idx="26">
                        <c:v>-1.0296014439250489</c:v>
                      </c:pt>
                      <c:pt idx="27">
                        <c:v>-0.95287489456817465</c:v>
                      </c:pt>
                      <c:pt idx="28">
                        <c:v>-0.9573017634502704</c:v>
                      </c:pt>
                      <c:pt idx="29">
                        <c:v>-1.0012183525111222</c:v>
                      </c:pt>
                      <c:pt idx="30">
                        <c:v>-0.52003933973248684</c:v>
                      </c:pt>
                      <c:pt idx="31">
                        <c:v>-0.51186632395003251</c:v>
                      </c:pt>
                      <c:pt idx="32">
                        <c:v>-0.51575243103241797</c:v>
                      </c:pt>
                      <c:pt idx="33">
                        <c:v>-0.51484526144314957</c:v>
                      </c:pt>
                      <c:pt idx="34">
                        <c:v>-0.50013676972417387</c:v>
                      </c:pt>
                      <c:pt idx="35">
                        <c:v>-0.82795935657288378</c:v>
                      </c:pt>
                      <c:pt idx="36">
                        <c:v>-0.52303278289676491</c:v>
                      </c:pt>
                      <c:pt idx="37">
                        <c:v>-0.60075454408580908</c:v>
                      </c:pt>
                      <c:pt idx="38">
                        <c:v>-0.55552752447428522</c:v>
                      </c:pt>
                      <c:pt idx="39">
                        <c:v>-0.54275128738701484</c:v>
                      </c:pt>
                      <c:pt idx="40">
                        <c:v>-0.5573221149456884</c:v>
                      </c:pt>
                      <c:pt idx="41">
                        <c:v>-0.52599596123273884</c:v>
                      </c:pt>
                      <c:pt idx="42">
                        <c:v>-0.49688413094492834</c:v>
                      </c:pt>
                      <c:pt idx="43">
                        <c:v>-0.57610066456402698</c:v>
                      </c:pt>
                      <c:pt idx="44">
                        <c:v>-0.5124661247123149</c:v>
                      </c:pt>
                      <c:pt idx="45">
                        <c:v>-0.5005421212832768</c:v>
                      </c:pt>
                      <c:pt idx="46">
                        <c:v>-0.52840892540567841</c:v>
                      </c:pt>
                      <c:pt idx="47">
                        <c:v>0.4308144007471606</c:v>
                      </c:pt>
                      <c:pt idx="48">
                        <c:v>0.47786894567272953</c:v>
                      </c:pt>
                      <c:pt idx="49">
                        <c:v>0.42323113241509414</c:v>
                      </c:pt>
                      <c:pt idx="50">
                        <c:v>0.40820639084754107</c:v>
                      </c:pt>
                      <c:pt idx="51">
                        <c:v>0.43028896925205556</c:v>
                      </c:pt>
                      <c:pt idx="52">
                        <c:v>0.43213415103185349</c:v>
                      </c:pt>
                      <c:pt idx="53">
                        <c:v>0.38515722109299111</c:v>
                      </c:pt>
                      <c:pt idx="54">
                        <c:v>0.36497784352702972</c:v>
                      </c:pt>
                      <c:pt idx="55">
                        <c:v>0.40935010209283923</c:v>
                      </c:pt>
                      <c:pt idx="56">
                        <c:v>0.40164603914811603</c:v>
                      </c:pt>
                      <c:pt idx="57">
                        <c:v>0.97851232133719879</c:v>
                      </c:pt>
                      <c:pt idx="58">
                        <c:v>0.97203438630617911</c:v>
                      </c:pt>
                      <c:pt idx="59">
                        <c:v>0.84089322533290922</c:v>
                      </c:pt>
                      <c:pt idx="60">
                        <c:v>0.8991130337304355</c:v>
                      </c:pt>
                      <c:pt idx="61">
                        <c:v>0.7553727771183788</c:v>
                      </c:pt>
                      <c:pt idx="62">
                        <c:v>1.020416562147628</c:v>
                      </c:pt>
                      <c:pt idx="63">
                        <c:v>0.93139267067273901</c:v>
                      </c:pt>
                      <c:pt idx="64">
                        <c:v>0.9511461966957786</c:v>
                      </c:pt>
                      <c:pt idx="65">
                        <c:v>0.91328756671255462</c:v>
                      </c:pt>
                      <c:pt idx="66">
                        <c:v>0.91023532311352673</c:v>
                      </c:pt>
                      <c:pt idx="67">
                        <c:v>0.88551431368547984</c:v>
                      </c:pt>
                      <c:pt idx="68">
                        <c:v>0.82376708929714371</c:v>
                      </c:pt>
                      <c:pt idx="69">
                        <c:v>0.54195714480078527</c:v>
                      </c:pt>
                      <c:pt idx="70">
                        <c:v>0.52276877951101675</c:v>
                      </c:pt>
                      <c:pt idx="71">
                        <c:v>0.52877736880009962</c:v>
                      </c:pt>
                      <c:pt idx="72">
                        <c:v>0.5322628267602092</c:v>
                      </c:pt>
                      <c:pt idx="73">
                        <c:v>0.35131831331774949</c:v>
                      </c:pt>
                      <c:pt idx="74">
                        <c:v>0.54252434128131732</c:v>
                      </c:pt>
                      <c:pt idx="75">
                        <c:v>0.56143054713168072</c:v>
                      </c:pt>
                      <c:pt idx="76">
                        <c:v>0.53775154600102093</c:v>
                      </c:pt>
                      <c:pt idx="77">
                        <c:v>0.55154282014270151</c:v>
                      </c:pt>
                      <c:pt idx="78">
                        <c:v>0.5730036988364432</c:v>
                      </c:pt>
                      <c:pt idx="79">
                        <c:v>0.56353019921954417</c:v>
                      </c:pt>
                      <c:pt idx="80">
                        <c:v>-0.39388457386009712</c:v>
                      </c:pt>
                      <c:pt idx="81">
                        <c:v>-0.40473613675383535</c:v>
                      </c:pt>
                      <c:pt idx="82">
                        <c:v>-0.37508368079164955</c:v>
                      </c:pt>
                      <c:pt idx="83">
                        <c:v>-0.51048652136692074</c:v>
                      </c:pt>
                      <c:pt idx="84">
                        <c:v>-0.54399947886529831</c:v>
                      </c:pt>
                      <c:pt idx="85">
                        <c:v>-0.42752316556522324</c:v>
                      </c:pt>
                      <c:pt idx="86">
                        <c:v>-0.4196441031366101</c:v>
                      </c:pt>
                      <c:pt idx="87">
                        <c:v>-0.38574798639828556</c:v>
                      </c:pt>
                      <c:pt idx="88">
                        <c:v>-1.0958070597378329</c:v>
                      </c:pt>
                      <c:pt idx="89">
                        <c:v>-1.0214544759284818</c:v>
                      </c:pt>
                      <c:pt idx="90">
                        <c:v>-1.9121884167571763</c:v>
                      </c:pt>
                      <c:pt idx="91">
                        <c:v>-1.2035191082959327</c:v>
                      </c:pt>
                      <c:pt idx="92">
                        <c:v>-1.1453651177810529</c:v>
                      </c:pt>
                      <c:pt idx="93">
                        <c:v>-1.1255998239897282</c:v>
                      </c:pt>
                      <c:pt idx="94">
                        <c:v>-1.1558227672227963</c:v>
                      </c:pt>
                      <c:pt idx="95">
                        <c:v>-1.0822134833542425</c:v>
                      </c:pt>
                      <c:pt idx="96">
                        <c:v>-1.0082020465406127</c:v>
                      </c:pt>
                      <c:pt idx="97">
                        <c:v>-1.0111724558922379</c:v>
                      </c:pt>
                      <c:pt idx="98">
                        <c:v>-1.0210834898405901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08CA-4FD8-A532-4F29B73521CA}"/>
                  </c:ext>
                </c:extLst>
              </c15:ser>
            </c15:filteredScatterSeries>
          </c:ext>
        </c:extLst>
      </c:scatterChart>
      <c:valAx>
        <c:axId val="392357696"/>
        <c:scaling>
          <c:orientation val="minMax"/>
          <c:max val="1.5"/>
          <c:min val="-1.5"/>
        </c:scaling>
        <c:delete val="1"/>
        <c:axPos val="b"/>
        <c:majorGridlines>
          <c:spPr>
            <a:ln w="9525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392363184"/>
        <c:crosses val="autoZero"/>
        <c:crossBetween val="midCat"/>
        <c:majorUnit val="0.5"/>
      </c:valAx>
      <c:valAx>
        <c:axId val="392363184"/>
        <c:scaling>
          <c:orientation val="minMax"/>
          <c:max val="1.5"/>
          <c:min val="-1.5"/>
        </c:scaling>
        <c:delete val="1"/>
        <c:axPos val="l"/>
        <c:majorGridlines>
          <c:spPr>
            <a:ln w="12700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392357696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4967081628763"/>
          <c:y val="0.11878279720154435"/>
          <c:w val="0.70306954647428843"/>
          <c:h val="0.67072030671933924"/>
        </c:manualLayout>
      </c:layout>
      <c:scatterChart>
        <c:scatterStyle val="smoothMarker"/>
        <c:varyColors val="0"/>
        <c:ser>
          <c:idx val="1"/>
          <c:order val="0"/>
          <c:tx>
            <c:v>Reference</c:v>
          </c:tx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Reference!$N$5:$N$99</c:f>
              <c:numCache>
                <c:formatCode>0.0000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0.80724629797986758</c:v>
                </c:pt>
                <c:pt idx="5">
                  <c:v>0.8781655992524241</c:v>
                </c:pt>
                <c:pt idx="6">
                  <c:v>0.95246192714160194</c:v>
                </c:pt>
                <c:pt idx="7">
                  <c:v>1.030086270932675</c:v>
                </c:pt>
                <c:pt idx="8">
                  <c:v>1.1109779962553352</c:v>
                </c:pt>
                <c:pt idx="9">
                  <c:v>1.1950654274501253</c:v>
                </c:pt>
                <c:pt idx="10">
                  <c:v>1.2822664795255372</c:v>
                </c:pt>
                <c:pt idx="11">
                  <c:v>1.3724893303406067</c:v>
                </c:pt>
                <c:pt idx="12">
                  <c:v>1.46563312408219</c:v>
                </c:pt>
                <c:pt idx="13">
                  <c:v>1.5615886976133349</c:v>
                </c:pt>
                <c:pt idx="14">
                  <c:v>1.6602393218309035</c:v>
                </c:pt>
                <c:pt idx="15">
                  <c:v>1.7614614507700854</c:v>
                </c:pt>
                <c:pt idx="16">
                  <c:v>1.8651254718159076</c:v>
                </c:pt>
                <c:pt idx="17">
                  <c:v>1.9710964510148927</c:v>
                </c:pt>
                <c:pt idx="18">
                  <c:v>2.079234868112124</c:v>
                </c:pt>
                <c:pt idx="19">
                  <c:v>2.1893973365615178</c:v>
                </c:pt>
                <c:pt idx="20">
                  <c:v>2.3014373043622776</c:v>
                </c:pt>
                <c:pt idx="21">
                  <c:v>2.4152057321560179</c:v>
                </c:pt>
                <c:pt idx="22">
                  <c:v>2.5305517455725504</c:v>
                </c:pt>
                <c:pt idx="23">
                  <c:v>2.647323259334001</c:v>
                </c:pt>
                <c:pt idx="24">
                  <c:v>2.7653675711141243</c:v>
                </c:pt>
                <c:pt idx="25">
                  <c:v>2.8845319236015028</c:v>
                </c:pt>
                <c:pt idx="26">
                  <c:v>3.004664033629699</c:v>
                </c:pt>
                <c:pt idx="27">
                  <c:v>3.1256125876157883</c:v>
                </c:pt>
                <c:pt idx="28">
                  <c:v>3.2472277028900742</c:v>
                </c:pt>
                <c:pt idx="29">
                  <c:v>3.3693613548057182</c:v>
                </c:pt>
                <c:pt idx="30">
                  <c:v>3.4918677697889313</c:v>
                </c:pt>
                <c:pt idx="31">
                  <c:v>3.6146037847289509</c:v>
                </c:pt>
                <c:pt idx="32">
                  <c:v>3.737429173314792</c:v>
                </c:pt>
                <c:pt idx="33">
                  <c:v>3.8602069401044039</c:v>
                </c:pt>
                <c:pt idx="34">
                  <c:v>3.9828035832625988</c:v>
                </c:pt>
                <c:pt idx="35">
                  <c:v>4.1050893270303224</c:v>
                </c:pt>
                <c:pt idx="36">
                  <c:v>4.2269383250902006</c:v>
                </c:pt>
                <c:pt idx="37">
                  <c:v>4.3482288360746084</c:v>
                </c:pt>
                <c:pt idx="38">
                  <c:v>4.4688433725243319</c:v>
                </c:pt>
                <c:pt idx="39">
                  <c:v>4.5886688246508465</c:v>
                </c:pt>
                <c:pt idx="40">
                  <c:v>4.7075965602835366</c:v>
                </c:pt>
                <c:pt idx="41">
                  <c:v>4.8255225023989663</c:v>
                </c:pt>
                <c:pt idx="42">
                  <c:v>4.9423471856315517</c:v>
                </c:pt>
                <c:pt idx="43">
                  <c:v>5.0579757931575982</c:v>
                </c:pt>
                <c:pt idx="44">
                  <c:v>5.1723181753273488</c:v>
                </c:pt>
                <c:pt idx="45">
                  <c:v>5.285288851394558</c:v>
                </c:pt>
                <c:pt idx="46">
                  <c:v>5.3968069956616214</c:v>
                </c:pt>
                <c:pt idx="47">
                  <c:v>5.5067964093205042</c:v>
                </c:pt>
                <c:pt idx="48">
                  <c:v>5.6151854792280087</c:v>
                </c:pt>
                <c:pt idx="49">
                  <c:v>5.7219071248079381</c:v>
                </c:pt>
                <c:pt idx="50">
                  <c:v>5.8268987342244092</c:v>
                </c:pt>
                <c:pt idx="51">
                  <c:v>5.930102090919565</c:v>
                </c:pt>
                <c:pt idx="52">
                  <c:v>6.0314632915569035</c:v>
                </c:pt>
                <c:pt idx="53">
                  <c:v>6.1309326563582918</c:v>
                </c:pt>
                <c:pt idx="54">
                  <c:v>6.2284646327691586</c:v>
                </c:pt>
                <c:pt idx="55">
                  <c:v>6.3240176933330536</c:v>
                </c:pt>
                <c:pt idx="56">
                  <c:v>6.4175542286035236</c:v>
                </c:pt>
                <c:pt idx="57">
                  <c:v>6.5090404358692204</c:v>
                </c:pt>
                <c:pt idx="58">
                  <c:v>6.5984462044166099</c:v>
                </c:pt>
                <c:pt idx="59">
                  <c:v>6.6857449980050321</c:v>
                </c:pt>
                <c:pt idx="60">
                  <c:v>6.7709137351799749</c:v>
                </c:pt>
                <c:pt idx="61">
                  <c:v>6.8539326680038819</c:v>
                </c:pt>
                <c:pt idx="62">
                  <c:v>6.9347852597381578</c:v>
                </c:pt>
                <c:pt idx="63">
                  <c:v>7.0134580619672118</c:v>
                </c:pt>
                <c:pt idx="64">
                  <c:v>7.0899405916133738</c:v>
                </c:pt>
                <c:pt idx="65">
                  <c:v>7.1642252082523044</c:v>
                </c:pt>
                <c:pt idx="66">
                  <c:v>7.236306992100924</c:v>
                </c:pt>
                <c:pt idx="67">
                  <c:v>7.3061836230137862</c:v>
                </c:pt>
                <c:pt idx="68">
                  <c:v>7.3738552607909122</c:v>
                </c:pt>
                <c:pt idx="69">
                  <c:v>7.4393244270673868</c:v>
                </c:pt>
                <c:pt idx="70">
                  <c:v>7.502595889026006</c:v>
                </c:pt>
                <c:pt idx="71">
                  <c:v>7.56367654514567</c:v>
                </c:pt>
                <c:pt idx="72">
                  <c:v>7.6225753131721961</c:v>
                </c:pt>
                <c:pt idx="73">
                  <c:v>7.6793030204736477</c:v>
                </c:pt>
                <c:pt idx="74">
                  <c:v>7.7338722969197606</c:v>
                </c:pt>
                <c:pt idx="75">
                  <c:v>7.7862974704034071</c:v>
                </c:pt>
                <c:pt idx="76">
                  <c:v>7.8365944651029213</c:v>
                </c:pt>
                <c:pt idx="77">
                  <c:v>7.8847807025657133</c:v>
                </c:pt>
                <c:pt idx="78">
                  <c:v>7.9308750056768513</c:v>
                </c:pt>
                <c:pt idx="79">
                  <c:v>7.9748975055612972</c:v>
                </c:pt>
                <c:pt idx="80">
                  <c:v>8.0168695514539596</c:v>
                </c:pt>
                <c:pt idx="81">
                  <c:v>8.0568136235592736</c:v>
                </c:pt>
                <c:pt idx="82">
                  <c:v>8.0947532489101732</c:v>
                </c:pt>
                <c:pt idx="83">
                  <c:v>8.1307129202256299</c:v>
                </c:pt>
                <c:pt idx="84">
                  <c:v>8.1647180177564618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457-4227-968E-5417FBFD0CA2}"/>
            </c:ext>
          </c:extLst>
        </c:ser>
        <c:ser>
          <c:idx val="0"/>
          <c:order val="1"/>
          <c:tx>
            <c:strRef>
              <c:f>'Color metric'!$B$2</c:f>
              <c:strCache>
                <c:ptCount val="1"/>
                <c:pt idx="0">
                  <c:v>Test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Reference!$C$5:$C$99</c:f>
              <c:numCache>
                <c:formatCode>0.0000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9.0208457336580551E-4</c:v>
                </c:pt>
                <c:pt idx="5">
                  <c:v>1.8357879216218619E-3</c:v>
                </c:pt>
                <c:pt idx="6">
                  <c:v>3.735914435049842E-3</c:v>
                </c:pt>
                <c:pt idx="7">
                  <c:v>7.602731014276682E-3</c:v>
                </c:pt>
                <c:pt idx="8">
                  <c:v>1.5471729132635439E-2</c:v>
                </c:pt>
                <c:pt idx="9">
                  <c:v>3.1484804964887168E-2</c:v>
                </c:pt>
                <c:pt idx="10">
                  <c:v>6.4069121005955451E-2</c:v>
                </c:pt>
                <c:pt idx="11">
                  <c:v>0.13044783404757523</c:v>
                </c:pt>
                <c:pt idx="12">
                  <c:v>0.26408711297464238</c:v>
                </c:pt>
                <c:pt idx="13">
                  <c:v>0.50375571011213915</c:v>
                </c:pt>
                <c:pt idx="14">
                  <c:v>0.88024412436874877</c:v>
                </c:pt>
                <c:pt idx="15">
                  <c:v>1.4105243526830611</c:v>
                </c:pt>
                <c:pt idx="16">
                  <c:v>2.1141525974191535</c:v>
                </c:pt>
                <c:pt idx="17">
                  <c:v>2.9984186136244073</c:v>
                </c:pt>
                <c:pt idx="18">
                  <c:v>3.7863158701851765</c:v>
                </c:pt>
                <c:pt idx="19">
                  <c:v>3.9641807812237815</c:v>
                </c:pt>
                <c:pt idx="20">
                  <c:v>3.4523656975444301</c:v>
                </c:pt>
                <c:pt idx="21">
                  <c:v>2.732055484830374</c:v>
                </c:pt>
                <c:pt idx="22">
                  <c:v>2.1667997601329825</c:v>
                </c:pt>
                <c:pt idx="23">
                  <c:v>1.7644620461555536</c:v>
                </c:pt>
                <c:pt idx="24">
                  <c:v>1.4838864689956262</c:v>
                </c:pt>
                <c:pt idx="25">
                  <c:v>1.3337325990920461</c:v>
                </c:pt>
                <c:pt idx="26">
                  <c:v>1.3154108242680005</c:v>
                </c:pt>
                <c:pt idx="27">
                  <c:v>1.4139600886550026</c:v>
                </c:pt>
                <c:pt idx="28">
                  <c:v>1.6290604735478929</c:v>
                </c:pt>
                <c:pt idx="29">
                  <c:v>1.9477021043173546</c:v>
                </c:pt>
                <c:pt idx="30">
                  <c:v>2.3284962566421159</c:v>
                </c:pt>
                <c:pt idx="31">
                  <c:v>2.7323319326785547</c:v>
                </c:pt>
                <c:pt idx="32">
                  <c:v>3.1286862716722332</c:v>
                </c:pt>
                <c:pt idx="33">
                  <c:v>3.5023280976784603</c:v>
                </c:pt>
                <c:pt idx="34">
                  <c:v>3.8367230756128863</c:v>
                </c:pt>
                <c:pt idx="35">
                  <c:v>4.1257587542500724</c:v>
                </c:pt>
                <c:pt idx="36">
                  <c:v>4.3766156074811571</c:v>
                </c:pt>
                <c:pt idx="37">
                  <c:v>4.6085161982825236</c:v>
                </c:pt>
                <c:pt idx="38">
                  <c:v>4.8288838032263204</c:v>
                </c:pt>
                <c:pt idx="39">
                  <c:v>5.0390155007255313</c:v>
                </c:pt>
                <c:pt idx="40">
                  <c:v>5.2397036428281645</c:v>
                </c:pt>
                <c:pt idx="41">
                  <c:v>5.4357036209584439</c:v>
                </c:pt>
                <c:pt idx="42">
                  <c:v>5.6243317212279695</c:v>
                </c:pt>
                <c:pt idx="43">
                  <c:v>5.8031525770834875</c:v>
                </c:pt>
                <c:pt idx="44">
                  <c:v>5.9628673272664487</c:v>
                </c:pt>
                <c:pt idx="45">
                  <c:v>6.1003584789646874</c:v>
                </c:pt>
                <c:pt idx="46">
                  <c:v>6.1969182558523368</c:v>
                </c:pt>
                <c:pt idx="47">
                  <c:v>6.2513086664359365</c:v>
                </c:pt>
                <c:pt idx="48">
                  <c:v>6.2640834507098617</c:v>
                </c:pt>
                <c:pt idx="49">
                  <c:v>6.2189023931165428</c:v>
                </c:pt>
                <c:pt idx="50">
                  <c:v>6.1257125766178655</c:v>
                </c:pt>
                <c:pt idx="51">
                  <c:v>5.9971090997205314</c:v>
                </c:pt>
                <c:pt idx="52">
                  <c:v>5.8084524499164587</c:v>
                </c:pt>
                <c:pt idx="53">
                  <c:v>5.565059757515824</c:v>
                </c:pt>
                <c:pt idx="54">
                  <c:v>5.288266390373054</c:v>
                </c:pt>
                <c:pt idx="55">
                  <c:v>5.0049875347431705</c:v>
                </c:pt>
                <c:pt idx="56">
                  <c:v>4.7008615393192521</c:v>
                </c:pt>
                <c:pt idx="57">
                  <c:v>4.3732839047492664</c:v>
                </c:pt>
                <c:pt idx="58">
                  <c:v>4.0371457853683301</c:v>
                </c:pt>
                <c:pt idx="59">
                  <c:v>3.7044127073212261</c:v>
                </c:pt>
                <c:pt idx="60">
                  <c:v>3.3767361901554516</c:v>
                </c:pt>
                <c:pt idx="61">
                  <c:v>3.0583823059556869</c:v>
                </c:pt>
                <c:pt idx="62">
                  <c:v>2.7541966039089054</c:v>
                </c:pt>
                <c:pt idx="63">
                  <c:v>2.4722700485217666</c:v>
                </c:pt>
                <c:pt idx="64">
                  <c:v>2.2153391162978604</c:v>
                </c:pt>
                <c:pt idx="65">
                  <c:v>1.9806357898598685</c:v>
                </c:pt>
                <c:pt idx="66">
                  <c:v>1.7636794795391486</c:v>
                </c:pt>
                <c:pt idx="67">
                  <c:v>1.5611639015606635</c:v>
                </c:pt>
                <c:pt idx="68">
                  <c:v>1.3777676608611547</c:v>
                </c:pt>
                <c:pt idx="69">
                  <c:v>1.2150365355643817</c:v>
                </c:pt>
                <c:pt idx="70">
                  <c:v>1.0687515921730679</c:v>
                </c:pt>
                <c:pt idx="71">
                  <c:v>0.93738646403263071</c:v>
                </c:pt>
                <c:pt idx="72">
                  <c:v>0.82090255838753701</c:v>
                </c:pt>
                <c:pt idx="73">
                  <c:v>0.71772699070292334</c:v>
                </c:pt>
                <c:pt idx="74">
                  <c:v>0.62731090228324615</c:v>
                </c:pt>
                <c:pt idx="75">
                  <c:v>0.54866915645021896</c:v>
                </c:pt>
                <c:pt idx="76">
                  <c:v>0.48115247545286471</c:v>
                </c:pt>
                <c:pt idx="77">
                  <c:v>0.42277168270071669</c:v>
                </c:pt>
                <c:pt idx="78">
                  <c:v>0.37185317582810462</c:v>
                </c:pt>
                <c:pt idx="79">
                  <c:v>0.32598753609461378</c:v>
                </c:pt>
                <c:pt idx="80">
                  <c:v>0.28623985222879722</c:v>
                </c:pt>
                <c:pt idx="81">
                  <c:v>0.25018201402541429</c:v>
                </c:pt>
                <c:pt idx="82">
                  <c:v>0.21883575227084215</c:v>
                </c:pt>
                <c:pt idx="83">
                  <c:v>0.19180750973971616</c:v>
                </c:pt>
                <c:pt idx="84">
                  <c:v>0.17028682666222386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457-4227-968E-5417FBFD0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63576"/>
        <c:axId val="392359264"/>
      </c:scatterChart>
      <c:valAx>
        <c:axId val="392363576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392359264"/>
        <c:crosses val="autoZero"/>
        <c:crossBetween val="midCat"/>
        <c:majorUnit val="50"/>
      </c:valAx>
      <c:valAx>
        <c:axId val="39235926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spectral intensity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392363576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15828589862021439"/>
          <c:y val="2.1806813397472074E-2"/>
          <c:w val="0.76722620566283961"/>
          <c:h val="8.2665878369299395E-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nl-BE"/>
        </a:p>
      </c:txPr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1nm</c:v>
          </c:tx>
          <c:marker>
            <c:symbol val="none"/>
          </c:marker>
          <c:xVal>
            <c:numRef>
              <c:f>'Color metric'!$Q$3:$Q$453</c:f>
              <c:numCache>
                <c:formatCode>General</c:formatCode>
                <c:ptCount val="45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  <c:pt idx="401">
                  <c:v>781</c:v>
                </c:pt>
                <c:pt idx="402">
                  <c:v>782</c:v>
                </c:pt>
                <c:pt idx="403">
                  <c:v>783</c:v>
                </c:pt>
                <c:pt idx="404">
                  <c:v>784</c:v>
                </c:pt>
                <c:pt idx="405">
                  <c:v>785</c:v>
                </c:pt>
                <c:pt idx="406">
                  <c:v>786</c:v>
                </c:pt>
                <c:pt idx="407">
                  <c:v>787</c:v>
                </c:pt>
                <c:pt idx="408">
                  <c:v>788</c:v>
                </c:pt>
                <c:pt idx="409">
                  <c:v>789</c:v>
                </c:pt>
                <c:pt idx="410">
                  <c:v>790</c:v>
                </c:pt>
                <c:pt idx="411">
                  <c:v>791</c:v>
                </c:pt>
                <c:pt idx="412">
                  <c:v>792</c:v>
                </c:pt>
                <c:pt idx="413">
                  <c:v>793</c:v>
                </c:pt>
                <c:pt idx="414">
                  <c:v>794</c:v>
                </c:pt>
                <c:pt idx="415">
                  <c:v>795</c:v>
                </c:pt>
                <c:pt idx="416">
                  <c:v>796</c:v>
                </c:pt>
                <c:pt idx="417">
                  <c:v>797</c:v>
                </c:pt>
                <c:pt idx="418">
                  <c:v>798</c:v>
                </c:pt>
                <c:pt idx="419">
                  <c:v>799</c:v>
                </c:pt>
                <c:pt idx="420">
                  <c:v>800</c:v>
                </c:pt>
                <c:pt idx="421">
                  <c:v>801</c:v>
                </c:pt>
                <c:pt idx="422">
                  <c:v>802</c:v>
                </c:pt>
                <c:pt idx="423">
                  <c:v>803</c:v>
                </c:pt>
                <c:pt idx="424">
                  <c:v>804</c:v>
                </c:pt>
                <c:pt idx="425">
                  <c:v>805</c:v>
                </c:pt>
                <c:pt idx="426">
                  <c:v>806</c:v>
                </c:pt>
                <c:pt idx="427">
                  <c:v>807</c:v>
                </c:pt>
                <c:pt idx="428">
                  <c:v>808</c:v>
                </c:pt>
                <c:pt idx="429">
                  <c:v>809</c:v>
                </c:pt>
                <c:pt idx="430">
                  <c:v>810</c:v>
                </c:pt>
                <c:pt idx="431">
                  <c:v>811</c:v>
                </c:pt>
                <c:pt idx="432">
                  <c:v>812</c:v>
                </c:pt>
                <c:pt idx="433">
                  <c:v>813</c:v>
                </c:pt>
                <c:pt idx="434">
                  <c:v>814</c:v>
                </c:pt>
                <c:pt idx="435">
                  <c:v>815</c:v>
                </c:pt>
                <c:pt idx="436">
                  <c:v>816</c:v>
                </c:pt>
                <c:pt idx="437">
                  <c:v>817</c:v>
                </c:pt>
                <c:pt idx="438">
                  <c:v>818</c:v>
                </c:pt>
                <c:pt idx="439">
                  <c:v>819</c:v>
                </c:pt>
                <c:pt idx="440">
                  <c:v>820</c:v>
                </c:pt>
                <c:pt idx="441">
                  <c:v>821</c:v>
                </c:pt>
                <c:pt idx="442">
                  <c:v>822</c:v>
                </c:pt>
                <c:pt idx="443">
                  <c:v>823</c:v>
                </c:pt>
                <c:pt idx="444">
                  <c:v>824</c:v>
                </c:pt>
                <c:pt idx="445">
                  <c:v>825</c:v>
                </c:pt>
                <c:pt idx="446">
                  <c:v>826</c:v>
                </c:pt>
                <c:pt idx="447">
                  <c:v>827</c:v>
                </c:pt>
                <c:pt idx="448">
                  <c:v>828</c:v>
                </c:pt>
                <c:pt idx="449">
                  <c:v>829</c:v>
                </c:pt>
                <c:pt idx="450">
                  <c:v>830</c:v>
                </c:pt>
              </c:numCache>
            </c:numRef>
          </c:xVal>
          <c:yVal>
            <c:numRef>
              <c:f>'Color metric'!$R$3:$R$453</c:f>
              <c:numCache>
                <c:formatCode>0.0000000</c:formatCode>
                <c:ptCount val="451"/>
                <c:pt idx="0">
                  <c:v>1.8075402569103899E-4</c:v>
                </c:pt>
                <c:pt idx="1">
                  <c:v>1.8776473350740999E-4</c:v>
                </c:pt>
                <c:pt idx="2">
                  <c:v>1.9560220758118801E-4</c:v>
                </c:pt>
                <c:pt idx="3">
                  <c:v>1.94323555554524E-4</c:v>
                </c:pt>
                <c:pt idx="4">
                  <c:v>2.0632990908886001E-4</c:v>
                </c:pt>
                <c:pt idx="5">
                  <c:v>2.1542939055504401E-4</c:v>
                </c:pt>
                <c:pt idx="6">
                  <c:v>2.2626676047639001E-4</c:v>
                </c:pt>
                <c:pt idx="7">
                  <c:v>2.3665856084812399E-4</c:v>
                </c:pt>
                <c:pt idx="8">
                  <c:v>2.4981292640591902E-4</c:v>
                </c:pt>
                <c:pt idx="9">
                  <c:v>2.6321119139199899E-4</c:v>
                </c:pt>
                <c:pt idx="10">
                  <c:v>2.7664344713871801E-4</c:v>
                </c:pt>
                <c:pt idx="11">
                  <c:v>2.9439166462552098E-4</c:v>
                </c:pt>
                <c:pt idx="12">
                  <c:v>3.2310079519841899E-4</c:v>
                </c:pt>
                <c:pt idx="13">
                  <c:v>3.5413260145286402E-4</c:v>
                </c:pt>
                <c:pt idx="14">
                  <c:v>3.9673571663520799E-4</c:v>
                </c:pt>
                <c:pt idx="15">
                  <c:v>4.4532108066930499E-4</c:v>
                </c:pt>
                <c:pt idx="16">
                  <c:v>5.1893491876098003E-4</c:v>
                </c:pt>
                <c:pt idx="17">
                  <c:v>6.1134456625155497E-4</c:v>
                </c:pt>
                <c:pt idx="18">
                  <c:v>7.0319105466245895E-4</c:v>
                </c:pt>
                <c:pt idx="19">
                  <c:v>8.2672161243983299E-4</c:v>
                </c:pt>
                <c:pt idx="20">
                  <c:v>9.7982051502023995E-4</c:v>
                </c:pt>
                <c:pt idx="21">
                  <c:v>1.18208899283274E-3</c:v>
                </c:pt>
                <c:pt idx="22">
                  <c:v>1.3804117896048899E-3</c:v>
                </c:pt>
                <c:pt idx="23">
                  <c:v>1.6528088721308599E-3</c:v>
                </c:pt>
                <c:pt idx="24">
                  <c:v>1.9647038512422498E-3</c:v>
                </c:pt>
                <c:pt idx="25">
                  <c:v>2.3132844656651198E-3</c:v>
                </c:pt>
                <c:pt idx="26">
                  <c:v>2.7303753175116998E-3</c:v>
                </c:pt>
                <c:pt idx="27">
                  <c:v>3.1745553869567201E-3</c:v>
                </c:pt>
                <c:pt idx="28">
                  <c:v>3.66383292631022E-3</c:v>
                </c:pt>
                <c:pt idx="29">
                  <c:v>4.21810019204875E-3</c:v>
                </c:pt>
                <c:pt idx="30">
                  <c:v>4.7665384929649196E-3</c:v>
                </c:pt>
                <c:pt idx="31">
                  <c:v>5.3186481499968999E-3</c:v>
                </c:pt>
                <c:pt idx="32">
                  <c:v>5.8378701754880497E-3</c:v>
                </c:pt>
                <c:pt idx="33">
                  <c:v>6.3381170089030197E-3</c:v>
                </c:pt>
                <c:pt idx="34">
                  <c:v>6.8506809640233E-3</c:v>
                </c:pt>
                <c:pt idx="35">
                  <c:v>7.1844692368076401E-3</c:v>
                </c:pt>
                <c:pt idx="36">
                  <c:v>7.3594277582702296E-3</c:v>
                </c:pt>
                <c:pt idx="37">
                  <c:v>7.4886335199046399E-3</c:v>
                </c:pt>
                <c:pt idx="38">
                  <c:v>7.50702775757707E-3</c:v>
                </c:pt>
                <c:pt idx="39">
                  <c:v>7.2266390619975199E-3</c:v>
                </c:pt>
                <c:pt idx="40">
                  <c:v>7.0525977730027598E-3</c:v>
                </c:pt>
                <c:pt idx="41">
                  <c:v>6.7526307967557602E-3</c:v>
                </c:pt>
                <c:pt idx="42">
                  <c:v>6.3205869518548202E-3</c:v>
                </c:pt>
                <c:pt idx="43">
                  <c:v>5.8993869115067299E-3</c:v>
                </c:pt>
                <c:pt idx="44">
                  <c:v>5.5180252768318198E-3</c:v>
                </c:pt>
                <c:pt idx="45">
                  <c:v>5.0865687838841803E-3</c:v>
                </c:pt>
                <c:pt idx="46">
                  <c:v>4.7723565702042503E-3</c:v>
                </c:pt>
                <c:pt idx="47">
                  <c:v>4.4513179486884002E-3</c:v>
                </c:pt>
                <c:pt idx="48">
                  <c:v>4.1554043509233404E-3</c:v>
                </c:pt>
                <c:pt idx="49">
                  <c:v>3.9485546818062997E-3</c:v>
                </c:pt>
                <c:pt idx="50">
                  <c:v>3.7147326919732401E-3</c:v>
                </c:pt>
                <c:pt idx="51">
                  <c:v>3.50547577417322E-3</c:v>
                </c:pt>
                <c:pt idx="52">
                  <c:v>3.3590868499582798E-3</c:v>
                </c:pt>
                <c:pt idx="53">
                  <c:v>3.1874155463492999E-3</c:v>
                </c:pt>
                <c:pt idx="54">
                  <c:v>3.0588971129178999E-3</c:v>
                </c:pt>
                <c:pt idx="55">
                  <c:v>2.9624345608426799E-3</c:v>
                </c:pt>
                <c:pt idx="56">
                  <c:v>2.88076003448858E-3</c:v>
                </c:pt>
                <c:pt idx="57">
                  <c:v>2.85611566287409E-3</c:v>
                </c:pt>
                <c:pt idx="58">
                  <c:v>2.8005730977282602E-3</c:v>
                </c:pt>
                <c:pt idx="59">
                  <c:v>2.8139053723692199E-3</c:v>
                </c:pt>
                <c:pt idx="60">
                  <c:v>2.8057124878535901E-3</c:v>
                </c:pt>
                <c:pt idx="61">
                  <c:v>2.8381448986591201E-3</c:v>
                </c:pt>
                <c:pt idx="62">
                  <c:v>2.8691751366890302E-3</c:v>
                </c:pt>
                <c:pt idx="63">
                  <c:v>2.9290925550739702E-3</c:v>
                </c:pt>
                <c:pt idx="64">
                  <c:v>2.9892101658884102E-3</c:v>
                </c:pt>
                <c:pt idx="65">
                  <c:v>3.0171411222076898E-3</c:v>
                </c:pt>
                <c:pt idx="66">
                  <c:v>3.0737433423033401E-3</c:v>
                </c:pt>
                <c:pt idx="67">
                  <c:v>3.13948257101907E-3</c:v>
                </c:pt>
                <c:pt idx="68">
                  <c:v>3.2094669539334199E-3</c:v>
                </c:pt>
                <c:pt idx="69">
                  <c:v>3.2476710476528402E-3</c:v>
                </c:pt>
                <c:pt idx="70">
                  <c:v>3.30937294987977E-3</c:v>
                </c:pt>
                <c:pt idx="71">
                  <c:v>3.3449037198411799E-3</c:v>
                </c:pt>
                <c:pt idx="72">
                  <c:v>3.38976027618095E-3</c:v>
                </c:pt>
                <c:pt idx="73">
                  <c:v>3.4435110380554401E-3</c:v>
                </c:pt>
                <c:pt idx="74">
                  <c:v>3.4684121743534099E-3</c:v>
                </c:pt>
                <c:pt idx="75">
                  <c:v>3.5370528206537999E-3</c:v>
                </c:pt>
                <c:pt idx="76">
                  <c:v>3.5617806133279601E-3</c:v>
                </c:pt>
                <c:pt idx="77">
                  <c:v>3.5895608695290099E-3</c:v>
                </c:pt>
                <c:pt idx="78">
                  <c:v>3.6040807761602098E-3</c:v>
                </c:pt>
                <c:pt idx="79">
                  <c:v>3.62863389735476E-3</c:v>
                </c:pt>
                <c:pt idx="80">
                  <c:v>3.6240394787112299E-3</c:v>
                </c:pt>
                <c:pt idx="81">
                  <c:v>3.64468406061092E-3</c:v>
                </c:pt>
                <c:pt idx="82">
                  <c:v>3.6789503183700199E-3</c:v>
                </c:pt>
                <c:pt idx="83">
                  <c:v>3.6681618205177602E-3</c:v>
                </c:pt>
                <c:pt idx="84">
                  <c:v>3.6706691235180401E-3</c:v>
                </c:pt>
                <c:pt idx="85">
                  <c:v>3.6702861408028902E-3</c:v>
                </c:pt>
                <c:pt idx="86">
                  <c:v>3.6976594065498301E-3</c:v>
                </c:pt>
                <c:pt idx="87">
                  <c:v>3.7009011211552598E-3</c:v>
                </c:pt>
                <c:pt idx="88">
                  <c:v>3.6925237920998502E-3</c:v>
                </c:pt>
                <c:pt idx="89">
                  <c:v>3.6786918799725401E-3</c:v>
                </c:pt>
                <c:pt idx="90">
                  <c:v>3.6873999906115698E-3</c:v>
                </c:pt>
                <c:pt idx="91">
                  <c:v>3.6723573224764199E-3</c:v>
                </c:pt>
                <c:pt idx="92">
                  <c:v>3.6958804808188699E-3</c:v>
                </c:pt>
                <c:pt idx="93">
                  <c:v>3.6762651058136401E-3</c:v>
                </c:pt>
                <c:pt idx="94">
                  <c:v>3.6824249091089098E-3</c:v>
                </c:pt>
                <c:pt idx="95">
                  <c:v>3.7161931318557902E-3</c:v>
                </c:pt>
                <c:pt idx="96">
                  <c:v>3.7133242500265199E-3</c:v>
                </c:pt>
                <c:pt idx="97">
                  <c:v>3.70800635248817E-3</c:v>
                </c:pt>
                <c:pt idx="98">
                  <c:v>3.7104100145969698E-3</c:v>
                </c:pt>
                <c:pt idx="99">
                  <c:v>3.7365104938622898E-3</c:v>
                </c:pt>
                <c:pt idx="100">
                  <c:v>3.7515886753961402E-3</c:v>
                </c:pt>
                <c:pt idx="101">
                  <c:v>3.7849974351002501E-3</c:v>
                </c:pt>
                <c:pt idx="102">
                  <c:v>3.79695817491347E-3</c:v>
                </c:pt>
                <c:pt idx="103">
                  <c:v>3.8196939642384099E-3</c:v>
                </c:pt>
                <c:pt idx="104">
                  <c:v>3.8476282487016401E-3</c:v>
                </c:pt>
                <c:pt idx="105">
                  <c:v>3.8948901104852102E-3</c:v>
                </c:pt>
                <c:pt idx="106">
                  <c:v>3.9276665701301096E-3</c:v>
                </c:pt>
                <c:pt idx="107">
                  <c:v>3.9751370844515301E-3</c:v>
                </c:pt>
                <c:pt idx="108">
                  <c:v>4.0033881662985401E-3</c:v>
                </c:pt>
                <c:pt idx="109">
                  <c:v>4.0595510663730102E-3</c:v>
                </c:pt>
                <c:pt idx="110">
                  <c:v>4.0936724053564997E-3</c:v>
                </c:pt>
                <c:pt idx="111">
                  <c:v>4.1366411424991001E-3</c:v>
                </c:pt>
                <c:pt idx="112">
                  <c:v>4.1983564691474001E-3</c:v>
                </c:pt>
                <c:pt idx="113">
                  <c:v>4.2581842109272704E-3</c:v>
                </c:pt>
                <c:pt idx="114">
                  <c:v>4.3324594467367096E-3</c:v>
                </c:pt>
                <c:pt idx="115">
                  <c:v>4.3775095920316103E-3</c:v>
                </c:pt>
                <c:pt idx="116">
                  <c:v>4.4586380883167897E-3</c:v>
                </c:pt>
                <c:pt idx="117">
                  <c:v>4.54766604663081E-3</c:v>
                </c:pt>
                <c:pt idx="118">
                  <c:v>4.5862846949922603E-3</c:v>
                </c:pt>
                <c:pt idx="119">
                  <c:v>4.6722885170271296E-3</c:v>
                </c:pt>
                <c:pt idx="120">
                  <c:v>4.7562013213401904E-3</c:v>
                </c:pt>
                <c:pt idx="121">
                  <c:v>4.8327609760141204E-3</c:v>
                </c:pt>
                <c:pt idx="122">
                  <c:v>4.9042527564673701E-3</c:v>
                </c:pt>
                <c:pt idx="123">
                  <c:v>4.9820907214046702E-3</c:v>
                </c:pt>
                <c:pt idx="124">
                  <c:v>5.0751143498949198E-3</c:v>
                </c:pt>
                <c:pt idx="125">
                  <c:v>5.1694197259772399E-3</c:v>
                </c:pt>
                <c:pt idx="126">
                  <c:v>5.2338379991064598E-3</c:v>
                </c:pt>
                <c:pt idx="127">
                  <c:v>5.3224658714632802E-3</c:v>
                </c:pt>
                <c:pt idx="128">
                  <c:v>5.4038915674941299E-3</c:v>
                </c:pt>
                <c:pt idx="129">
                  <c:v>5.4807577940726802E-3</c:v>
                </c:pt>
                <c:pt idx="130">
                  <c:v>5.5452279929176498E-3</c:v>
                </c:pt>
                <c:pt idx="131">
                  <c:v>5.6391385130766499E-3</c:v>
                </c:pt>
                <c:pt idx="132">
                  <c:v>5.7188382631496197E-3</c:v>
                </c:pt>
                <c:pt idx="133">
                  <c:v>5.8038823041441801E-3</c:v>
                </c:pt>
                <c:pt idx="134">
                  <c:v>5.8703357396626098E-3</c:v>
                </c:pt>
                <c:pt idx="135">
                  <c:v>5.9395591744678599E-3</c:v>
                </c:pt>
                <c:pt idx="136">
                  <c:v>6.0173463463997498E-3</c:v>
                </c:pt>
                <c:pt idx="137">
                  <c:v>6.1091667579711599E-3</c:v>
                </c:pt>
                <c:pt idx="138">
                  <c:v>6.1644863244931201E-3</c:v>
                </c:pt>
                <c:pt idx="139">
                  <c:v>6.2343662628316599E-3</c:v>
                </c:pt>
                <c:pt idx="140">
                  <c:v>6.3140555204251299E-3</c:v>
                </c:pt>
                <c:pt idx="141">
                  <c:v>6.3671765721337904E-3</c:v>
                </c:pt>
                <c:pt idx="142">
                  <c:v>6.4519169337535903E-3</c:v>
                </c:pt>
                <c:pt idx="143">
                  <c:v>6.5112279256229503E-3</c:v>
                </c:pt>
                <c:pt idx="144">
                  <c:v>6.5706300577900402E-3</c:v>
                </c:pt>
                <c:pt idx="145">
                  <c:v>6.6548290405670299E-3</c:v>
                </c:pt>
                <c:pt idx="146">
                  <c:v>6.7455923657221504E-3</c:v>
                </c:pt>
                <c:pt idx="147">
                  <c:v>6.7988646240503998E-3</c:v>
                </c:pt>
                <c:pt idx="148">
                  <c:v>6.8771357214247502E-3</c:v>
                </c:pt>
                <c:pt idx="149">
                  <c:v>6.9028331275145498E-3</c:v>
                </c:pt>
                <c:pt idx="150">
                  <c:v>6.9954190799848001E-3</c:v>
                </c:pt>
                <c:pt idx="151">
                  <c:v>7.1073980875300397E-3</c:v>
                </c:pt>
                <c:pt idx="152">
                  <c:v>7.1166082842837397E-3</c:v>
                </c:pt>
                <c:pt idx="153">
                  <c:v>7.1789639923109799E-3</c:v>
                </c:pt>
                <c:pt idx="154">
                  <c:v>7.2560316800258304E-3</c:v>
                </c:pt>
                <c:pt idx="155">
                  <c:v>7.31743121925471E-3</c:v>
                </c:pt>
                <c:pt idx="156">
                  <c:v>7.3700982929643397E-3</c:v>
                </c:pt>
                <c:pt idx="157">
                  <c:v>7.4429680441171998E-3</c:v>
                </c:pt>
                <c:pt idx="158">
                  <c:v>7.5022435276592197E-3</c:v>
                </c:pt>
                <c:pt idx="159">
                  <c:v>7.5980712036145702E-3</c:v>
                </c:pt>
                <c:pt idx="160">
                  <c:v>7.6958183605694399E-3</c:v>
                </c:pt>
                <c:pt idx="161">
                  <c:v>7.7744210854047901E-3</c:v>
                </c:pt>
                <c:pt idx="162">
                  <c:v>7.8180602977105801E-3</c:v>
                </c:pt>
                <c:pt idx="163">
                  <c:v>7.9296943269169598E-3</c:v>
                </c:pt>
                <c:pt idx="164">
                  <c:v>7.9909395481660601E-3</c:v>
                </c:pt>
                <c:pt idx="165">
                  <c:v>8.0712078142960806E-3</c:v>
                </c:pt>
                <c:pt idx="166">
                  <c:v>8.1744525133005692E-3</c:v>
                </c:pt>
                <c:pt idx="167">
                  <c:v>8.2699914111250394E-3</c:v>
                </c:pt>
                <c:pt idx="168">
                  <c:v>8.3738806072331997E-3</c:v>
                </c:pt>
                <c:pt idx="169">
                  <c:v>8.4550692510003897E-3</c:v>
                </c:pt>
                <c:pt idx="170">
                  <c:v>8.5650632228269092E-3</c:v>
                </c:pt>
                <c:pt idx="171">
                  <c:v>8.7077525511155204E-3</c:v>
                </c:pt>
                <c:pt idx="172">
                  <c:v>8.7967988627373293E-3</c:v>
                </c:pt>
                <c:pt idx="173">
                  <c:v>8.9151884713238195E-3</c:v>
                </c:pt>
                <c:pt idx="174">
                  <c:v>9.0509297076318395E-3</c:v>
                </c:pt>
                <c:pt idx="175">
                  <c:v>9.1388891457799097E-3</c:v>
                </c:pt>
                <c:pt idx="176">
                  <c:v>9.2615249841461397E-3</c:v>
                </c:pt>
                <c:pt idx="177">
                  <c:v>9.4102555333420608E-3</c:v>
                </c:pt>
                <c:pt idx="178">
                  <c:v>9.5070657363161802E-3</c:v>
                </c:pt>
                <c:pt idx="179">
                  <c:v>9.6479661467646204E-3</c:v>
                </c:pt>
                <c:pt idx="180">
                  <c:v>9.7525402898948291E-3</c:v>
                </c:pt>
                <c:pt idx="181">
                  <c:v>9.9199785170573894E-3</c:v>
                </c:pt>
                <c:pt idx="182">
                  <c:v>1.00498155819429E-2</c:v>
                </c:pt>
                <c:pt idx="183">
                  <c:v>1.01974794550534E-2</c:v>
                </c:pt>
                <c:pt idx="184">
                  <c:v>1.03432235163082E-2</c:v>
                </c:pt>
                <c:pt idx="185">
                  <c:v>1.0486494265175301E-2</c:v>
                </c:pt>
                <c:pt idx="186">
                  <c:v>1.06324897801782E-2</c:v>
                </c:pt>
                <c:pt idx="187">
                  <c:v>1.0784926958507199E-2</c:v>
                </c:pt>
                <c:pt idx="188">
                  <c:v>1.09200895503106E-2</c:v>
                </c:pt>
                <c:pt idx="189">
                  <c:v>1.1066748762253E-2</c:v>
                </c:pt>
                <c:pt idx="190">
                  <c:v>1.1168187099239699E-2</c:v>
                </c:pt>
                <c:pt idx="191">
                  <c:v>1.1349607599252199E-2</c:v>
                </c:pt>
                <c:pt idx="192">
                  <c:v>1.15106113389745E-2</c:v>
                </c:pt>
                <c:pt idx="193">
                  <c:v>1.1630287710112E-2</c:v>
                </c:pt>
                <c:pt idx="194">
                  <c:v>1.17925531584765E-2</c:v>
                </c:pt>
                <c:pt idx="195">
                  <c:v>1.19706194443681E-2</c:v>
                </c:pt>
                <c:pt idx="196">
                  <c:v>1.20934993387324E-2</c:v>
                </c:pt>
                <c:pt idx="197">
                  <c:v>1.2184590867405899E-2</c:v>
                </c:pt>
                <c:pt idx="198">
                  <c:v>1.23226772310557E-2</c:v>
                </c:pt>
                <c:pt idx="199">
                  <c:v>1.2504578711937501E-2</c:v>
                </c:pt>
                <c:pt idx="200">
                  <c:v>1.25621129443845E-2</c:v>
                </c:pt>
                <c:pt idx="201">
                  <c:v>1.2721284942384999E-2</c:v>
                </c:pt>
                <c:pt idx="202">
                  <c:v>1.2833979743961801E-2</c:v>
                </c:pt>
                <c:pt idx="203">
                  <c:v>1.29597310165241E-2</c:v>
                </c:pt>
                <c:pt idx="204">
                  <c:v>1.31006043916583E-2</c:v>
                </c:pt>
                <c:pt idx="205">
                  <c:v>1.3192620364484899E-2</c:v>
                </c:pt>
                <c:pt idx="206">
                  <c:v>1.3293879481950601E-2</c:v>
                </c:pt>
                <c:pt idx="207">
                  <c:v>1.33406522561825E-2</c:v>
                </c:pt>
                <c:pt idx="208">
                  <c:v>1.3458043073318901E-2</c:v>
                </c:pt>
                <c:pt idx="209">
                  <c:v>1.35853263599736E-2</c:v>
                </c:pt>
                <c:pt idx="210">
                  <c:v>1.3634428813994201E-2</c:v>
                </c:pt>
                <c:pt idx="211">
                  <c:v>1.37327410336173E-2</c:v>
                </c:pt>
                <c:pt idx="212">
                  <c:v>1.37598202820669E-2</c:v>
                </c:pt>
                <c:pt idx="213">
                  <c:v>1.3855848505834E-2</c:v>
                </c:pt>
                <c:pt idx="214">
                  <c:v>1.38853105580559E-2</c:v>
                </c:pt>
                <c:pt idx="215">
                  <c:v>1.3933333022757999E-2</c:v>
                </c:pt>
                <c:pt idx="216">
                  <c:v>1.3989218393103299E-2</c:v>
                </c:pt>
                <c:pt idx="217">
                  <c:v>1.40115156830041E-2</c:v>
                </c:pt>
                <c:pt idx="218">
                  <c:v>1.40125112065297E-2</c:v>
                </c:pt>
                <c:pt idx="219">
                  <c:v>1.40366301751879E-2</c:v>
                </c:pt>
                <c:pt idx="220">
                  <c:v>1.4060417821595001E-2</c:v>
                </c:pt>
                <c:pt idx="221">
                  <c:v>1.40669737796488E-2</c:v>
                </c:pt>
                <c:pt idx="222">
                  <c:v>1.4077334646619401E-2</c:v>
                </c:pt>
                <c:pt idx="223">
                  <c:v>1.40694473185055E-2</c:v>
                </c:pt>
                <c:pt idx="224">
                  <c:v>1.4056267539064899E-2</c:v>
                </c:pt>
                <c:pt idx="225">
                  <c:v>1.39809643219659E-2</c:v>
                </c:pt>
                <c:pt idx="226">
                  <c:v>1.3980669145312199E-2</c:v>
                </c:pt>
                <c:pt idx="227">
                  <c:v>1.39838379133733E-2</c:v>
                </c:pt>
                <c:pt idx="228">
                  <c:v>1.3912380151621599E-2</c:v>
                </c:pt>
                <c:pt idx="229">
                  <c:v>1.38374014737321E-2</c:v>
                </c:pt>
                <c:pt idx="230">
                  <c:v>1.37997509986168E-2</c:v>
                </c:pt>
                <c:pt idx="231">
                  <c:v>1.36992669039579E-2</c:v>
                </c:pt>
                <c:pt idx="232">
                  <c:v>1.36641850689801E-2</c:v>
                </c:pt>
                <c:pt idx="233">
                  <c:v>1.35493843848096E-2</c:v>
                </c:pt>
                <c:pt idx="234">
                  <c:v>1.3457470402001201E-2</c:v>
                </c:pt>
                <c:pt idx="235">
                  <c:v>1.33752583030778E-2</c:v>
                </c:pt>
                <c:pt idx="236">
                  <c:v>1.33175401541379E-2</c:v>
                </c:pt>
                <c:pt idx="237">
                  <c:v>1.31846566666751E-2</c:v>
                </c:pt>
                <c:pt idx="238">
                  <c:v>1.3102237458844399E-2</c:v>
                </c:pt>
                <c:pt idx="239">
                  <c:v>1.2979648929288099E-2</c:v>
                </c:pt>
                <c:pt idx="240">
                  <c:v>1.29034168229973E-2</c:v>
                </c:pt>
                <c:pt idx="241">
                  <c:v>1.27860577568492E-2</c:v>
                </c:pt>
                <c:pt idx="242">
                  <c:v>1.26720956449143E-2</c:v>
                </c:pt>
                <c:pt idx="243">
                  <c:v>1.25478665176358E-2</c:v>
                </c:pt>
                <c:pt idx="244">
                  <c:v>1.2436483908392399E-2</c:v>
                </c:pt>
                <c:pt idx="245">
                  <c:v>1.23024606083624E-2</c:v>
                </c:pt>
                <c:pt idx="246">
                  <c:v>1.21699053402322E-2</c:v>
                </c:pt>
                <c:pt idx="247">
                  <c:v>1.20886421657776E-2</c:v>
                </c:pt>
                <c:pt idx="248">
                  <c:v>1.1909413965724E-2</c:v>
                </c:pt>
                <c:pt idx="249">
                  <c:v>1.1764364682935499E-2</c:v>
                </c:pt>
                <c:pt idx="250">
                  <c:v>1.1605420591333101E-2</c:v>
                </c:pt>
                <c:pt idx="251">
                  <c:v>1.14890503478385E-2</c:v>
                </c:pt>
                <c:pt idx="252">
                  <c:v>1.1345450356016199E-2</c:v>
                </c:pt>
                <c:pt idx="253">
                  <c:v>1.11832802634871E-2</c:v>
                </c:pt>
                <c:pt idx="254">
                  <c:v>1.10382670884118E-2</c:v>
                </c:pt>
                <c:pt idx="255">
                  <c:v>1.08625798401256E-2</c:v>
                </c:pt>
                <c:pt idx="256">
                  <c:v>1.07007291055338E-2</c:v>
                </c:pt>
                <c:pt idx="257">
                  <c:v>1.0575888434429999E-2</c:v>
                </c:pt>
                <c:pt idx="258">
                  <c:v>1.04225225993469E-2</c:v>
                </c:pt>
                <c:pt idx="259">
                  <c:v>1.02332890657172E-2</c:v>
                </c:pt>
                <c:pt idx="260">
                  <c:v>1.0044356279138701E-2</c:v>
                </c:pt>
                <c:pt idx="261">
                  <c:v>9.8958910904929295E-3</c:v>
                </c:pt>
                <c:pt idx="262">
                  <c:v>9.7627807754295803E-3</c:v>
                </c:pt>
                <c:pt idx="263">
                  <c:v>9.6225171856573095E-3</c:v>
                </c:pt>
                <c:pt idx="264">
                  <c:v>9.4568288683052493E-3</c:v>
                </c:pt>
                <c:pt idx="265">
                  <c:v>9.2831564360812396E-3</c:v>
                </c:pt>
                <c:pt idx="266">
                  <c:v>9.1185240546465592E-3</c:v>
                </c:pt>
                <c:pt idx="267">
                  <c:v>8.9670151524018499E-3</c:v>
                </c:pt>
                <c:pt idx="268">
                  <c:v>8.7927317509017503E-3</c:v>
                </c:pt>
                <c:pt idx="269">
                  <c:v>8.6161993444015001E-3</c:v>
                </c:pt>
                <c:pt idx="270">
                  <c:v>8.4872033638581593E-3</c:v>
                </c:pt>
                <c:pt idx="271">
                  <c:v>8.3385951005675394E-3</c:v>
                </c:pt>
                <c:pt idx="272">
                  <c:v>8.2079247129007594E-3</c:v>
                </c:pt>
                <c:pt idx="273">
                  <c:v>8.0611083988376894E-3</c:v>
                </c:pt>
                <c:pt idx="274">
                  <c:v>7.9020203223405406E-3</c:v>
                </c:pt>
                <c:pt idx="275">
                  <c:v>7.7501760888327199E-3</c:v>
                </c:pt>
                <c:pt idx="276">
                  <c:v>7.5968898138691803E-3</c:v>
                </c:pt>
                <c:pt idx="277">
                  <c:v>7.45697255915884E-3</c:v>
                </c:pt>
                <c:pt idx="278">
                  <c:v>7.3219708456623003E-3</c:v>
                </c:pt>
                <c:pt idx="279">
                  <c:v>7.1451078733783101E-3</c:v>
                </c:pt>
                <c:pt idx="280">
                  <c:v>7.0102658246127096E-3</c:v>
                </c:pt>
                <c:pt idx="281">
                  <c:v>6.88810571070531E-3</c:v>
                </c:pt>
                <c:pt idx="282">
                  <c:v>6.7575647652645598E-3</c:v>
                </c:pt>
                <c:pt idx="283">
                  <c:v>6.6140614933700098E-3</c:v>
                </c:pt>
                <c:pt idx="284">
                  <c:v>6.4469475791569296E-3</c:v>
                </c:pt>
                <c:pt idx="285">
                  <c:v>6.3446280579365901E-3</c:v>
                </c:pt>
                <c:pt idx="286">
                  <c:v>6.1822381606307601E-3</c:v>
                </c:pt>
                <c:pt idx="287">
                  <c:v>6.0645525615523896E-3</c:v>
                </c:pt>
                <c:pt idx="288">
                  <c:v>5.9335415323419098E-3</c:v>
                </c:pt>
                <c:pt idx="289">
                  <c:v>5.8072198331405502E-3</c:v>
                </c:pt>
                <c:pt idx="290">
                  <c:v>5.6854588381464698E-3</c:v>
                </c:pt>
                <c:pt idx="291">
                  <c:v>5.5623622287347104E-3</c:v>
                </c:pt>
                <c:pt idx="292">
                  <c:v>5.42531580289486E-3</c:v>
                </c:pt>
                <c:pt idx="293">
                  <c:v>5.31151248810122E-3</c:v>
                </c:pt>
                <c:pt idx="294">
                  <c:v>5.1744390569943496E-3</c:v>
                </c:pt>
                <c:pt idx="295">
                  <c:v>5.0549520972781297E-3</c:v>
                </c:pt>
                <c:pt idx="296">
                  <c:v>4.9283044591529601E-3</c:v>
                </c:pt>
                <c:pt idx="297">
                  <c:v>4.8292298735582804E-3</c:v>
                </c:pt>
                <c:pt idx="298">
                  <c:v>4.7160876409466004E-3</c:v>
                </c:pt>
                <c:pt idx="299">
                  <c:v>4.5967517501366902E-3</c:v>
                </c:pt>
                <c:pt idx="300">
                  <c:v>4.4922856826055298E-3</c:v>
                </c:pt>
                <c:pt idx="301">
                  <c:v>4.3824454876543904E-3</c:v>
                </c:pt>
                <c:pt idx="302">
                  <c:v>4.2737098271238604E-3</c:v>
                </c:pt>
                <c:pt idx="303">
                  <c:v>4.1747822094858403E-3</c:v>
                </c:pt>
                <c:pt idx="304">
                  <c:v>4.0658157011195899E-3</c:v>
                </c:pt>
                <c:pt idx="305">
                  <c:v>3.9699136191954504E-3</c:v>
                </c:pt>
                <c:pt idx="306">
                  <c:v>3.8750496089927102E-3</c:v>
                </c:pt>
                <c:pt idx="307">
                  <c:v>3.7932412571094502E-3</c:v>
                </c:pt>
                <c:pt idx="308">
                  <c:v>3.7091811772248999E-3</c:v>
                </c:pt>
                <c:pt idx="309">
                  <c:v>3.6112227672648301E-3</c:v>
                </c:pt>
                <c:pt idx="310">
                  <c:v>3.5221647879074402E-3</c:v>
                </c:pt>
                <c:pt idx="311">
                  <c:v>3.4297717562303399E-3</c:v>
                </c:pt>
                <c:pt idx="312">
                  <c:v>3.35565831701477E-3</c:v>
                </c:pt>
                <c:pt idx="313">
                  <c:v>3.2546078398136501E-3</c:v>
                </c:pt>
                <c:pt idx="314">
                  <c:v>3.1748201247101299E-3</c:v>
                </c:pt>
                <c:pt idx="315">
                  <c:v>3.09127406913399E-3</c:v>
                </c:pt>
                <c:pt idx="316">
                  <c:v>3.0181705880402299E-3</c:v>
                </c:pt>
                <c:pt idx="317">
                  <c:v>2.9405375205699899E-3</c:v>
                </c:pt>
                <c:pt idx="318">
                  <c:v>2.86412074193565E-3</c:v>
                </c:pt>
                <c:pt idx="319">
                  <c:v>2.79078851701501E-3</c:v>
                </c:pt>
                <c:pt idx="320">
                  <c:v>2.7182385016267601E-3</c:v>
                </c:pt>
                <c:pt idx="321">
                  <c:v>2.6542816668903E-3</c:v>
                </c:pt>
                <c:pt idx="322">
                  <c:v>2.5855061010782799E-3</c:v>
                </c:pt>
                <c:pt idx="323">
                  <c:v>2.51024627777326E-3</c:v>
                </c:pt>
                <c:pt idx="324">
                  <c:v>2.4458083639308098E-3</c:v>
                </c:pt>
                <c:pt idx="325">
                  <c:v>2.3692224170342598E-3</c:v>
                </c:pt>
                <c:pt idx="326">
                  <c:v>2.3173595834111E-3</c:v>
                </c:pt>
                <c:pt idx="327">
                  <c:v>2.2612436508927598E-3</c:v>
                </c:pt>
                <c:pt idx="328">
                  <c:v>2.2011936483428002E-3</c:v>
                </c:pt>
                <c:pt idx="329">
                  <c:v>2.1457461613279901E-3</c:v>
                </c:pt>
                <c:pt idx="330">
                  <c:v>2.0848494228192099E-3</c:v>
                </c:pt>
                <c:pt idx="331">
                  <c:v>2.0312440240678E-3</c:v>
                </c:pt>
                <c:pt idx="332">
                  <c:v>1.97900601801748E-3</c:v>
                </c:pt>
                <c:pt idx="333">
                  <c:v>1.91961911599111E-3</c:v>
                </c:pt>
                <c:pt idx="334">
                  <c:v>1.8773098297031701E-3</c:v>
                </c:pt>
                <c:pt idx="335">
                  <c:v>1.8197883261768799E-3</c:v>
                </c:pt>
                <c:pt idx="336">
                  <c:v>1.7696973417685E-3</c:v>
                </c:pt>
                <c:pt idx="337">
                  <c:v>1.72426551079709E-3</c:v>
                </c:pt>
                <c:pt idx="338">
                  <c:v>1.67526452909727E-3</c:v>
                </c:pt>
                <c:pt idx="339">
                  <c:v>1.6361329741826701E-3</c:v>
                </c:pt>
                <c:pt idx="340">
                  <c:v>1.58743749347293E-3</c:v>
                </c:pt>
                <c:pt idx="341">
                  <c:v>1.54249183333267E-3</c:v>
                </c:pt>
                <c:pt idx="342">
                  <c:v>1.50537052441471E-3</c:v>
                </c:pt>
                <c:pt idx="343">
                  <c:v>1.4568809618923299E-3</c:v>
                </c:pt>
                <c:pt idx="344">
                  <c:v>1.4211938434799099E-3</c:v>
                </c:pt>
                <c:pt idx="345">
                  <c:v>1.38225227206883E-3</c:v>
                </c:pt>
                <c:pt idx="346">
                  <c:v>1.3407402483131001E-3</c:v>
                </c:pt>
                <c:pt idx="347">
                  <c:v>1.31061689071548E-3</c:v>
                </c:pt>
                <c:pt idx="348">
                  <c:v>1.26778710685154E-3</c:v>
                </c:pt>
                <c:pt idx="349">
                  <c:v>1.2356883170786101E-3</c:v>
                </c:pt>
                <c:pt idx="350">
                  <c:v>1.20309052849101E-3</c:v>
                </c:pt>
                <c:pt idx="351">
                  <c:v>1.16291189320011E-3</c:v>
                </c:pt>
                <c:pt idx="352">
                  <c:v>1.1337118095171501E-3</c:v>
                </c:pt>
                <c:pt idx="353">
                  <c:v>1.0992598460670699E-3</c:v>
                </c:pt>
                <c:pt idx="354">
                  <c:v>1.0708194508521601E-3</c:v>
                </c:pt>
                <c:pt idx="355">
                  <c:v>1.0327210198580699E-3</c:v>
                </c:pt>
                <c:pt idx="356">
                  <c:v>1.0104032923906E-3</c:v>
                </c:pt>
                <c:pt idx="357">
                  <c:v>9.8803777030825705E-4</c:v>
                </c:pt>
                <c:pt idx="358">
                  <c:v>9.5726680499479903E-4</c:v>
                </c:pt>
                <c:pt idx="359">
                  <c:v>9.2695639185840005E-4</c:v>
                </c:pt>
                <c:pt idx="360">
                  <c:v>9.0469958092995E-4</c:v>
                </c:pt>
                <c:pt idx="361">
                  <c:v>8.7824613467367397E-4</c:v>
                </c:pt>
                <c:pt idx="362">
                  <c:v>8.5200157822916097E-4</c:v>
                </c:pt>
                <c:pt idx="363">
                  <c:v>8.2931448140223399E-4</c:v>
                </c:pt>
                <c:pt idx="364">
                  <c:v>8.0382040269491898E-4</c:v>
                </c:pt>
                <c:pt idx="365">
                  <c:v>7.85885878178707E-4</c:v>
                </c:pt>
                <c:pt idx="366">
                  <c:v>7.66204652569303E-4</c:v>
                </c:pt>
                <c:pt idx="367">
                  <c:v>7.4093703257093304E-4</c:v>
                </c:pt>
                <c:pt idx="368">
                  <c:v>7.2442848152340703E-4</c:v>
                </c:pt>
                <c:pt idx="369">
                  <c:v>7.0321144636905199E-4</c:v>
                </c:pt>
                <c:pt idx="370">
                  <c:v>6.8472437115487295E-4</c:v>
                </c:pt>
                <c:pt idx="371">
                  <c:v>6.6442293745883302E-4</c:v>
                </c:pt>
                <c:pt idx="372">
                  <c:v>6.4878993284004098E-4</c:v>
                </c:pt>
                <c:pt idx="373">
                  <c:v>6.3432525305117499E-4</c:v>
                </c:pt>
                <c:pt idx="374">
                  <c:v>6.1726625748981701E-4</c:v>
                </c:pt>
                <c:pt idx="375">
                  <c:v>5.9566915913701504E-4</c:v>
                </c:pt>
                <c:pt idx="376">
                  <c:v>5.8094698403299305E-4</c:v>
                </c:pt>
                <c:pt idx="377">
                  <c:v>5.6862630841026296E-4</c:v>
                </c:pt>
                <c:pt idx="378">
                  <c:v>5.5324567155859796E-4</c:v>
                </c:pt>
                <c:pt idx="379">
                  <c:v>5.4094171861001196E-4</c:v>
                </c:pt>
                <c:pt idx="380">
                  <c:v>5.2361454725959999E-4</c:v>
                </c:pt>
                <c:pt idx="381">
                  <c:v>5.1381123186764897E-4</c:v>
                </c:pt>
                <c:pt idx="382">
                  <c:v>4.9763262546993899E-4</c:v>
                </c:pt>
                <c:pt idx="383">
                  <c:v>4.8513555249998601E-4</c:v>
                </c:pt>
                <c:pt idx="384">
                  <c:v>4.7328589988063799E-4</c:v>
                </c:pt>
                <c:pt idx="385">
                  <c:v>4.6111955924214799E-4</c:v>
                </c:pt>
                <c:pt idx="386">
                  <c:v>4.4851677568615901E-4</c:v>
                </c:pt>
                <c:pt idx="387">
                  <c:v>4.3852264772923001E-4</c:v>
                </c:pt>
                <c:pt idx="388">
                  <c:v>4.27658008638269E-4</c:v>
                </c:pt>
                <c:pt idx="389">
                  <c:v>4.1694147827516702E-4</c:v>
                </c:pt>
                <c:pt idx="390">
                  <c:v>4.0453918093917102E-4</c:v>
                </c:pt>
                <c:pt idx="391">
                  <c:v>3.9441633153784202E-4</c:v>
                </c:pt>
                <c:pt idx="392">
                  <c:v>3.8470237986706598E-4</c:v>
                </c:pt>
                <c:pt idx="393">
                  <c:v>3.7545386696852701E-4</c:v>
                </c:pt>
                <c:pt idx="394">
                  <c:v>3.6381240518274698E-4</c:v>
                </c:pt>
                <c:pt idx="395">
                  <c:v>3.56382035796382E-4</c:v>
                </c:pt>
                <c:pt idx="396">
                  <c:v>3.4875716241162299E-4</c:v>
                </c:pt>
                <c:pt idx="397">
                  <c:v>3.4227177919388601E-4</c:v>
                </c:pt>
                <c:pt idx="398">
                  <c:v>3.3085889716857902E-4</c:v>
                </c:pt>
                <c:pt idx="399">
                  <c:v>3.2740313618373902E-4</c:v>
                </c:pt>
                <c:pt idx="400">
                  <c:v>3.16175758890274E-4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6FF-4332-BC2D-BD6B108FEAA5}"/>
            </c:ext>
          </c:extLst>
        </c:ser>
        <c:ser>
          <c:idx val="1"/>
          <c:order val="1"/>
          <c:tx>
            <c:v>5nm</c:v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'Color metric'!$S$3:$S$83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382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'Color metric'!$T$3:$T$83</c:f>
              <c:numCache>
                <c:formatCode>0.0000000</c:formatCode>
                <c:ptCount val="81"/>
                <c:pt idx="0">
                  <c:v>1.8075402569103869E-4</c:v>
                </c:pt>
                <c:pt idx="1">
                  <c:v>2.1542939055504366E-4</c:v>
                </c:pt>
                <c:pt idx="2">
                  <c:v>1.9560220758118804E-4</c:v>
                </c:pt>
                <c:pt idx="3">
                  <c:v>4.4532108066930656E-4</c:v>
                </c:pt>
                <c:pt idx="4">
                  <c:v>9.7982051502022716E-4</c:v>
                </c:pt>
                <c:pt idx="5">
                  <c:v>2.3132844656651164E-3</c:v>
                </c:pt>
                <c:pt idx="6">
                  <c:v>4.7665384929649057E-3</c:v>
                </c:pt>
                <c:pt idx="7">
                  <c:v>7.1844692368076418E-3</c:v>
                </c:pt>
                <c:pt idx="8">
                  <c:v>7.0525977730027667E-3</c:v>
                </c:pt>
                <c:pt idx="9">
                  <c:v>5.0865687838841933E-3</c:v>
                </c:pt>
                <c:pt idx="10">
                  <c:v>3.714732691973241E-3</c:v>
                </c:pt>
                <c:pt idx="11">
                  <c:v>2.9624345608426847E-3</c:v>
                </c:pt>
                <c:pt idx="12">
                  <c:v>2.8057124878535893E-3</c:v>
                </c:pt>
                <c:pt idx="13">
                  <c:v>3.0171411222076894E-3</c:v>
                </c:pt>
                <c:pt idx="14">
                  <c:v>3.3093729498797683E-3</c:v>
                </c:pt>
                <c:pt idx="15">
                  <c:v>3.537052820653799E-3</c:v>
                </c:pt>
                <c:pt idx="16">
                  <c:v>3.6240394787112312E-3</c:v>
                </c:pt>
                <c:pt idx="17">
                  <c:v>3.6702861408028885E-3</c:v>
                </c:pt>
                <c:pt idx="18">
                  <c:v>3.6873999906115703E-3</c:v>
                </c:pt>
                <c:pt idx="19">
                  <c:v>3.7161931318557906E-3</c:v>
                </c:pt>
                <c:pt idx="20">
                  <c:v>3.7515886753961402E-3</c:v>
                </c:pt>
                <c:pt idx="21">
                  <c:v>3.8948901104852111E-3</c:v>
                </c:pt>
                <c:pt idx="22">
                  <c:v>4.093672405356498E-3</c:v>
                </c:pt>
                <c:pt idx="23">
                  <c:v>4.3775095920316129E-3</c:v>
                </c:pt>
                <c:pt idx="24">
                  <c:v>4.7562013213401921E-3</c:v>
                </c:pt>
                <c:pt idx="25">
                  <c:v>5.1694197259772381E-3</c:v>
                </c:pt>
                <c:pt idx="26">
                  <c:v>5.5452279929176507E-3</c:v>
                </c:pt>
                <c:pt idx="27">
                  <c:v>5.9395591744678677E-3</c:v>
                </c:pt>
                <c:pt idx="28">
                  <c:v>6.314055520425129E-3</c:v>
                </c:pt>
                <c:pt idx="29">
                  <c:v>6.6548290405670299E-3</c:v>
                </c:pt>
                <c:pt idx="30">
                  <c:v>6.9954190799847993E-3</c:v>
                </c:pt>
                <c:pt idx="31">
                  <c:v>7.3174312192547109E-3</c:v>
                </c:pt>
                <c:pt idx="32">
                  <c:v>7.6958183605694355E-3</c:v>
                </c:pt>
                <c:pt idx="33">
                  <c:v>8.0712078142960858E-3</c:v>
                </c:pt>
                <c:pt idx="34">
                  <c:v>8.5650632228269075E-3</c:v>
                </c:pt>
                <c:pt idx="35">
                  <c:v>9.1388891457798993E-3</c:v>
                </c:pt>
                <c:pt idx="36">
                  <c:v>9.7525402898948343E-3</c:v>
                </c:pt>
                <c:pt idx="37">
                  <c:v>1.0486494265175311E-2</c:v>
                </c:pt>
                <c:pt idx="38">
                  <c:v>1.1168187099239682E-2</c:v>
                </c:pt>
                <c:pt idx="39">
                  <c:v>1.19706194443681E-2</c:v>
                </c:pt>
                <c:pt idx="40">
                  <c:v>1.2562112944384501E-2</c:v>
                </c:pt>
                <c:pt idx="41">
                  <c:v>1.3192620364484896E-2</c:v>
                </c:pt>
                <c:pt idx="42">
                  <c:v>1.3634428813994195E-2</c:v>
                </c:pt>
                <c:pt idx="43">
                  <c:v>1.3933333022758006E-2</c:v>
                </c:pt>
                <c:pt idx="44">
                  <c:v>1.4060417821594999E-2</c:v>
                </c:pt>
                <c:pt idx="45">
                  <c:v>1.3980964321965899E-2</c:v>
                </c:pt>
                <c:pt idx="46">
                  <c:v>1.37997509986168E-2</c:v>
                </c:pt>
                <c:pt idx="47">
                  <c:v>1.33752583030778E-2</c:v>
                </c:pt>
                <c:pt idx="48">
                  <c:v>1.2903416822997296E-2</c:v>
                </c:pt>
                <c:pt idx="49">
                  <c:v>1.2302460608362389E-2</c:v>
                </c:pt>
                <c:pt idx="50">
                  <c:v>1.1605420591333099E-2</c:v>
                </c:pt>
                <c:pt idx="51">
                  <c:v>1.0862579840125605E-2</c:v>
                </c:pt>
                <c:pt idx="52">
                  <c:v>1.0044356279138703E-2</c:v>
                </c:pt>
                <c:pt idx="53">
                  <c:v>9.2831564360812413E-3</c:v>
                </c:pt>
                <c:pt idx="54">
                  <c:v>8.4872033638581507E-3</c:v>
                </c:pt>
                <c:pt idx="55">
                  <c:v>7.7501760888327165E-3</c:v>
                </c:pt>
                <c:pt idx="56">
                  <c:v>7.0102658246127131E-3</c:v>
                </c:pt>
                <c:pt idx="57">
                  <c:v>6.344628057936591E-3</c:v>
                </c:pt>
                <c:pt idx="58">
                  <c:v>5.6854588381464732E-3</c:v>
                </c:pt>
                <c:pt idx="59">
                  <c:v>5.0549520972781314E-3</c:v>
                </c:pt>
                <c:pt idx="60">
                  <c:v>4.4922856826055402E-3</c:v>
                </c:pt>
                <c:pt idx="61">
                  <c:v>3.9699136191954504E-3</c:v>
                </c:pt>
                <c:pt idx="62">
                  <c:v>3.5221647879074419E-3</c:v>
                </c:pt>
                <c:pt idx="63">
                  <c:v>3.0912740691339882E-3</c:v>
                </c:pt>
                <c:pt idx="64">
                  <c:v>2.7182385016267588E-3</c:v>
                </c:pt>
                <c:pt idx="65">
                  <c:v>2.3692224170342585E-3</c:v>
                </c:pt>
                <c:pt idx="66">
                  <c:v>2.0848494228192099E-3</c:v>
                </c:pt>
                <c:pt idx="67">
                  <c:v>1.8197883261768799E-3</c:v>
                </c:pt>
                <c:pt idx="68">
                  <c:v>1.5874374934729263E-3</c:v>
                </c:pt>
                <c:pt idx="69">
                  <c:v>1.3822522720688332E-3</c:v>
                </c:pt>
                <c:pt idx="70">
                  <c:v>1.2030905284910083E-3</c:v>
                </c:pt>
                <c:pt idx="71">
                  <c:v>1.0327210198580704E-3</c:v>
                </c:pt>
                <c:pt idx="72">
                  <c:v>9.0469958092995184E-4</c:v>
                </c:pt>
                <c:pt idx="73">
                  <c:v>7.8588587817870689E-4</c:v>
                </c:pt>
                <c:pt idx="74">
                  <c:v>6.847243711548736E-4</c:v>
                </c:pt>
                <c:pt idx="75">
                  <c:v>5.9566915913701439E-4</c:v>
                </c:pt>
                <c:pt idx="76">
                  <c:v>5.2361454725960085E-4</c:v>
                </c:pt>
                <c:pt idx="77">
                  <c:v>4.611195592421468E-4</c:v>
                </c:pt>
                <c:pt idx="78">
                  <c:v>4.0453918093917053E-4</c:v>
                </c:pt>
                <c:pt idx="79">
                  <c:v>3.5638203579638206E-4</c:v>
                </c:pt>
                <c:pt idx="80">
                  <c:v>3.1617575889028582E-4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6FF-4332-BC2D-BD6B108FE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55736"/>
        <c:axId val="392363968"/>
      </c:scatterChart>
      <c:valAx>
        <c:axId val="392355736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392363968"/>
        <c:crosses val="autoZero"/>
        <c:crossBetween val="midCat"/>
      </c:valAx>
      <c:valAx>
        <c:axId val="3923639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intensity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crossAx val="392355736"/>
        <c:crosses val="autoZero"/>
        <c:crossBetween val="midCat"/>
      </c:valAx>
      <c:spPr>
        <a:solidFill>
          <a:schemeClr val="tx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txPr>
    <a:bodyPr/>
    <a:lstStyle/>
    <a:p>
      <a:pPr>
        <a:defRPr>
          <a:solidFill>
            <a:schemeClr val="bg1"/>
          </a:solidFill>
        </a:defRPr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Calculator!$DU$30:$EA$30</c:f>
              <c:strCache>
                <c:ptCount val="7"/>
                <c:pt idx="0">
                  <c:v>Color syst</c:v>
                </c:pt>
                <c:pt idx="1">
                  <c:v>Printed</c:v>
                </c:pt>
                <c:pt idx="2">
                  <c:v>Plastics</c:v>
                </c:pt>
                <c:pt idx="3">
                  <c:v>Paints</c:v>
                </c:pt>
                <c:pt idx="4">
                  <c:v>Textiles</c:v>
                </c:pt>
                <c:pt idx="5">
                  <c:v>Skin</c:v>
                </c:pt>
                <c:pt idx="6">
                  <c:v>Nature</c:v>
                </c:pt>
              </c:strCache>
            </c:strRef>
          </c:cat>
          <c:val>
            <c:numRef>
              <c:f>Calculator!$DU$34:$EA$34</c:f>
              <c:numCache>
                <c:formatCode>0.00</c:formatCode>
                <c:ptCount val="7"/>
                <c:pt idx="0">
                  <c:v>85.81970242013476</c:v>
                </c:pt>
                <c:pt idx="1">
                  <c:v>81.595819958379138</c:v>
                </c:pt>
                <c:pt idx="2">
                  <c:v>78.824943010180419</c:v>
                </c:pt>
                <c:pt idx="3">
                  <c:v>78.130353219246899</c:v>
                </c:pt>
                <c:pt idx="4">
                  <c:v>82.816391488661182</c:v>
                </c:pt>
                <c:pt idx="5">
                  <c:v>87.505920614596278</c:v>
                </c:pt>
                <c:pt idx="6">
                  <c:v>80.989382743691635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F1-4C51-849A-2057BE4C3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392361616"/>
        <c:axId val="392362008"/>
      </c:barChart>
      <c:catAx>
        <c:axId val="392361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392362008"/>
        <c:crosses val="autoZero"/>
        <c:auto val="1"/>
        <c:lblAlgn val="ctr"/>
        <c:lblOffset val="100"/>
        <c:noMultiLvlLbl val="0"/>
      </c:catAx>
      <c:valAx>
        <c:axId val="392362008"/>
        <c:scaling>
          <c:orientation val="minMax"/>
          <c:max val="1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sample types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392361616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24-42C8-AE0B-605A325C696C}"/>
              </c:ext>
            </c:extLst>
          </c:dPt>
          <c:dPt>
            <c:idx val="1"/>
            <c:invertIfNegative val="0"/>
            <c:bubble3D val="0"/>
            <c:spPr>
              <a:solidFill>
                <a:srgbClr val="FF99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24-42C8-AE0B-605A325C696C}"/>
              </c:ext>
            </c:extLst>
          </c:dPt>
          <c:dPt>
            <c:idx val="2"/>
            <c:invertIfNegative val="0"/>
            <c:bubble3D val="0"/>
            <c:spPr>
              <a:solidFill>
                <a:srgbClr val="CCFF33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624-42C8-AE0B-605A325C696C}"/>
              </c:ext>
            </c:extLst>
          </c:dPt>
          <c:dPt>
            <c:idx val="3"/>
            <c:invertIfNegative val="0"/>
            <c:bubble3D val="0"/>
            <c:spPr>
              <a:solidFill>
                <a:srgbClr val="66FF66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624-42C8-AE0B-605A325C696C}"/>
              </c:ext>
            </c:extLst>
          </c:dPt>
          <c:dPt>
            <c:idx val="4"/>
            <c:invertIfNegative val="0"/>
            <c:bubble3D val="0"/>
            <c:spPr>
              <a:solidFill>
                <a:srgbClr val="00FFC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624-42C8-AE0B-605A325C696C}"/>
              </c:ext>
            </c:extLst>
          </c:dPt>
          <c:dPt>
            <c:idx val="5"/>
            <c:invertIfNegative val="0"/>
            <c:bubble3D val="0"/>
            <c:spPr>
              <a:solidFill>
                <a:srgbClr val="33CCFF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624-42C8-AE0B-605A325C696C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C624-42C8-AE0B-605A325C696C}"/>
              </c:ext>
            </c:extLst>
          </c:dPt>
          <c:dPt>
            <c:idx val="7"/>
            <c:invertIfNegative val="0"/>
            <c:bubble3D val="0"/>
            <c:spPr>
              <a:solidFill>
                <a:srgbClr val="FF66C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C624-42C8-AE0B-605A325C696C}"/>
              </c:ext>
            </c:extLst>
          </c:dPt>
          <c:dPt>
            <c:idx val="8"/>
            <c:invertIfNegative val="0"/>
            <c:bubble3D val="0"/>
            <c:spPr>
              <a:solidFill>
                <a:srgbClr val="E04F6E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C624-42C8-AE0B-605A325C696C}"/>
              </c:ext>
            </c:extLst>
          </c:dPt>
          <c:dPt>
            <c:idx val="9"/>
            <c:invertIfNegative val="0"/>
            <c:bubble3D val="0"/>
            <c:spPr>
              <a:solidFill>
                <a:srgbClr val="E7353E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C624-42C8-AE0B-605A325C696C}"/>
              </c:ext>
            </c:extLst>
          </c:dPt>
          <c:dPt>
            <c:idx val="10"/>
            <c:invertIfNegative val="0"/>
            <c:bubble3D val="0"/>
            <c:spPr>
              <a:solidFill>
                <a:srgbClr val="FB812E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C624-42C8-AE0B-605A325C696C}"/>
              </c:ext>
            </c:extLst>
          </c:dPt>
          <c:dPt>
            <c:idx val="11"/>
            <c:invertIfNegative val="0"/>
            <c:bubble3D val="0"/>
            <c:spPr>
              <a:solidFill>
                <a:srgbClr val="FFB529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C624-42C8-AE0B-605A325C696C}"/>
              </c:ext>
            </c:extLst>
          </c:dPt>
          <c:dPt>
            <c:idx val="12"/>
            <c:invertIfNegative val="0"/>
            <c:bubble3D val="0"/>
            <c:spPr>
              <a:solidFill>
                <a:srgbClr val="CBCA46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C624-42C8-AE0B-605A325C696C}"/>
              </c:ext>
            </c:extLst>
          </c:dPt>
          <c:dPt>
            <c:idx val="13"/>
            <c:invertIfNegative val="0"/>
            <c:bubble3D val="0"/>
            <c:spPr>
              <a:solidFill>
                <a:srgbClr val="7EB94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C624-42C8-AE0B-605A325C696C}"/>
              </c:ext>
            </c:extLst>
          </c:dPt>
          <c:dPt>
            <c:idx val="14"/>
            <c:invertIfNegative val="0"/>
            <c:bubble3D val="0"/>
            <c:spPr>
              <a:solidFill>
                <a:srgbClr val="41C06D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C624-42C8-AE0B-605A325C696C}"/>
              </c:ext>
            </c:extLst>
          </c:dPt>
          <c:dPt>
            <c:idx val="15"/>
            <c:invertIfNegative val="0"/>
            <c:bubble3D val="0"/>
            <c:spPr>
              <a:solidFill>
                <a:srgbClr val="009C7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C624-42C8-AE0B-605A325C696C}"/>
              </c:ext>
            </c:extLst>
          </c:dPt>
          <c:val>
            <c:numRef>
              <c:f>Calculator!$DU$22:$EB$22</c:f>
              <c:numCache>
                <c:formatCode>0.00</c:formatCode>
                <c:ptCount val="8"/>
                <c:pt idx="0">
                  <c:v>79.299603291907758</c:v>
                </c:pt>
                <c:pt idx="1">
                  <c:v>79.281627307512451</c:v>
                </c:pt>
                <c:pt idx="2">
                  <c:v>89.711054238203459</c:v>
                </c:pt>
                <c:pt idx="3">
                  <c:v>86.044921189152305</c:v>
                </c:pt>
                <c:pt idx="4">
                  <c:v>77.461821257872103</c:v>
                </c:pt>
                <c:pt idx="5">
                  <c:v>75.869446221545715</c:v>
                </c:pt>
                <c:pt idx="6">
                  <c:v>85.841359206439876</c:v>
                </c:pt>
                <c:pt idx="7">
                  <c:v>78.582890085536988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0-C624-42C8-AE0B-605A325C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392356520"/>
        <c:axId val="392364360"/>
      </c:barChart>
      <c:catAx>
        <c:axId val="39235652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hue</a:t>
                </a:r>
              </a:p>
            </c:rich>
          </c:tx>
          <c:layout>
            <c:manualLayout>
              <c:xMode val="edge"/>
              <c:yMode val="edge"/>
              <c:x val="0.46418356563409074"/>
              <c:y val="0.91982127234095734"/>
            </c:manualLayout>
          </c:layout>
          <c:overlay val="0"/>
        </c:title>
        <c:majorTickMark val="out"/>
        <c:minorTickMark val="none"/>
        <c:tickLblPos val="nextTo"/>
        <c:crossAx val="392364360"/>
        <c:crosses val="autoZero"/>
        <c:auto val="1"/>
        <c:lblAlgn val="ctr"/>
        <c:lblOffset val="100"/>
        <c:noMultiLvlLbl val="0"/>
      </c:catAx>
      <c:valAx>
        <c:axId val="392364360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392356520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'99set'!$C$10:$C$104</c:f>
              <c:numCache>
                <c:formatCode>0.00000</c:formatCode>
                <c:ptCount val="95"/>
                <c:pt idx="0">
                  <c:v>0.63590000000000002</c:v>
                </c:pt>
                <c:pt idx="1">
                  <c:v>0.63590000000000002</c:v>
                </c:pt>
                <c:pt idx="2">
                  <c:v>0.63590000000000002</c:v>
                </c:pt>
                <c:pt idx="3">
                  <c:v>0.63590000000000002</c:v>
                </c:pt>
                <c:pt idx="4">
                  <c:v>0.63590000000000002</c:v>
                </c:pt>
                <c:pt idx="5">
                  <c:v>0.63590000000000002</c:v>
                </c:pt>
                <c:pt idx="6">
                  <c:v>0.63590000000000002</c:v>
                </c:pt>
                <c:pt idx="7">
                  <c:v>0.63590000000000002</c:v>
                </c:pt>
                <c:pt idx="8">
                  <c:v>0.63590000000000002</c:v>
                </c:pt>
                <c:pt idx="9">
                  <c:v>0.64015</c:v>
                </c:pt>
                <c:pt idx="10">
                  <c:v>0.64539999999999997</c:v>
                </c:pt>
                <c:pt idx="11">
                  <c:v>0.64888000000000001</c:v>
                </c:pt>
                <c:pt idx="12">
                  <c:v>0.65069999999999995</c:v>
                </c:pt>
                <c:pt idx="13">
                  <c:v>0.65146999999999999</c:v>
                </c:pt>
                <c:pt idx="14">
                  <c:v>0.65080000000000005</c:v>
                </c:pt>
                <c:pt idx="15">
                  <c:v>0.64822999999999997</c:v>
                </c:pt>
                <c:pt idx="16">
                  <c:v>0.64400000000000002</c:v>
                </c:pt>
                <c:pt idx="17">
                  <c:v>0.63824999999999998</c:v>
                </c:pt>
                <c:pt idx="18">
                  <c:v>0.63009999999999999</c:v>
                </c:pt>
                <c:pt idx="19">
                  <c:v>0.61895</c:v>
                </c:pt>
                <c:pt idx="20">
                  <c:v>0.60629999999999995</c:v>
                </c:pt>
                <c:pt idx="21">
                  <c:v>0.59360999999999997</c:v>
                </c:pt>
                <c:pt idx="22">
                  <c:v>0.58020000000000005</c:v>
                </c:pt>
                <c:pt idx="23">
                  <c:v>0.56547999999999998</c:v>
                </c:pt>
                <c:pt idx="24">
                  <c:v>0.55149999999999999</c:v>
                </c:pt>
                <c:pt idx="25">
                  <c:v>0.54015999999999997</c:v>
                </c:pt>
                <c:pt idx="26">
                  <c:v>0.53</c:v>
                </c:pt>
                <c:pt idx="27">
                  <c:v>0.51941999999999999</c:v>
                </c:pt>
                <c:pt idx="28">
                  <c:v>0.50949999999999995</c:v>
                </c:pt>
                <c:pt idx="29">
                  <c:v>0.50163000000000002</c:v>
                </c:pt>
                <c:pt idx="30">
                  <c:v>0.49580000000000002</c:v>
                </c:pt>
                <c:pt idx="31">
                  <c:v>0.49170999999999998</c:v>
                </c:pt>
                <c:pt idx="32">
                  <c:v>0.4894</c:v>
                </c:pt>
                <c:pt idx="33">
                  <c:v>0.48884</c:v>
                </c:pt>
                <c:pt idx="34">
                  <c:v>0.4894</c:v>
                </c:pt>
                <c:pt idx="35">
                  <c:v>0.49068000000000001</c:v>
                </c:pt>
                <c:pt idx="36">
                  <c:v>0.49380000000000002</c:v>
                </c:pt>
                <c:pt idx="37">
                  <c:v>0.50011000000000005</c:v>
                </c:pt>
                <c:pt idx="38">
                  <c:v>0.51029999999999998</c:v>
                </c:pt>
                <c:pt idx="39">
                  <c:v>0.52488000000000001</c:v>
                </c:pt>
                <c:pt idx="40">
                  <c:v>0.54420000000000002</c:v>
                </c:pt>
                <c:pt idx="41">
                  <c:v>0.56832000000000005</c:v>
                </c:pt>
                <c:pt idx="42">
                  <c:v>0.59630000000000005</c:v>
                </c:pt>
                <c:pt idx="43">
                  <c:v>0.62678999999999996</c:v>
                </c:pt>
                <c:pt idx="44">
                  <c:v>0.65780000000000005</c:v>
                </c:pt>
                <c:pt idx="45">
                  <c:v>0.68742999999999999</c:v>
                </c:pt>
                <c:pt idx="46">
                  <c:v>0.71489999999999998</c:v>
                </c:pt>
                <c:pt idx="47">
                  <c:v>0.73973999999999995</c:v>
                </c:pt>
                <c:pt idx="48">
                  <c:v>0.76170000000000004</c:v>
                </c:pt>
                <c:pt idx="49">
                  <c:v>0.78071999999999997</c:v>
                </c:pt>
                <c:pt idx="50">
                  <c:v>0.79720000000000002</c:v>
                </c:pt>
                <c:pt idx="51">
                  <c:v>0.81155999999999995</c:v>
                </c:pt>
                <c:pt idx="52">
                  <c:v>0.82389999999999997</c:v>
                </c:pt>
                <c:pt idx="53">
                  <c:v>0.83426999999999996</c:v>
                </c:pt>
                <c:pt idx="54">
                  <c:v>0.84279999999999999</c:v>
                </c:pt>
                <c:pt idx="55">
                  <c:v>0.84970999999999997</c:v>
                </c:pt>
                <c:pt idx="56">
                  <c:v>0.85560000000000003</c:v>
                </c:pt>
                <c:pt idx="57">
                  <c:v>0.86097999999999997</c:v>
                </c:pt>
                <c:pt idx="58">
                  <c:v>0.86570000000000003</c:v>
                </c:pt>
                <c:pt idx="59">
                  <c:v>0.86955000000000005</c:v>
                </c:pt>
                <c:pt idx="60">
                  <c:v>0.87280000000000002</c:v>
                </c:pt>
                <c:pt idx="61">
                  <c:v>0.87578</c:v>
                </c:pt>
                <c:pt idx="62">
                  <c:v>0.87849999999999995</c:v>
                </c:pt>
                <c:pt idx="63">
                  <c:v>0.88093999999999995</c:v>
                </c:pt>
                <c:pt idx="64">
                  <c:v>0.88329999999999997</c:v>
                </c:pt>
                <c:pt idx="65">
                  <c:v>0.88578999999999997</c:v>
                </c:pt>
                <c:pt idx="66">
                  <c:v>0.88839999999999997</c:v>
                </c:pt>
                <c:pt idx="67">
                  <c:v>0.89090999999999998</c:v>
                </c:pt>
                <c:pt idx="68">
                  <c:v>0.89259999999999995</c:v>
                </c:pt>
                <c:pt idx="69">
                  <c:v>0.89259999999999995</c:v>
                </c:pt>
                <c:pt idx="70">
                  <c:v>0.89259999999999995</c:v>
                </c:pt>
                <c:pt idx="71">
                  <c:v>0.89259999999999995</c:v>
                </c:pt>
                <c:pt idx="72">
                  <c:v>0.89259999999999995</c:v>
                </c:pt>
                <c:pt idx="73">
                  <c:v>0.89259999999999995</c:v>
                </c:pt>
                <c:pt idx="74">
                  <c:v>0.89259999999999995</c:v>
                </c:pt>
                <c:pt idx="75">
                  <c:v>0.89259999999999995</c:v>
                </c:pt>
                <c:pt idx="76">
                  <c:v>0.89259999999999995</c:v>
                </c:pt>
                <c:pt idx="77">
                  <c:v>0.89259999999999995</c:v>
                </c:pt>
                <c:pt idx="78">
                  <c:v>0.89259999999999995</c:v>
                </c:pt>
                <c:pt idx="79">
                  <c:v>0.89259999999999995</c:v>
                </c:pt>
                <c:pt idx="80">
                  <c:v>0.89259999999999995</c:v>
                </c:pt>
                <c:pt idx="81">
                  <c:v>0.89259999999999995</c:v>
                </c:pt>
                <c:pt idx="82">
                  <c:v>0.89259999999999995</c:v>
                </c:pt>
                <c:pt idx="83">
                  <c:v>0.89259999999999995</c:v>
                </c:pt>
                <c:pt idx="84">
                  <c:v>0.89259999999999995</c:v>
                </c:pt>
                <c:pt idx="85">
                  <c:v>0.89259999999999995</c:v>
                </c:pt>
                <c:pt idx="86">
                  <c:v>0.89259999999999995</c:v>
                </c:pt>
                <c:pt idx="87">
                  <c:v>0.89259999999999995</c:v>
                </c:pt>
                <c:pt idx="88">
                  <c:v>0.89259999999999995</c:v>
                </c:pt>
                <c:pt idx="89">
                  <c:v>0.89259999999999995</c:v>
                </c:pt>
                <c:pt idx="90">
                  <c:v>0.89259999999999995</c:v>
                </c:pt>
                <c:pt idx="91">
                  <c:v>0.89259999999999995</c:v>
                </c:pt>
                <c:pt idx="92">
                  <c:v>0.89259999999999995</c:v>
                </c:pt>
                <c:pt idx="93">
                  <c:v>0.89259999999999995</c:v>
                </c:pt>
                <c:pt idx="94">
                  <c:v>0.89259999999999995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FE4-445B-8EEB-D88489EA6296}"/>
            </c:ext>
          </c:extLst>
        </c:ser>
        <c:ser>
          <c:idx val="2"/>
          <c:order val="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'99set'!$D$10:$D$104</c:f>
              <c:numCache>
                <c:formatCode>0.00000</c:formatCode>
                <c:ptCount val="95"/>
                <c:pt idx="0">
                  <c:v>0.26150000000000001</c:v>
                </c:pt>
                <c:pt idx="1">
                  <c:v>0.26150000000000001</c:v>
                </c:pt>
                <c:pt idx="2">
                  <c:v>0.26150000000000001</c:v>
                </c:pt>
                <c:pt idx="3">
                  <c:v>0.26150000000000001</c:v>
                </c:pt>
                <c:pt idx="4">
                  <c:v>0.26150000000000001</c:v>
                </c:pt>
                <c:pt idx="5">
                  <c:v>0.26150000000000001</c:v>
                </c:pt>
                <c:pt idx="6">
                  <c:v>0.26150000000000001</c:v>
                </c:pt>
                <c:pt idx="7">
                  <c:v>0.26150000000000001</c:v>
                </c:pt>
                <c:pt idx="8">
                  <c:v>0.26150000000000001</c:v>
                </c:pt>
                <c:pt idx="9">
                  <c:v>0.26408999999999999</c:v>
                </c:pt>
                <c:pt idx="10">
                  <c:v>0.26700000000000002</c:v>
                </c:pt>
                <c:pt idx="11">
                  <c:v>0.26834000000000002</c:v>
                </c:pt>
                <c:pt idx="12">
                  <c:v>0.26840000000000003</c:v>
                </c:pt>
                <c:pt idx="13">
                  <c:v>0.26778999999999997</c:v>
                </c:pt>
                <c:pt idx="14">
                  <c:v>0.26629999999999998</c:v>
                </c:pt>
                <c:pt idx="15">
                  <c:v>0.26349</c:v>
                </c:pt>
                <c:pt idx="16">
                  <c:v>0.25900000000000001</c:v>
                </c:pt>
                <c:pt idx="17">
                  <c:v>0.25241000000000002</c:v>
                </c:pt>
                <c:pt idx="18">
                  <c:v>0.24310000000000001</c:v>
                </c:pt>
                <c:pt idx="19">
                  <c:v>0.23086000000000001</c:v>
                </c:pt>
                <c:pt idx="20">
                  <c:v>0.2175</c:v>
                </c:pt>
                <c:pt idx="21">
                  <c:v>0.20471</c:v>
                </c:pt>
                <c:pt idx="22">
                  <c:v>0.1918</c:v>
                </c:pt>
                <c:pt idx="23">
                  <c:v>0.17813000000000001</c:v>
                </c:pt>
                <c:pt idx="24">
                  <c:v>0.1656</c:v>
                </c:pt>
                <c:pt idx="25">
                  <c:v>0.15601999999999999</c:v>
                </c:pt>
                <c:pt idx="26">
                  <c:v>0.14810000000000001</c:v>
                </c:pt>
                <c:pt idx="27">
                  <c:v>0.14026</c:v>
                </c:pt>
                <c:pt idx="28">
                  <c:v>0.13270000000000001</c:v>
                </c:pt>
                <c:pt idx="29">
                  <c:v>0.12604000000000001</c:v>
                </c:pt>
                <c:pt idx="30">
                  <c:v>0.12089999999999999</c:v>
                </c:pt>
                <c:pt idx="31">
                  <c:v>0.11769</c:v>
                </c:pt>
                <c:pt idx="32">
                  <c:v>0.11609999999999999</c:v>
                </c:pt>
                <c:pt idx="33">
                  <c:v>0.11569</c:v>
                </c:pt>
                <c:pt idx="34">
                  <c:v>0.11609999999999999</c:v>
                </c:pt>
                <c:pt idx="35">
                  <c:v>0.1171</c:v>
                </c:pt>
                <c:pt idx="36">
                  <c:v>0.1187</c:v>
                </c:pt>
                <c:pt idx="37">
                  <c:v>0.12114</c:v>
                </c:pt>
                <c:pt idx="38">
                  <c:v>0.12520000000000001</c:v>
                </c:pt>
                <c:pt idx="39">
                  <c:v>0.13197999999999999</c:v>
                </c:pt>
                <c:pt idx="40">
                  <c:v>0.14330000000000001</c:v>
                </c:pt>
                <c:pt idx="41">
                  <c:v>0.16092000000000001</c:v>
                </c:pt>
                <c:pt idx="42">
                  <c:v>0.1855</c:v>
                </c:pt>
                <c:pt idx="43">
                  <c:v>0.21707000000000001</c:v>
                </c:pt>
                <c:pt idx="44">
                  <c:v>0.25419999999999998</c:v>
                </c:pt>
                <c:pt idx="45">
                  <c:v>0.29504999999999998</c:v>
                </c:pt>
                <c:pt idx="46">
                  <c:v>0.33760000000000001</c:v>
                </c:pt>
                <c:pt idx="47">
                  <c:v>0.37991000000000003</c:v>
                </c:pt>
                <c:pt idx="48">
                  <c:v>0.42049999999999998</c:v>
                </c:pt>
                <c:pt idx="49">
                  <c:v>0.45828000000000002</c:v>
                </c:pt>
                <c:pt idx="50">
                  <c:v>0.49320000000000003</c:v>
                </c:pt>
                <c:pt idx="51">
                  <c:v>0.52532999999999996</c:v>
                </c:pt>
                <c:pt idx="52">
                  <c:v>0.55400000000000005</c:v>
                </c:pt>
                <c:pt idx="53">
                  <c:v>0.57872000000000001</c:v>
                </c:pt>
                <c:pt idx="54">
                  <c:v>0.60029999999999994</c:v>
                </c:pt>
                <c:pt idx="55">
                  <c:v>0.61963000000000001</c:v>
                </c:pt>
                <c:pt idx="56">
                  <c:v>0.63670000000000004</c:v>
                </c:pt>
                <c:pt idx="57">
                  <c:v>0.65151000000000003</c:v>
                </c:pt>
                <c:pt idx="58">
                  <c:v>0.66510000000000002</c:v>
                </c:pt>
                <c:pt idx="59">
                  <c:v>0.67849999999999999</c:v>
                </c:pt>
                <c:pt idx="60">
                  <c:v>0.69159999999999999</c:v>
                </c:pt>
                <c:pt idx="61">
                  <c:v>0.70421999999999996</c:v>
                </c:pt>
                <c:pt idx="62">
                  <c:v>0.71709999999999996</c:v>
                </c:pt>
                <c:pt idx="63">
                  <c:v>0.73050000000000004</c:v>
                </c:pt>
                <c:pt idx="64">
                  <c:v>0.74199999999999999</c:v>
                </c:pt>
                <c:pt idx="65">
                  <c:v>0.74975999999999998</c:v>
                </c:pt>
                <c:pt idx="66">
                  <c:v>0.7571</c:v>
                </c:pt>
                <c:pt idx="67">
                  <c:v>0.76683999999999997</c:v>
                </c:pt>
                <c:pt idx="68">
                  <c:v>0.77459999999999996</c:v>
                </c:pt>
                <c:pt idx="69">
                  <c:v>0.77459999999999996</c:v>
                </c:pt>
                <c:pt idx="70">
                  <c:v>0.77459999999999996</c:v>
                </c:pt>
                <c:pt idx="71">
                  <c:v>0.77459999999999996</c:v>
                </c:pt>
                <c:pt idx="72">
                  <c:v>0.77459999999999996</c:v>
                </c:pt>
                <c:pt idx="73">
                  <c:v>0.77459999999999996</c:v>
                </c:pt>
                <c:pt idx="74">
                  <c:v>0.77459999999999996</c:v>
                </c:pt>
                <c:pt idx="75">
                  <c:v>0.77459999999999996</c:v>
                </c:pt>
                <c:pt idx="76">
                  <c:v>0.77459999999999996</c:v>
                </c:pt>
                <c:pt idx="77">
                  <c:v>0.77459999999999996</c:v>
                </c:pt>
                <c:pt idx="78">
                  <c:v>0.77459999999999996</c:v>
                </c:pt>
                <c:pt idx="79">
                  <c:v>0.77459999999999996</c:v>
                </c:pt>
                <c:pt idx="80">
                  <c:v>0.77459999999999996</c:v>
                </c:pt>
                <c:pt idx="81">
                  <c:v>0.77459999999999996</c:v>
                </c:pt>
                <c:pt idx="82">
                  <c:v>0.77459999999999996</c:v>
                </c:pt>
                <c:pt idx="83">
                  <c:v>0.77459999999999996</c:v>
                </c:pt>
                <c:pt idx="84">
                  <c:v>0.77459999999999996</c:v>
                </c:pt>
                <c:pt idx="85">
                  <c:v>0.77459999999999996</c:v>
                </c:pt>
                <c:pt idx="86">
                  <c:v>0.77459999999999996</c:v>
                </c:pt>
                <c:pt idx="87">
                  <c:v>0.77459999999999996</c:v>
                </c:pt>
                <c:pt idx="88">
                  <c:v>0.77459999999999996</c:v>
                </c:pt>
                <c:pt idx="89">
                  <c:v>0.77459999999999996</c:v>
                </c:pt>
                <c:pt idx="90">
                  <c:v>0.77459999999999996</c:v>
                </c:pt>
                <c:pt idx="91">
                  <c:v>0.77459999999999996</c:v>
                </c:pt>
                <c:pt idx="92">
                  <c:v>0.77459999999999996</c:v>
                </c:pt>
                <c:pt idx="93">
                  <c:v>0.77459999999999996</c:v>
                </c:pt>
                <c:pt idx="94">
                  <c:v>0.77459999999999996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FE4-445B-8EEB-D88489EA6296}"/>
            </c:ext>
          </c:extLst>
        </c:ser>
        <c:ser>
          <c:idx val="3"/>
          <c:order val="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'99set'!$E$10:$E$104</c:f>
              <c:numCache>
                <c:formatCode>0.00000</c:formatCode>
                <c:ptCount val="95"/>
                <c:pt idx="0">
                  <c:v>1.0000000000000001E-5</c:v>
                </c:pt>
                <c:pt idx="1">
                  <c:v>1.0000000000000001E-5</c:v>
                </c:pt>
                <c:pt idx="2">
                  <c:v>1.0000000000000001E-5</c:v>
                </c:pt>
                <c:pt idx="3">
                  <c:v>1.0000000000000001E-5</c:v>
                </c:pt>
                <c:pt idx="4">
                  <c:v>1.0000000000000001E-5</c:v>
                </c:pt>
                <c:pt idx="5">
                  <c:v>6.6299999999999996E-3</c:v>
                </c:pt>
                <c:pt idx="6">
                  <c:v>1.694E-2</c:v>
                </c:pt>
                <c:pt idx="7">
                  <c:v>1.7729999999999999E-2</c:v>
                </c:pt>
                <c:pt idx="8">
                  <c:v>1.167E-2</c:v>
                </c:pt>
                <c:pt idx="9">
                  <c:v>5.11E-3</c:v>
                </c:pt>
                <c:pt idx="10">
                  <c:v>3.79E-3</c:v>
                </c:pt>
                <c:pt idx="11">
                  <c:v>8.7399999999999995E-3</c:v>
                </c:pt>
                <c:pt idx="12">
                  <c:v>1.8880000000000001E-2</c:v>
                </c:pt>
                <c:pt idx="13">
                  <c:v>2.972E-2</c:v>
                </c:pt>
                <c:pt idx="14">
                  <c:v>4.199E-2</c:v>
                </c:pt>
                <c:pt idx="15">
                  <c:v>4.8959999999999997E-2</c:v>
                </c:pt>
                <c:pt idx="16">
                  <c:v>5.457E-2</c:v>
                </c:pt>
                <c:pt idx="17">
                  <c:v>5.6739999999999999E-2</c:v>
                </c:pt>
                <c:pt idx="18">
                  <c:v>5.4100000000000002E-2</c:v>
                </c:pt>
                <c:pt idx="19">
                  <c:v>5.4870000000000002E-2</c:v>
                </c:pt>
                <c:pt idx="20">
                  <c:v>5.9080000000000001E-2</c:v>
                </c:pt>
                <c:pt idx="21">
                  <c:v>6.0749999999999998E-2</c:v>
                </c:pt>
                <c:pt idx="22">
                  <c:v>6.2590000000000007E-2</c:v>
                </c:pt>
                <c:pt idx="23">
                  <c:v>6.3039999999999999E-2</c:v>
                </c:pt>
                <c:pt idx="24">
                  <c:v>6.0690000000000001E-2</c:v>
                </c:pt>
                <c:pt idx="25">
                  <c:v>5.9670000000000001E-2</c:v>
                </c:pt>
                <c:pt idx="26">
                  <c:v>5.944E-2</c:v>
                </c:pt>
                <c:pt idx="27">
                  <c:v>5.6009999999999997E-2</c:v>
                </c:pt>
                <c:pt idx="28">
                  <c:v>5.3920000000000003E-2</c:v>
                </c:pt>
                <c:pt idx="29">
                  <c:v>5.2019999999999997E-2</c:v>
                </c:pt>
                <c:pt idx="30">
                  <c:v>4.895E-2</c:v>
                </c:pt>
                <c:pt idx="31">
                  <c:v>4.7620000000000003E-2</c:v>
                </c:pt>
                <c:pt idx="32">
                  <c:v>4.6469999999999997E-2</c:v>
                </c:pt>
                <c:pt idx="33">
                  <c:v>4.3979999999999998E-2</c:v>
                </c:pt>
                <c:pt idx="34">
                  <c:v>4.1020000000000001E-2</c:v>
                </c:pt>
                <c:pt idx="35">
                  <c:v>4.0460000000000003E-2</c:v>
                </c:pt>
                <c:pt idx="36">
                  <c:v>4.1869999999999997E-2</c:v>
                </c:pt>
                <c:pt idx="37">
                  <c:v>4.197E-2</c:v>
                </c:pt>
                <c:pt idx="38">
                  <c:v>4.1230000000000003E-2</c:v>
                </c:pt>
                <c:pt idx="39">
                  <c:v>4.1849999999999998E-2</c:v>
                </c:pt>
                <c:pt idx="40">
                  <c:v>4.3049999999999998E-2</c:v>
                </c:pt>
                <c:pt idx="41">
                  <c:v>4.4839999999999998E-2</c:v>
                </c:pt>
                <c:pt idx="42">
                  <c:v>4.4290000000000003E-2</c:v>
                </c:pt>
                <c:pt idx="43">
                  <c:v>4.632E-2</c:v>
                </c:pt>
                <c:pt idx="44">
                  <c:v>4.9140000000000003E-2</c:v>
                </c:pt>
                <c:pt idx="45">
                  <c:v>5.151E-2</c:v>
                </c:pt>
                <c:pt idx="46">
                  <c:v>5.305E-2</c:v>
                </c:pt>
                <c:pt idx="47">
                  <c:v>5.4629999999999998E-2</c:v>
                </c:pt>
                <c:pt idx="48">
                  <c:v>5.8630000000000002E-2</c:v>
                </c:pt>
                <c:pt idx="49">
                  <c:v>6.6040000000000001E-2</c:v>
                </c:pt>
                <c:pt idx="50">
                  <c:v>7.4270000000000003E-2</c:v>
                </c:pt>
                <c:pt idx="51">
                  <c:v>8.516E-2</c:v>
                </c:pt>
                <c:pt idx="52">
                  <c:v>9.7900000000000001E-2</c:v>
                </c:pt>
                <c:pt idx="53">
                  <c:v>0.10928</c:v>
                </c:pt>
                <c:pt idx="54">
                  <c:v>0.12064</c:v>
                </c:pt>
                <c:pt idx="55">
                  <c:v>0.12748999999999999</c:v>
                </c:pt>
                <c:pt idx="56">
                  <c:v>0.13322000000000001</c:v>
                </c:pt>
                <c:pt idx="57">
                  <c:v>0.14094000000000001</c:v>
                </c:pt>
                <c:pt idx="58">
                  <c:v>0.15003</c:v>
                </c:pt>
                <c:pt idx="59">
                  <c:v>0.15656</c:v>
                </c:pt>
                <c:pt idx="60">
                  <c:v>0.16206999999999999</c:v>
                </c:pt>
                <c:pt idx="61">
                  <c:v>0.17094999999999999</c:v>
                </c:pt>
                <c:pt idx="62">
                  <c:v>0.18004000000000001</c:v>
                </c:pt>
                <c:pt idx="63">
                  <c:v>0.18664</c:v>
                </c:pt>
                <c:pt idx="64">
                  <c:v>0.18611</c:v>
                </c:pt>
                <c:pt idx="65">
                  <c:v>0.1865</c:v>
                </c:pt>
                <c:pt idx="66">
                  <c:v>0.19528999999999999</c:v>
                </c:pt>
                <c:pt idx="67">
                  <c:v>0.2021</c:v>
                </c:pt>
                <c:pt idx="68">
                  <c:v>0.20393</c:v>
                </c:pt>
                <c:pt idx="69">
                  <c:v>0.21328</c:v>
                </c:pt>
                <c:pt idx="70">
                  <c:v>0.21965999999999999</c:v>
                </c:pt>
                <c:pt idx="71">
                  <c:v>0.22617000000000001</c:v>
                </c:pt>
                <c:pt idx="72">
                  <c:v>0.23280999999999999</c:v>
                </c:pt>
                <c:pt idx="73">
                  <c:v>0.23959</c:v>
                </c:pt>
                <c:pt idx="74">
                  <c:v>0.24651000000000001</c:v>
                </c:pt>
                <c:pt idx="75">
                  <c:v>0.25356000000000001</c:v>
                </c:pt>
                <c:pt idx="76">
                  <c:v>0.26073000000000002</c:v>
                </c:pt>
                <c:pt idx="77">
                  <c:v>0.26804</c:v>
                </c:pt>
                <c:pt idx="78">
                  <c:v>0.27548</c:v>
                </c:pt>
                <c:pt idx="79">
                  <c:v>0.28305000000000002</c:v>
                </c:pt>
                <c:pt idx="80">
                  <c:v>0.29074</c:v>
                </c:pt>
                <c:pt idx="81">
                  <c:v>0.29854999999999998</c:v>
                </c:pt>
                <c:pt idx="82">
                  <c:v>0.30647999999999997</c:v>
                </c:pt>
                <c:pt idx="83">
                  <c:v>0.31452000000000002</c:v>
                </c:pt>
                <c:pt idx="84">
                  <c:v>0.32268000000000002</c:v>
                </c:pt>
                <c:pt idx="85">
                  <c:v>0.32268000000000002</c:v>
                </c:pt>
                <c:pt idx="86">
                  <c:v>0.32268000000000002</c:v>
                </c:pt>
                <c:pt idx="87">
                  <c:v>0.32268000000000002</c:v>
                </c:pt>
                <c:pt idx="88">
                  <c:v>0.32268000000000002</c:v>
                </c:pt>
                <c:pt idx="89">
                  <c:v>0.32268000000000002</c:v>
                </c:pt>
                <c:pt idx="90">
                  <c:v>0.32268000000000002</c:v>
                </c:pt>
                <c:pt idx="91">
                  <c:v>0.32268000000000002</c:v>
                </c:pt>
                <c:pt idx="92">
                  <c:v>0.32268000000000002</c:v>
                </c:pt>
                <c:pt idx="93">
                  <c:v>0.32268000000000002</c:v>
                </c:pt>
                <c:pt idx="94">
                  <c:v>0.32268000000000002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FE4-445B-8EEB-D88489EA6296}"/>
            </c:ext>
          </c:extLst>
        </c:ser>
        <c:ser>
          <c:idx val="4"/>
          <c:order val="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'99set'!$F$10:$F$104</c:f>
              <c:numCache>
                <c:formatCode>0.00000</c:formatCode>
                <c:ptCount val="95"/>
                <c:pt idx="0">
                  <c:v>0.47376000000000001</c:v>
                </c:pt>
                <c:pt idx="1">
                  <c:v>0.47376000000000001</c:v>
                </c:pt>
                <c:pt idx="2">
                  <c:v>0.47376000000000001</c:v>
                </c:pt>
                <c:pt idx="3">
                  <c:v>0.47376000000000001</c:v>
                </c:pt>
                <c:pt idx="4">
                  <c:v>0.47376000000000001</c:v>
                </c:pt>
                <c:pt idx="5">
                  <c:v>0.47793000000000002</c:v>
                </c:pt>
                <c:pt idx="6">
                  <c:v>0.46405999999999997</c:v>
                </c:pt>
                <c:pt idx="7">
                  <c:v>0.44102000000000002</c:v>
                </c:pt>
                <c:pt idx="8">
                  <c:v>0.42157</c:v>
                </c:pt>
                <c:pt idx="9">
                  <c:v>0.40559000000000001</c:v>
                </c:pt>
                <c:pt idx="10">
                  <c:v>0.38950000000000001</c:v>
                </c:pt>
                <c:pt idx="11">
                  <c:v>0.37567</c:v>
                </c:pt>
                <c:pt idx="12">
                  <c:v>0.36501</c:v>
                </c:pt>
                <c:pt idx="13">
                  <c:v>0.35610999999999998</c:v>
                </c:pt>
                <c:pt idx="14">
                  <c:v>0.34936</c:v>
                </c:pt>
                <c:pt idx="15">
                  <c:v>0.34200000000000003</c:v>
                </c:pt>
                <c:pt idx="16">
                  <c:v>0.33382000000000001</c:v>
                </c:pt>
                <c:pt idx="17">
                  <c:v>0.32411000000000001</c:v>
                </c:pt>
                <c:pt idx="18">
                  <c:v>0.31281999999999999</c:v>
                </c:pt>
                <c:pt idx="19">
                  <c:v>0.29815999999999998</c:v>
                </c:pt>
                <c:pt idx="20">
                  <c:v>0.27982000000000001</c:v>
                </c:pt>
                <c:pt idx="21">
                  <c:v>0.26041999999999998</c:v>
                </c:pt>
                <c:pt idx="22">
                  <c:v>0.24077999999999999</c:v>
                </c:pt>
                <c:pt idx="23">
                  <c:v>0.22206000000000001</c:v>
                </c:pt>
                <c:pt idx="24">
                  <c:v>0.20462</c:v>
                </c:pt>
                <c:pt idx="25">
                  <c:v>0.18884000000000001</c:v>
                </c:pt>
                <c:pt idx="26">
                  <c:v>0.17488000000000001</c:v>
                </c:pt>
                <c:pt idx="27">
                  <c:v>0.16336999999999999</c:v>
                </c:pt>
                <c:pt idx="28">
                  <c:v>0.15559999999999999</c:v>
                </c:pt>
                <c:pt idx="29">
                  <c:v>0.15190000000000001</c:v>
                </c:pt>
                <c:pt idx="30">
                  <c:v>0.15143000000000001</c:v>
                </c:pt>
                <c:pt idx="31">
                  <c:v>0.15412000000000001</c:v>
                </c:pt>
                <c:pt idx="32">
                  <c:v>0.16036</c:v>
                </c:pt>
                <c:pt idx="33">
                  <c:v>0.17075000000000001</c:v>
                </c:pt>
                <c:pt idx="34">
                  <c:v>0.18586</c:v>
                </c:pt>
                <c:pt idx="35">
                  <c:v>0.20558000000000001</c:v>
                </c:pt>
                <c:pt idx="36">
                  <c:v>0.22892000000000001</c:v>
                </c:pt>
                <c:pt idx="37">
                  <c:v>0.25477</c:v>
                </c:pt>
                <c:pt idx="38">
                  <c:v>0.28272000000000003</c:v>
                </c:pt>
                <c:pt idx="39">
                  <c:v>0.31202000000000002</c:v>
                </c:pt>
                <c:pt idx="40">
                  <c:v>0.34200000000000003</c:v>
                </c:pt>
                <c:pt idx="41">
                  <c:v>0.37115999999999999</c:v>
                </c:pt>
                <c:pt idx="42">
                  <c:v>0.39782000000000001</c:v>
                </c:pt>
                <c:pt idx="43">
                  <c:v>0.42122999999999999</c:v>
                </c:pt>
                <c:pt idx="44">
                  <c:v>0.44135999999999997</c:v>
                </c:pt>
                <c:pt idx="45">
                  <c:v>0.45795000000000002</c:v>
                </c:pt>
                <c:pt idx="46">
                  <c:v>0.47105000000000002</c:v>
                </c:pt>
                <c:pt idx="47">
                  <c:v>0.48107</c:v>
                </c:pt>
                <c:pt idx="48">
                  <c:v>0.48842000000000002</c:v>
                </c:pt>
                <c:pt idx="49">
                  <c:v>0.49386000000000002</c:v>
                </c:pt>
                <c:pt idx="50">
                  <c:v>0.49824000000000002</c:v>
                </c:pt>
                <c:pt idx="51">
                  <c:v>0.50229000000000001</c:v>
                </c:pt>
                <c:pt idx="52">
                  <c:v>0.50566999999999995</c:v>
                </c:pt>
                <c:pt idx="53">
                  <c:v>0.50819000000000003</c:v>
                </c:pt>
                <c:pt idx="54">
                  <c:v>0.51009000000000004</c:v>
                </c:pt>
                <c:pt idx="55">
                  <c:v>0.51141999999999999</c:v>
                </c:pt>
                <c:pt idx="56">
                  <c:v>0.51261999999999996</c:v>
                </c:pt>
                <c:pt idx="57">
                  <c:v>0.51402000000000003</c:v>
                </c:pt>
                <c:pt idx="58">
                  <c:v>0.51522000000000001</c:v>
                </c:pt>
                <c:pt idx="59">
                  <c:v>0.51566000000000001</c:v>
                </c:pt>
                <c:pt idx="60">
                  <c:v>0.51527000000000001</c:v>
                </c:pt>
                <c:pt idx="61">
                  <c:v>0.5141</c:v>
                </c:pt>
                <c:pt idx="62">
                  <c:v>0.51322000000000001</c:v>
                </c:pt>
                <c:pt idx="63">
                  <c:v>0.51343000000000005</c:v>
                </c:pt>
                <c:pt idx="64">
                  <c:v>0.51336999999999999</c:v>
                </c:pt>
                <c:pt idx="65">
                  <c:v>0.51310999999999996</c:v>
                </c:pt>
                <c:pt idx="66">
                  <c:v>0.51261000000000001</c:v>
                </c:pt>
                <c:pt idx="67">
                  <c:v>0.51207999999999998</c:v>
                </c:pt>
                <c:pt idx="68">
                  <c:v>0.51190999999999998</c:v>
                </c:pt>
                <c:pt idx="69">
                  <c:v>0.51290999999999998</c:v>
                </c:pt>
                <c:pt idx="70">
                  <c:v>0.51485000000000003</c:v>
                </c:pt>
                <c:pt idx="71">
                  <c:v>0.51666999999999996</c:v>
                </c:pt>
                <c:pt idx="72">
                  <c:v>0.51849000000000001</c:v>
                </c:pt>
                <c:pt idx="73">
                  <c:v>0.52041000000000004</c:v>
                </c:pt>
                <c:pt idx="74">
                  <c:v>0.52227999999999997</c:v>
                </c:pt>
                <c:pt idx="75">
                  <c:v>0.52415</c:v>
                </c:pt>
                <c:pt idx="76">
                  <c:v>0.52602000000000004</c:v>
                </c:pt>
                <c:pt idx="77">
                  <c:v>0.52788999999999997</c:v>
                </c:pt>
                <c:pt idx="78">
                  <c:v>0.52976000000000001</c:v>
                </c:pt>
                <c:pt idx="79">
                  <c:v>0.53163000000000005</c:v>
                </c:pt>
                <c:pt idx="80">
                  <c:v>0.53349999999999997</c:v>
                </c:pt>
                <c:pt idx="81">
                  <c:v>0.53537000000000001</c:v>
                </c:pt>
                <c:pt idx="82">
                  <c:v>0.53722999999999999</c:v>
                </c:pt>
                <c:pt idx="83">
                  <c:v>0.53910000000000002</c:v>
                </c:pt>
                <c:pt idx="84">
                  <c:v>0.54096</c:v>
                </c:pt>
                <c:pt idx="85">
                  <c:v>0.54096</c:v>
                </c:pt>
                <c:pt idx="86">
                  <c:v>0.54096</c:v>
                </c:pt>
                <c:pt idx="87">
                  <c:v>0.54096</c:v>
                </c:pt>
                <c:pt idx="88">
                  <c:v>0.54096</c:v>
                </c:pt>
                <c:pt idx="89">
                  <c:v>0.54096</c:v>
                </c:pt>
                <c:pt idx="90">
                  <c:v>0.54096</c:v>
                </c:pt>
                <c:pt idx="91">
                  <c:v>0.54096</c:v>
                </c:pt>
                <c:pt idx="92">
                  <c:v>0.54096</c:v>
                </c:pt>
                <c:pt idx="93">
                  <c:v>0.54096</c:v>
                </c:pt>
                <c:pt idx="94">
                  <c:v>0.54096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FE4-445B-8EEB-D88489EA6296}"/>
            </c:ext>
          </c:extLst>
        </c:ser>
        <c:ser>
          <c:idx val="5"/>
          <c:order val="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'99set'!$G$10:$G$104</c:f>
              <c:numCache>
                <c:formatCode>0.00000</c:formatCode>
                <c:ptCount val="95"/>
                <c:pt idx="0">
                  <c:v>0.13350999999999999</c:v>
                </c:pt>
                <c:pt idx="1">
                  <c:v>0.13350999999999999</c:v>
                </c:pt>
                <c:pt idx="2">
                  <c:v>0.13350999999999999</c:v>
                </c:pt>
                <c:pt idx="3">
                  <c:v>0.13350999999999999</c:v>
                </c:pt>
                <c:pt idx="4">
                  <c:v>0.13350999999999999</c:v>
                </c:pt>
                <c:pt idx="5">
                  <c:v>0.13539999999999999</c:v>
                </c:pt>
                <c:pt idx="6">
                  <c:v>0.13564999999999999</c:v>
                </c:pt>
                <c:pt idx="7">
                  <c:v>0.13539999999999999</c:v>
                </c:pt>
                <c:pt idx="8">
                  <c:v>0.13578999999999999</c:v>
                </c:pt>
                <c:pt idx="9">
                  <c:v>0.13757</c:v>
                </c:pt>
                <c:pt idx="10">
                  <c:v>0.14001</c:v>
                </c:pt>
                <c:pt idx="11">
                  <c:v>0.14194999999999999</c:v>
                </c:pt>
                <c:pt idx="12">
                  <c:v>0.14194000000000001</c:v>
                </c:pt>
                <c:pt idx="13">
                  <c:v>0.13886999999999999</c:v>
                </c:pt>
                <c:pt idx="14">
                  <c:v>0.13327</c:v>
                </c:pt>
                <c:pt idx="15">
                  <c:v>0.12595000000000001</c:v>
                </c:pt>
                <c:pt idx="16">
                  <c:v>0.11738</c:v>
                </c:pt>
                <c:pt idx="17">
                  <c:v>0.10793999999999999</c:v>
                </c:pt>
                <c:pt idx="18">
                  <c:v>9.819E-2</c:v>
                </c:pt>
                <c:pt idx="19">
                  <c:v>8.8679999999999995E-2</c:v>
                </c:pt>
                <c:pt idx="20">
                  <c:v>7.9780000000000004E-2</c:v>
                </c:pt>
                <c:pt idx="21">
                  <c:v>7.1819999999999995E-2</c:v>
                </c:pt>
                <c:pt idx="22">
                  <c:v>6.5079999999999999E-2</c:v>
                </c:pt>
                <c:pt idx="23">
                  <c:v>5.9760000000000001E-2</c:v>
                </c:pt>
                <c:pt idx="24">
                  <c:v>5.586E-2</c:v>
                </c:pt>
                <c:pt idx="25">
                  <c:v>5.323E-2</c:v>
                </c:pt>
                <c:pt idx="26">
                  <c:v>5.1400000000000001E-2</c:v>
                </c:pt>
                <c:pt idx="27">
                  <c:v>4.9910000000000003E-2</c:v>
                </c:pt>
                <c:pt idx="28">
                  <c:v>4.8689999999999997E-2</c:v>
                </c:pt>
                <c:pt idx="29">
                  <c:v>4.7829999999999998E-2</c:v>
                </c:pt>
                <c:pt idx="30">
                  <c:v>4.761E-2</c:v>
                </c:pt>
                <c:pt idx="31">
                  <c:v>4.8309999999999999E-2</c:v>
                </c:pt>
                <c:pt idx="32">
                  <c:v>5.0110000000000002E-2</c:v>
                </c:pt>
                <c:pt idx="33">
                  <c:v>5.3019999999999998E-2</c:v>
                </c:pt>
                <c:pt idx="34">
                  <c:v>5.654E-2</c:v>
                </c:pt>
                <c:pt idx="35">
                  <c:v>6.0080000000000001E-2</c:v>
                </c:pt>
                <c:pt idx="36">
                  <c:v>6.3350000000000004E-2</c:v>
                </c:pt>
                <c:pt idx="37">
                  <c:v>6.6280000000000006E-2</c:v>
                </c:pt>
                <c:pt idx="38">
                  <c:v>6.9459999999999994E-2</c:v>
                </c:pt>
                <c:pt idx="39">
                  <c:v>7.3760000000000006E-2</c:v>
                </c:pt>
                <c:pt idx="40">
                  <c:v>8.0589999999999995E-2</c:v>
                </c:pt>
                <c:pt idx="41">
                  <c:v>9.1149999999999995E-2</c:v>
                </c:pt>
                <c:pt idx="42">
                  <c:v>0.10539</c:v>
                </c:pt>
                <c:pt idx="43">
                  <c:v>0.12247</c:v>
                </c:pt>
                <c:pt idx="44">
                  <c:v>0.13976</c:v>
                </c:pt>
                <c:pt idx="45">
                  <c:v>0.15470999999999999</c:v>
                </c:pt>
                <c:pt idx="46">
                  <c:v>0.16697999999999999</c:v>
                </c:pt>
                <c:pt idx="47">
                  <c:v>0.17763000000000001</c:v>
                </c:pt>
                <c:pt idx="48">
                  <c:v>0.19117999999999999</c:v>
                </c:pt>
                <c:pt idx="49">
                  <c:v>0.21263000000000001</c:v>
                </c:pt>
                <c:pt idx="50">
                  <c:v>0.24557000000000001</c:v>
                </c:pt>
                <c:pt idx="51">
                  <c:v>0.29221000000000003</c:v>
                </c:pt>
                <c:pt idx="52">
                  <c:v>0.35063</c:v>
                </c:pt>
                <c:pt idx="53">
                  <c:v>0.41726000000000002</c:v>
                </c:pt>
                <c:pt idx="54">
                  <c:v>0.48613000000000001</c:v>
                </c:pt>
                <c:pt idx="55">
                  <c:v>0.5514</c:v>
                </c:pt>
                <c:pt idx="56">
                  <c:v>0.61007</c:v>
                </c:pt>
                <c:pt idx="57">
                  <c:v>0.66051000000000004</c:v>
                </c:pt>
                <c:pt idx="58">
                  <c:v>0.70369999999999999</c:v>
                </c:pt>
                <c:pt idx="59">
                  <c:v>0.74104999999999999</c:v>
                </c:pt>
                <c:pt idx="60">
                  <c:v>0.77302999999999999</c:v>
                </c:pt>
                <c:pt idx="61">
                  <c:v>0.79995000000000005</c:v>
                </c:pt>
                <c:pt idx="62">
                  <c:v>0.82247999999999999</c:v>
                </c:pt>
                <c:pt idx="63">
                  <c:v>0.84133000000000002</c:v>
                </c:pt>
                <c:pt idx="64">
                  <c:v>0.85711999999999999</c:v>
                </c:pt>
                <c:pt idx="65">
                  <c:v>0.87050000000000005</c:v>
                </c:pt>
                <c:pt idx="66">
                  <c:v>0.88222</c:v>
                </c:pt>
                <c:pt idx="67">
                  <c:v>0.89292000000000005</c:v>
                </c:pt>
                <c:pt idx="68">
                  <c:v>0.90256000000000003</c:v>
                </c:pt>
                <c:pt idx="69">
                  <c:v>0.91091</c:v>
                </c:pt>
                <c:pt idx="70">
                  <c:v>0.91776000000000002</c:v>
                </c:pt>
                <c:pt idx="71">
                  <c:v>0.92303999999999997</c:v>
                </c:pt>
                <c:pt idx="72">
                  <c:v>0.92737000000000003</c:v>
                </c:pt>
                <c:pt idx="73">
                  <c:v>0.93156000000000005</c:v>
                </c:pt>
                <c:pt idx="74">
                  <c:v>0.93638999999999994</c:v>
                </c:pt>
                <c:pt idx="75">
                  <c:v>0.93984999999999996</c:v>
                </c:pt>
                <c:pt idx="76">
                  <c:v>0.94352999999999998</c:v>
                </c:pt>
                <c:pt idx="77">
                  <c:v>0.94699999999999995</c:v>
                </c:pt>
                <c:pt idx="78">
                  <c:v>0.95026999999999995</c:v>
                </c:pt>
                <c:pt idx="79">
                  <c:v>0.95335000000000003</c:v>
                </c:pt>
                <c:pt idx="80">
                  <c:v>0.95625000000000004</c:v>
                </c:pt>
                <c:pt idx="81">
                  <c:v>0.95896999999999999</c:v>
                </c:pt>
                <c:pt idx="82">
                  <c:v>0.96153</c:v>
                </c:pt>
                <c:pt idx="83">
                  <c:v>0.96394000000000002</c:v>
                </c:pt>
                <c:pt idx="84">
                  <c:v>0.96619999999999995</c:v>
                </c:pt>
                <c:pt idx="85">
                  <c:v>0.96619999999999995</c:v>
                </c:pt>
                <c:pt idx="86">
                  <c:v>0.96619999999999995</c:v>
                </c:pt>
                <c:pt idx="87">
                  <c:v>0.96619999999999995</c:v>
                </c:pt>
                <c:pt idx="88">
                  <c:v>0.96619999999999995</c:v>
                </c:pt>
                <c:pt idx="89">
                  <c:v>0.96619999999999995</c:v>
                </c:pt>
                <c:pt idx="90">
                  <c:v>0.96619999999999995</c:v>
                </c:pt>
                <c:pt idx="91">
                  <c:v>0.96619999999999995</c:v>
                </c:pt>
                <c:pt idx="92">
                  <c:v>0.96619999999999995</c:v>
                </c:pt>
                <c:pt idx="93">
                  <c:v>0.96619999999999995</c:v>
                </c:pt>
                <c:pt idx="94">
                  <c:v>0.96619999999999995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FE4-445B-8EEB-D88489EA6296}"/>
            </c:ext>
          </c:extLst>
        </c:ser>
        <c:ser>
          <c:idx val="6"/>
          <c:order val="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'99set'!$H$10:$H$104</c:f>
              <c:numCache>
                <c:formatCode>0.00000</c:formatCode>
                <c:ptCount val="95"/>
                <c:pt idx="0">
                  <c:v>4.5249999999999999E-2</c:v>
                </c:pt>
                <c:pt idx="1">
                  <c:v>4.5249999999999999E-2</c:v>
                </c:pt>
                <c:pt idx="2">
                  <c:v>4.5249999999999999E-2</c:v>
                </c:pt>
                <c:pt idx="3">
                  <c:v>4.5249999999999999E-2</c:v>
                </c:pt>
                <c:pt idx="4">
                  <c:v>4.5249999999999999E-2</c:v>
                </c:pt>
                <c:pt idx="5">
                  <c:v>5.3370000000000001E-2</c:v>
                </c:pt>
                <c:pt idx="6">
                  <c:v>6.2850000000000003E-2</c:v>
                </c:pt>
                <c:pt idx="7">
                  <c:v>7.3880000000000001E-2</c:v>
                </c:pt>
                <c:pt idx="8">
                  <c:v>8.2489999999999994E-2</c:v>
                </c:pt>
                <c:pt idx="9">
                  <c:v>0.10382</c:v>
                </c:pt>
                <c:pt idx="10">
                  <c:v>0.11965000000000001</c:v>
                </c:pt>
                <c:pt idx="11">
                  <c:v>0.13053000000000001</c:v>
                </c:pt>
                <c:pt idx="12">
                  <c:v>0.13699</c:v>
                </c:pt>
                <c:pt idx="13">
                  <c:v>0.13975000000000001</c:v>
                </c:pt>
                <c:pt idx="14">
                  <c:v>0.14015</c:v>
                </c:pt>
                <c:pt idx="15">
                  <c:v>0.13946</c:v>
                </c:pt>
                <c:pt idx="16">
                  <c:v>0.13788</c:v>
                </c:pt>
                <c:pt idx="17">
                  <c:v>0.13541</c:v>
                </c:pt>
                <c:pt idx="18">
                  <c:v>0.13217000000000001</c:v>
                </c:pt>
                <c:pt idx="19">
                  <c:v>0.12834999999999999</c:v>
                </c:pt>
                <c:pt idx="20">
                  <c:v>0.12428</c:v>
                </c:pt>
                <c:pt idx="21">
                  <c:v>0.12021</c:v>
                </c:pt>
                <c:pt idx="22">
                  <c:v>0.11600000000000001</c:v>
                </c:pt>
                <c:pt idx="23">
                  <c:v>0.11157</c:v>
                </c:pt>
                <c:pt idx="24">
                  <c:v>0.10743</c:v>
                </c:pt>
                <c:pt idx="25">
                  <c:v>0.10413</c:v>
                </c:pt>
                <c:pt idx="26">
                  <c:v>0.10170999999999999</c:v>
                </c:pt>
                <c:pt idx="27">
                  <c:v>9.9989999999999996E-2</c:v>
                </c:pt>
                <c:pt idx="28">
                  <c:v>9.8559999999999995E-2</c:v>
                </c:pt>
                <c:pt idx="29">
                  <c:v>9.7119999999999998E-2</c:v>
                </c:pt>
                <c:pt idx="30">
                  <c:v>9.6000000000000002E-2</c:v>
                </c:pt>
                <c:pt idx="31">
                  <c:v>9.5630000000000007E-2</c:v>
                </c:pt>
                <c:pt idx="32">
                  <c:v>9.6189999999999998E-2</c:v>
                </c:pt>
                <c:pt idx="33">
                  <c:v>9.7769999999999996E-2</c:v>
                </c:pt>
                <c:pt idx="34">
                  <c:v>0.10033</c:v>
                </c:pt>
                <c:pt idx="35">
                  <c:v>0.10388</c:v>
                </c:pt>
                <c:pt idx="36">
                  <c:v>0.10861</c:v>
                </c:pt>
                <c:pt idx="37">
                  <c:v>0.11472</c:v>
                </c:pt>
                <c:pt idx="38">
                  <c:v>0.12221</c:v>
                </c:pt>
                <c:pt idx="39">
                  <c:v>0.13103999999999999</c:v>
                </c:pt>
                <c:pt idx="40">
                  <c:v>0.14122999999999999</c:v>
                </c:pt>
                <c:pt idx="41">
                  <c:v>0.15275</c:v>
                </c:pt>
                <c:pt idx="42">
                  <c:v>0.16517999999999999</c:v>
                </c:pt>
                <c:pt idx="43">
                  <c:v>0.17796000000000001</c:v>
                </c:pt>
                <c:pt idx="44">
                  <c:v>0.19031000000000001</c:v>
                </c:pt>
                <c:pt idx="45">
                  <c:v>0.20157</c:v>
                </c:pt>
                <c:pt idx="46">
                  <c:v>0.21160000000000001</c:v>
                </c:pt>
                <c:pt idx="47">
                  <c:v>0.2203</c:v>
                </c:pt>
                <c:pt idx="48">
                  <c:v>0.22708</c:v>
                </c:pt>
                <c:pt idx="49">
                  <c:v>0.23139000000000001</c:v>
                </c:pt>
                <c:pt idx="50">
                  <c:v>0.23327999999999999</c:v>
                </c:pt>
                <c:pt idx="51">
                  <c:v>0.23318</c:v>
                </c:pt>
                <c:pt idx="52">
                  <c:v>0.23230000000000001</c:v>
                </c:pt>
                <c:pt idx="53">
                  <c:v>0.23215</c:v>
                </c:pt>
                <c:pt idx="54">
                  <c:v>0.23457</c:v>
                </c:pt>
                <c:pt idx="55">
                  <c:v>0.24132000000000001</c:v>
                </c:pt>
                <c:pt idx="56">
                  <c:v>0.25369000000000003</c:v>
                </c:pt>
                <c:pt idx="57">
                  <c:v>0.27287</c:v>
                </c:pt>
                <c:pt idx="58">
                  <c:v>0.30030000000000001</c:v>
                </c:pt>
                <c:pt idx="59">
                  <c:v>0.33695000000000003</c:v>
                </c:pt>
                <c:pt idx="60">
                  <c:v>0.38151000000000002</c:v>
                </c:pt>
                <c:pt idx="61">
                  <c:v>0.43148999999999998</c:v>
                </c:pt>
                <c:pt idx="62">
                  <c:v>0.48165000000000002</c:v>
                </c:pt>
                <c:pt idx="63">
                  <c:v>0.5272</c:v>
                </c:pt>
                <c:pt idx="64">
                  <c:v>0.56789000000000001</c:v>
                </c:pt>
                <c:pt idx="65">
                  <c:v>0.60429999999999995</c:v>
                </c:pt>
                <c:pt idx="66">
                  <c:v>0.63588999999999996</c:v>
                </c:pt>
                <c:pt idx="67">
                  <c:v>0.66181000000000001</c:v>
                </c:pt>
                <c:pt idx="68">
                  <c:v>0.68123</c:v>
                </c:pt>
                <c:pt idx="69">
                  <c:v>0.70786000000000004</c:v>
                </c:pt>
                <c:pt idx="70">
                  <c:v>0.73016999999999999</c:v>
                </c:pt>
                <c:pt idx="71">
                  <c:v>0.75138000000000005</c:v>
                </c:pt>
                <c:pt idx="72">
                  <c:v>0.77144999999999997</c:v>
                </c:pt>
                <c:pt idx="73">
                  <c:v>0.79034000000000004</c:v>
                </c:pt>
                <c:pt idx="74">
                  <c:v>0.80806</c:v>
                </c:pt>
                <c:pt idx="75">
                  <c:v>0.82462000000000002</c:v>
                </c:pt>
                <c:pt idx="76">
                  <c:v>0.84003000000000005</c:v>
                </c:pt>
                <c:pt idx="77">
                  <c:v>0.85433000000000003</c:v>
                </c:pt>
                <c:pt idx="78">
                  <c:v>0.86753999999999998</c:v>
                </c:pt>
                <c:pt idx="79">
                  <c:v>0.87973000000000001</c:v>
                </c:pt>
                <c:pt idx="80">
                  <c:v>0.89093999999999995</c:v>
                </c:pt>
                <c:pt idx="81">
                  <c:v>0.90122000000000002</c:v>
                </c:pt>
                <c:pt idx="82">
                  <c:v>0.91063000000000005</c:v>
                </c:pt>
                <c:pt idx="83">
                  <c:v>0.91922999999999999</c:v>
                </c:pt>
                <c:pt idx="84">
                  <c:v>0.92706</c:v>
                </c:pt>
                <c:pt idx="85">
                  <c:v>0.92706</c:v>
                </c:pt>
                <c:pt idx="86">
                  <c:v>0.92706</c:v>
                </c:pt>
                <c:pt idx="87">
                  <c:v>0.92706</c:v>
                </c:pt>
                <c:pt idx="88">
                  <c:v>0.92706</c:v>
                </c:pt>
                <c:pt idx="89">
                  <c:v>0.92706</c:v>
                </c:pt>
                <c:pt idx="90">
                  <c:v>0.92706</c:v>
                </c:pt>
                <c:pt idx="91">
                  <c:v>0.92706</c:v>
                </c:pt>
                <c:pt idx="92">
                  <c:v>0.92706</c:v>
                </c:pt>
                <c:pt idx="93">
                  <c:v>0.92706</c:v>
                </c:pt>
                <c:pt idx="94">
                  <c:v>0.92706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FE4-445B-8EEB-D88489EA6296}"/>
            </c:ext>
          </c:extLst>
        </c:ser>
        <c:ser>
          <c:idx val="7"/>
          <c:order val="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'99set'!$I$10:$I$104</c:f>
              <c:numCache>
                <c:formatCode>0.00000</c:formatCode>
                <c:ptCount val="95"/>
                <c:pt idx="0">
                  <c:v>5.8299999999999998E-2</c:v>
                </c:pt>
                <c:pt idx="1">
                  <c:v>5.8299999999999998E-2</c:v>
                </c:pt>
                <c:pt idx="2">
                  <c:v>5.8299999999999998E-2</c:v>
                </c:pt>
                <c:pt idx="3">
                  <c:v>5.8299999999999998E-2</c:v>
                </c:pt>
                <c:pt idx="4">
                  <c:v>5.8299999999999998E-2</c:v>
                </c:pt>
                <c:pt idx="5">
                  <c:v>5.8299999999999998E-2</c:v>
                </c:pt>
                <c:pt idx="6">
                  <c:v>5.8299999999999998E-2</c:v>
                </c:pt>
                <c:pt idx="7">
                  <c:v>5.8299999999999998E-2</c:v>
                </c:pt>
                <c:pt idx="8">
                  <c:v>5.8299999999999998E-2</c:v>
                </c:pt>
                <c:pt idx="9">
                  <c:v>5.7860000000000002E-2</c:v>
                </c:pt>
                <c:pt idx="10">
                  <c:v>5.7299999999999997E-2</c:v>
                </c:pt>
                <c:pt idx="11">
                  <c:v>5.6919999999999998E-2</c:v>
                </c:pt>
                <c:pt idx="12">
                  <c:v>5.6800000000000003E-2</c:v>
                </c:pt>
                <c:pt idx="13">
                  <c:v>5.6939999999999998E-2</c:v>
                </c:pt>
                <c:pt idx="14">
                  <c:v>5.7200000000000001E-2</c:v>
                </c:pt>
                <c:pt idx="15">
                  <c:v>5.7439999999999998E-2</c:v>
                </c:pt>
                <c:pt idx="16">
                  <c:v>5.7599999999999998E-2</c:v>
                </c:pt>
                <c:pt idx="17">
                  <c:v>5.7630000000000001E-2</c:v>
                </c:pt>
                <c:pt idx="18">
                  <c:v>5.7299999999999997E-2</c:v>
                </c:pt>
                <c:pt idx="19">
                  <c:v>5.6460000000000003E-2</c:v>
                </c:pt>
                <c:pt idx="20">
                  <c:v>5.5300000000000002E-2</c:v>
                </c:pt>
                <c:pt idx="21">
                  <c:v>5.4059999999999997E-2</c:v>
                </c:pt>
                <c:pt idx="22">
                  <c:v>5.2900000000000003E-2</c:v>
                </c:pt>
                <c:pt idx="23">
                  <c:v>5.1920000000000001E-2</c:v>
                </c:pt>
                <c:pt idx="24">
                  <c:v>5.11E-2</c:v>
                </c:pt>
                <c:pt idx="25">
                  <c:v>5.0389999999999997E-2</c:v>
                </c:pt>
                <c:pt idx="26">
                  <c:v>4.9799999999999997E-2</c:v>
                </c:pt>
                <c:pt idx="27">
                  <c:v>4.9360000000000001E-2</c:v>
                </c:pt>
                <c:pt idx="28">
                  <c:v>4.9000000000000002E-2</c:v>
                </c:pt>
                <c:pt idx="29">
                  <c:v>4.8660000000000002E-2</c:v>
                </c:pt>
                <c:pt idx="30">
                  <c:v>4.8399999999999999E-2</c:v>
                </c:pt>
                <c:pt idx="31">
                  <c:v>4.8280000000000003E-2</c:v>
                </c:pt>
                <c:pt idx="32">
                  <c:v>4.82E-2</c:v>
                </c:pt>
                <c:pt idx="33">
                  <c:v>4.8070000000000002E-2</c:v>
                </c:pt>
                <c:pt idx="34">
                  <c:v>4.7899999999999998E-2</c:v>
                </c:pt>
                <c:pt idx="35">
                  <c:v>4.7750000000000001E-2</c:v>
                </c:pt>
                <c:pt idx="36">
                  <c:v>4.7699999999999999E-2</c:v>
                </c:pt>
                <c:pt idx="37">
                  <c:v>4.7800000000000002E-2</c:v>
                </c:pt>
                <c:pt idx="38">
                  <c:v>4.8000000000000001E-2</c:v>
                </c:pt>
                <c:pt idx="39">
                  <c:v>4.829E-2</c:v>
                </c:pt>
                <c:pt idx="40">
                  <c:v>4.8800000000000003E-2</c:v>
                </c:pt>
                <c:pt idx="41">
                  <c:v>4.9730000000000003E-2</c:v>
                </c:pt>
                <c:pt idx="42">
                  <c:v>5.1299999999999998E-2</c:v>
                </c:pt>
                <c:pt idx="43">
                  <c:v>5.3900000000000003E-2</c:v>
                </c:pt>
                <c:pt idx="44">
                  <c:v>5.8500000000000003E-2</c:v>
                </c:pt>
                <c:pt idx="45">
                  <c:v>6.6360000000000002E-2</c:v>
                </c:pt>
                <c:pt idx="46">
                  <c:v>7.9200000000000007E-2</c:v>
                </c:pt>
                <c:pt idx="47">
                  <c:v>9.894E-2</c:v>
                </c:pt>
                <c:pt idx="48">
                  <c:v>0.12770000000000001</c:v>
                </c:pt>
                <c:pt idx="49">
                  <c:v>0.16683000000000001</c:v>
                </c:pt>
                <c:pt idx="50">
                  <c:v>0.21429999999999999</c:v>
                </c:pt>
                <c:pt idx="51">
                  <c:v>0.26677000000000001</c:v>
                </c:pt>
                <c:pt idx="52">
                  <c:v>0.31900000000000001</c:v>
                </c:pt>
                <c:pt idx="53">
                  <c:v>0.36580000000000001</c:v>
                </c:pt>
                <c:pt idx="54">
                  <c:v>0.40400000000000003</c:v>
                </c:pt>
                <c:pt idx="55">
                  <c:v>0.43171999999999999</c:v>
                </c:pt>
                <c:pt idx="56">
                  <c:v>0.45029999999999998</c:v>
                </c:pt>
                <c:pt idx="57">
                  <c:v>0.46188000000000001</c:v>
                </c:pt>
                <c:pt idx="58">
                  <c:v>0.46860000000000002</c:v>
                </c:pt>
                <c:pt idx="59">
                  <c:v>0.4723</c:v>
                </c:pt>
                <c:pt idx="60">
                  <c:v>0.47360000000000002</c:v>
                </c:pt>
                <c:pt idx="61">
                  <c:v>0.47295999999999999</c:v>
                </c:pt>
                <c:pt idx="62">
                  <c:v>0.47149999999999997</c:v>
                </c:pt>
                <c:pt idx="63">
                  <c:v>0.4703</c:v>
                </c:pt>
                <c:pt idx="64">
                  <c:v>0.46949999999999997</c:v>
                </c:pt>
                <c:pt idx="65">
                  <c:v>0.46890999999999999</c:v>
                </c:pt>
                <c:pt idx="66">
                  <c:v>0.46789999999999998</c:v>
                </c:pt>
                <c:pt idx="67">
                  <c:v>0.46606999999999998</c:v>
                </c:pt>
                <c:pt idx="68">
                  <c:v>0.46450000000000002</c:v>
                </c:pt>
                <c:pt idx="69">
                  <c:v>0.46450000000000002</c:v>
                </c:pt>
                <c:pt idx="70">
                  <c:v>0.46450000000000002</c:v>
                </c:pt>
                <c:pt idx="71">
                  <c:v>0.46450000000000002</c:v>
                </c:pt>
                <c:pt idx="72">
                  <c:v>0.46450000000000002</c:v>
                </c:pt>
                <c:pt idx="73">
                  <c:v>0.46450000000000002</c:v>
                </c:pt>
                <c:pt idx="74">
                  <c:v>0.46450000000000002</c:v>
                </c:pt>
                <c:pt idx="75">
                  <c:v>0.46450000000000002</c:v>
                </c:pt>
                <c:pt idx="76">
                  <c:v>0.46450000000000002</c:v>
                </c:pt>
                <c:pt idx="77">
                  <c:v>0.46450000000000002</c:v>
                </c:pt>
                <c:pt idx="78">
                  <c:v>0.46450000000000002</c:v>
                </c:pt>
                <c:pt idx="79">
                  <c:v>0.46450000000000002</c:v>
                </c:pt>
                <c:pt idx="80">
                  <c:v>0.46450000000000002</c:v>
                </c:pt>
                <c:pt idx="81">
                  <c:v>0.46450000000000002</c:v>
                </c:pt>
                <c:pt idx="82">
                  <c:v>0.46450000000000002</c:v>
                </c:pt>
                <c:pt idx="83">
                  <c:v>0.46450000000000002</c:v>
                </c:pt>
                <c:pt idx="84">
                  <c:v>0.46450000000000002</c:v>
                </c:pt>
                <c:pt idx="85">
                  <c:v>0.46450000000000002</c:v>
                </c:pt>
                <c:pt idx="86">
                  <c:v>0.46450000000000002</c:v>
                </c:pt>
                <c:pt idx="87">
                  <c:v>0.46450000000000002</c:v>
                </c:pt>
                <c:pt idx="88">
                  <c:v>0.46450000000000002</c:v>
                </c:pt>
                <c:pt idx="89">
                  <c:v>0.46450000000000002</c:v>
                </c:pt>
                <c:pt idx="90">
                  <c:v>0.46450000000000002</c:v>
                </c:pt>
                <c:pt idx="91">
                  <c:v>0.46450000000000002</c:v>
                </c:pt>
                <c:pt idx="92">
                  <c:v>0.46450000000000002</c:v>
                </c:pt>
                <c:pt idx="93">
                  <c:v>0.46450000000000002</c:v>
                </c:pt>
                <c:pt idx="94">
                  <c:v>0.46450000000000002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3FE4-445B-8EEB-D88489EA6296}"/>
            </c:ext>
          </c:extLst>
        </c:ser>
        <c:ser>
          <c:idx val="8"/>
          <c:order val="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'99set'!$J$10:$J$104</c:f>
              <c:numCache>
                <c:formatCode>0.00000</c:formatCode>
                <c:ptCount val="95"/>
                <c:pt idx="0">
                  <c:v>5.8180000000000003E-2</c:v>
                </c:pt>
                <c:pt idx="1">
                  <c:v>5.8180000000000003E-2</c:v>
                </c:pt>
                <c:pt idx="2">
                  <c:v>5.8180000000000003E-2</c:v>
                </c:pt>
                <c:pt idx="3">
                  <c:v>5.8180000000000003E-2</c:v>
                </c:pt>
                <c:pt idx="4">
                  <c:v>5.8180000000000003E-2</c:v>
                </c:pt>
                <c:pt idx="5">
                  <c:v>5.9610000000000003E-2</c:v>
                </c:pt>
                <c:pt idx="6">
                  <c:v>5.9839999999999997E-2</c:v>
                </c:pt>
                <c:pt idx="7">
                  <c:v>5.9409999999999998E-2</c:v>
                </c:pt>
                <c:pt idx="8">
                  <c:v>5.8860000000000003E-2</c:v>
                </c:pt>
                <c:pt idx="9">
                  <c:v>5.858E-2</c:v>
                </c:pt>
                <c:pt idx="10">
                  <c:v>5.8360000000000002E-2</c:v>
                </c:pt>
                <c:pt idx="11">
                  <c:v>5.7970000000000001E-2</c:v>
                </c:pt>
                <c:pt idx="12">
                  <c:v>5.7689999999999998E-2</c:v>
                </c:pt>
                <c:pt idx="13">
                  <c:v>5.7770000000000002E-2</c:v>
                </c:pt>
                <c:pt idx="14">
                  <c:v>5.7950000000000002E-2</c:v>
                </c:pt>
                <c:pt idx="15">
                  <c:v>5.79E-2</c:v>
                </c:pt>
                <c:pt idx="16">
                  <c:v>5.7639999999999997E-2</c:v>
                </c:pt>
                <c:pt idx="17">
                  <c:v>5.7290000000000001E-2</c:v>
                </c:pt>
                <c:pt idx="18">
                  <c:v>5.7070000000000003E-2</c:v>
                </c:pt>
                <c:pt idx="19">
                  <c:v>5.7149999999999999E-2</c:v>
                </c:pt>
                <c:pt idx="20">
                  <c:v>5.7250000000000002E-2</c:v>
                </c:pt>
                <c:pt idx="21">
                  <c:v>5.7110000000000001E-2</c:v>
                </c:pt>
                <c:pt idx="22">
                  <c:v>5.6849999999999998E-2</c:v>
                </c:pt>
                <c:pt idx="23">
                  <c:v>5.663E-2</c:v>
                </c:pt>
                <c:pt idx="24">
                  <c:v>5.6469999999999999E-2</c:v>
                </c:pt>
                <c:pt idx="25">
                  <c:v>5.6329999999999998E-2</c:v>
                </c:pt>
                <c:pt idx="26">
                  <c:v>5.6090000000000001E-2</c:v>
                </c:pt>
                <c:pt idx="27">
                  <c:v>5.5690000000000003E-2</c:v>
                </c:pt>
                <c:pt idx="28">
                  <c:v>5.5289999999999999E-2</c:v>
                </c:pt>
                <c:pt idx="29">
                  <c:v>5.5050000000000002E-2</c:v>
                </c:pt>
                <c:pt idx="30">
                  <c:v>5.4960000000000002E-2</c:v>
                </c:pt>
                <c:pt idx="31">
                  <c:v>5.4949999999999999E-2</c:v>
                </c:pt>
                <c:pt idx="32">
                  <c:v>5.491E-2</c:v>
                </c:pt>
                <c:pt idx="33">
                  <c:v>5.4769999999999999E-2</c:v>
                </c:pt>
                <c:pt idx="34">
                  <c:v>5.459E-2</c:v>
                </c:pt>
                <c:pt idx="35">
                  <c:v>5.4460000000000001E-2</c:v>
                </c:pt>
                <c:pt idx="36">
                  <c:v>5.441E-2</c:v>
                </c:pt>
                <c:pt idx="37">
                  <c:v>5.4420000000000003E-2</c:v>
                </c:pt>
                <c:pt idx="38">
                  <c:v>5.4440000000000002E-2</c:v>
                </c:pt>
                <c:pt idx="39">
                  <c:v>5.4440000000000002E-2</c:v>
                </c:pt>
                <c:pt idx="40">
                  <c:v>5.4579999999999997E-2</c:v>
                </c:pt>
                <c:pt idx="41">
                  <c:v>5.5010000000000003E-2</c:v>
                </c:pt>
                <c:pt idx="42">
                  <c:v>5.5710000000000003E-2</c:v>
                </c:pt>
                <c:pt idx="43">
                  <c:v>5.6820000000000002E-2</c:v>
                </c:pt>
                <c:pt idx="44">
                  <c:v>5.9150000000000001E-2</c:v>
                </c:pt>
                <c:pt idx="45">
                  <c:v>6.3789999999999999E-2</c:v>
                </c:pt>
                <c:pt idx="46">
                  <c:v>7.2160000000000002E-2</c:v>
                </c:pt>
                <c:pt idx="47">
                  <c:v>8.5769999999999999E-2</c:v>
                </c:pt>
                <c:pt idx="48">
                  <c:v>0.10607999999999999</c:v>
                </c:pt>
                <c:pt idx="49">
                  <c:v>0.13417000000000001</c:v>
                </c:pt>
                <c:pt idx="50">
                  <c:v>0.16961999999999999</c:v>
                </c:pt>
                <c:pt idx="51">
                  <c:v>0.21129999999999999</c:v>
                </c:pt>
                <c:pt idx="52">
                  <c:v>0.25684000000000001</c:v>
                </c:pt>
                <c:pt idx="53">
                  <c:v>0.30365999999999999</c:v>
                </c:pt>
                <c:pt idx="54">
                  <c:v>0.34959000000000001</c:v>
                </c:pt>
                <c:pt idx="55">
                  <c:v>0.39266000000000001</c:v>
                </c:pt>
                <c:pt idx="56">
                  <c:v>0.43125000000000002</c:v>
                </c:pt>
                <c:pt idx="57">
                  <c:v>0.46417000000000003</c:v>
                </c:pt>
                <c:pt idx="58">
                  <c:v>0.49159999999999998</c:v>
                </c:pt>
                <c:pt idx="59">
                  <c:v>0.51405999999999996</c:v>
                </c:pt>
                <c:pt idx="60">
                  <c:v>0.53220000000000001</c:v>
                </c:pt>
                <c:pt idx="61">
                  <c:v>0.54676000000000002</c:v>
                </c:pt>
                <c:pt idx="62">
                  <c:v>0.55869999999999997</c:v>
                </c:pt>
                <c:pt idx="63">
                  <c:v>0.56896999999999998</c:v>
                </c:pt>
                <c:pt idx="64">
                  <c:v>0.57811999999999997</c:v>
                </c:pt>
                <c:pt idx="65">
                  <c:v>0.58662000000000003</c:v>
                </c:pt>
                <c:pt idx="66">
                  <c:v>0.59482999999999997</c:v>
                </c:pt>
                <c:pt idx="67">
                  <c:v>0.60302999999999995</c:v>
                </c:pt>
                <c:pt idx="68">
                  <c:v>0.61109000000000002</c:v>
                </c:pt>
                <c:pt idx="69">
                  <c:v>0.61878</c:v>
                </c:pt>
                <c:pt idx="70">
                  <c:v>0.62573999999999996</c:v>
                </c:pt>
                <c:pt idx="71">
                  <c:v>0.63173000000000001</c:v>
                </c:pt>
                <c:pt idx="72">
                  <c:v>0.63709000000000005</c:v>
                </c:pt>
                <c:pt idx="73">
                  <c:v>0.64227999999999996</c:v>
                </c:pt>
                <c:pt idx="74">
                  <c:v>0.64778999999999998</c:v>
                </c:pt>
                <c:pt idx="75">
                  <c:v>0.65285000000000004</c:v>
                </c:pt>
                <c:pt idx="76">
                  <c:v>0.65803999999999996</c:v>
                </c:pt>
                <c:pt idx="77">
                  <c:v>0.66318999999999995</c:v>
                </c:pt>
                <c:pt idx="78">
                  <c:v>0.66830000000000001</c:v>
                </c:pt>
                <c:pt idx="79">
                  <c:v>0.67337000000000002</c:v>
                </c:pt>
                <c:pt idx="80">
                  <c:v>0.6784</c:v>
                </c:pt>
                <c:pt idx="81">
                  <c:v>0.68339000000000005</c:v>
                </c:pt>
                <c:pt idx="82">
                  <c:v>0.68833999999999995</c:v>
                </c:pt>
                <c:pt idx="83">
                  <c:v>0.69325000000000003</c:v>
                </c:pt>
                <c:pt idx="84">
                  <c:v>0.69811000000000001</c:v>
                </c:pt>
                <c:pt idx="85">
                  <c:v>0.69811000000000001</c:v>
                </c:pt>
                <c:pt idx="86">
                  <c:v>0.69811000000000001</c:v>
                </c:pt>
                <c:pt idx="87">
                  <c:v>0.69811000000000001</c:v>
                </c:pt>
                <c:pt idx="88">
                  <c:v>0.69811000000000001</c:v>
                </c:pt>
                <c:pt idx="89">
                  <c:v>0.69811000000000001</c:v>
                </c:pt>
                <c:pt idx="90">
                  <c:v>0.69811000000000001</c:v>
                </c:pt>
                <c:pt idx="91">
                  <c:v>0.69811000000000001</c:v>
                </c:pt>
                <c:pt idx="92">
                  <c:v>0.69811000000000001</c:v>
                </c:pt>
                <c:pt idx="93">
                  <c:v>0.69811000000000001</c:v>
                </c:pt>
                <c:pt idx="94">
                  <c:v>0.69811000000000001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3FE4-445B-8EEB-D88489EA6296}"/>
            </c:ext>
          </c:extLst>
        </c:ser>
        <c:ser>
          <c:idx val="9"/>
          <c:order val="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'99set'!$K$10:$K$104</c:f>
              <c:numCache>
                <c:formatCode>0.00000</c:formatCode>
                <c:ptCount val="95"/>
                <c:pt idx="0">
                  <c:v>4.1570000000000003E-2</c:v>
                </c:pt>
                <c:pt idx="1">
                  <c:v>4.1570000000000003E-2</c:v>
                </c:pt>
                <c:pt idx="2">
                  <c:v>4.1570000000000003E-2</c:v>
                </c:pt>
                <c:pt idx="3">
                  <c:v>4.1570000000000003E-2</c:v>
                </c:pt>
                <c:pt idx="4">
                  <c:v>4.1570000000000003E-2</c:v>
                </c:pt>
                <c:pt idx="5">
                  <c:v>4.172E-2</c:v>
                </c:pt>
                <c:pt idx="6">
                  <c:v>4.1869999999999997E-2</c:v>
                </c:pt>
                <c:pt idx="7">
                  <c:v>4.2020000000000002E-2</c:v>
                </c:pt>
                <c:pt idx="8">
                  <c:v>4.2250000000000003E-2</c:v>
                </c:pt>
                <c:pt idx="9">
                  <c:v>4.2290000000000001E-2</c:v>
                </c:pt>
                <c:pt idx="10">
                  <c:v>4.2459999999999998E-2</c:v>
                </c:pt>
                <c:pt idx="11">
                  <c:v>4.2750000000000003E-2</c:v>
                </c:pt>
                <c:pt idx="12">
                  <c:v>4.3180000000000003E-2</c:v>
                </c:pt>
                <c:pt idx="13">
                  <c:v>4.3740000000000001E-2</c:v>
                </c:pt>
                <c:pt idx="14">
                  <c:v>4.4409999999999998E-2</c:v>
                </c:pt>
                <c:pt idx="15">
                  <c:v>4.5159999999999999E-2</c:v>
                </c:pt>
                <c:pt idx="16">
                  <c:v>4.5960000000000001E-2</c:v>
                </c:pt>
                <c:pt idx="17">
                  <c:v>4.6809999999999997E-2</c:v>
                </c:pt>
                <c:pt idx="18">
                  <c:v>4.7710000000000002E-2</c:v>
                </c:pt>
                <c:pt idx="19">
                  <c:v>4.8619999999999997E-2</c:v>
                </c:pt>
                <c:pt idx="20">
                  <c:v>4.9360000000000001E-2</c:v>
                </c:pt>
                <c:pt idx="21">
                  <c:v>4.981E-2</c:v>
                </c:pt>
                <c:pt idx="22">
                  <c:v>5.008E-2</c:v>
                </c:pt>
                <c:pt idx="23">
                  <c:v>5.0439999999999999E-2</c:v>
                </c:pt>
                <c:pt idx="24">
                  <c:v>5.142E-2</c:v>
                </c:pt>
                <c:pt idx="25">
                  <c:v>5.3400000000000003E-2</c:v>
                </c:pt>
                <c:pt idx="26">
                  <c:v>5.5849999999999997E-2</c:v>
                </c:pt>
                <c:pt idx="27">
                  <c:v>5.8049999999999997E-2</c:v>
                </c:pt>
                <c:pt idx="28">
                  <c:v>5.9249999999999997E-2</c:v>
                </c:pt>
                <c:pt idx="29">
                  <c:v>5.8990000000000001E-2</c:v>
                </c:pt>
                <c:pt idx="30">
                  <c:v>5.7709999999999997E-2</c:v>
                </c:pt>
                <c:pt idx="31">
                  <c:v>5.602E-2</c:v>
                </c:pt>
                <c:pt idx="32">
                  <c:v>5.4199999999999998E-2</c:v>
                </c:pt>
                <c:pt idx="33">
                  <c:v>5.2400000000000002E-2</c:v>
                </c:pt>
                <c:pt idx="34">
                  <c:v>5.0599999999999999E-2</c:v>
                </c:pt>
                <c:pt idx="35">
                  <c:v>4.8719999999999999E-2</c:v>
                </c:pt>
                <c:pt idx="36">
                  <c:v>4.6679999999999999E-2</c:v>
                </c:pt>
                <c:pt idx="37">
                  <c:v>4.446E-2</c:v>
                </c:pt>
                <c:pt idx="38">
                  <c:v>4.2250000000000003E-2</c:v>
                </c:pt>
                <c:pt idx="39">
                  <c:v>4.0379999999999999E-2</c:v>
                </c:pt>
                <c:pt idx="40">
                  <c:v>3.9359999999999999E-2</c:v>
                </c:pt>
                <c:pt idx="41">
                  <c:v>3.9600000000000003E-2</c:v>
                </c:pt>
                <c:pt idx="42">
                  <c:v>4.0809999999999999E-2</c:v>
                </c:pt>
                <c:pt idx="43">
                  <c:v>4.258E-2</c:v>
                </c:pt>
                <c:pt idx="44">
                  <c:v>4.4830000000000002E-2</c:v>
                </c:pt>
                <c:pt idx="45">
                  <c:v>4.7500000000000001E-2</c:v>
                </c:pt>
                <c:pt idx="46">
                  <c:v>5.0389999999999997E-2</c:v>
                </c:pt>
                <c:pt idx="47">
                  <c:v>5.323E-2</c:v>
                </c:pt>
                <c:pt idx="48">
                  <c:v>5.5539999999999999E-2</c:v>
                </c:pt>
                <c:pt idx="49">
                  <c:v>5.6959999999999997E-2</c:v>
                </c:pt>
                <c:pt idx="50">
                  <c:v>5.7709999999999997E-2</c:v>
                </c:pt>
                <c:pt idx="51">
                  <c:v>5.8130000000000001E-2</c:v>
                </c:pt>
                <c:pt idx="52">
                  <c:v>5.8430000000000003E-2</c:v>
                </c:pt>
                <c:pt idx="53">
                  <c:v>5.8700000000000002E-2</c:v>
                </c:pt>
                <c:pt idx="54">
                  <c:v>5.8939999999999999E-2</c:v>
                </c:pt>
                <c:pt idx="55">
                  <c:v>5.917E-2</c:v>
                </c:pt>
                <c:pt idx="56">
                  <c:v>5.9659999999999998E-2</c:v>
                </c:pt>
                <c:pt idx="57">
                  <c:v>6.0650000000000003E-2</c:v>
                </c:pt>
                <c:pt idx="58">
                  <c:v>6.1929999999999999E-2</c:v>
                </c:pt>
                <c:pt idx="59">
                  <c:v>6.3200000000000006E-2</c:v>
                </c:pt>
                <c:pt idx="60">
                  <c:v>6.4199999999999993E-2</c:v>
                </c:pt>
                <c:pt idx="61">
                  <c:v>6.4740000000000006E-2</c:v>
                </c:pt>
                <c:pt idx="62">
                  <c:v>6.4920000000000005E-2</c:v>
                </c:pt>
                <c:pt idx="63">
                  <c:v>6.4890000000000003E-2</c:v>
                </c:pt>
                <c:pt idx="64">
                  <c:v>6.4710000000000004E-2</c:v>
                </c:pt>
                <c:pt idx="65">
                  <c:v>6.4409999999999995E-2</c:v>
                </c:pt>
                <c:pt idx="66">
                  <c:v>6.3990000000000005E-2</c:v>
                </c:pt>
                <c:pt idx="67">
                  <c:v>6.3439999999999996E-2</c:v>
                </c:pt>
                <c:pt idx="68">
                  <c:v>6.2759999999999996E-2</c:v>
                </c:pt>
                <c:pt idx="69">
                  <c:v>6.2280000000000002E-2</c:v>
                </c:pt>
                <c:pt idx="70">
                  <c:v>6.173E-2</c:v>
                </c:pt>
                <c:pt idx="71">
                  <c:v>6.1179999999999998E-2</c:v>
                </c:pt>
                <c:pt idx="72">
                  <c:v>6.0639999999999999E-2</c:v>
                </c:pt>
                <c:pt idx="73">
                  <c:v>6.0100000000000001E-2</c:v>
                </c:pt>
                <c:pt idx="74">
                  <c:v>5.9569999999999998E-2</c:v>
                </c:pt>
                <c:pt idx="75">
                  <c:v>5.9040000000000002E-2</c:v>
                </c:pt>
                <c:pt idx="76">
                  <c:v>5.8520000000000003E-2</c:v>
                </c:pt>
                <c:pt idx="77">
                  <c:v>5.8000000000000003E-2</c:v>
                </c:pt>
                <c:pt idx="78">
                  <c:v>5.7480000000000003E-2</c:v>
                </c:pt>
                <c:pt idx="79">
                  <c:v>5.697E-2</c:v>
                </c:pt>
                <c:pt idx="80">
                  <c:v>5.6460000000000003E-2</c:v>
                </c:pt>
                <c:pt idx="81">
                  <c:v>5.5960000000000003E-2</c:v>
                </c:pt>
                <c:pt idx="82">
                  <c:v>5.5460000000000002E-2</c:v>
                </c:pt>
                <c:pt idx="83">
                  <c:v>5.4960000000000002E-2</c:v>
                </c:pt>
                <c:pt idx="84">
                  <c:v>5.4469999999999998E-2</c:v>
                </c:pt>
                <c:pt idx="85">
                  <c:v>5.4469999999999998E-2</c:v>
                </c:pt>
                <c:pt idx="86">
                  <c:v>5.4469999999999998E-2</c:v>
                </c:pt>
                <c:pt idx="87">
                  <c:v>5.4469999999999998E-2</c:v>
                </c:pt>
                <c:pt idx="88">
                  <c:v>5.4469999999999998E-2</c:v>
                </c:pt>
                <c:pt idx="89">
                  <c:v>5.4469999999999998E-2</c:v>
                </c:pt>
                <c:pt idx="90">
                  <c:v>5.4469999999999998E-2</c:v>
                </c:pt>
                <c:pt idx="91">
                  <c:v>5.4469999999999998E-2</c:v>
                </c:pt>
                <c:pt idx="92">
                  <c:v>5.4469999999999998E-2</c:v>
                </c:pt>
                <c:pt idx="93">
                  <c:v>5.4469999999999998E-2</c:v>
                </c:pt>
                <c:pt idx="94">
                  <c:v>5.4469999999999998E-2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3FE4-445B-8EEB-D88489EA6296}"/>
            </c:ext>
          </c:extLst>
        </c:ser>
        <c:ser>
          <c:idx val="10"/>
          <c:order val="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'99set'!$L$10:$L$104</c:f>
              <c:numCache>
                <c:formatCode>0.00000</c:formatCode>
                <c:ptCount val="95"/>
                <c:pt idx="0">
                  <c:v>0.19983000000000001</c:v>
                </c:pt>
                <c:pt idx="1">
                  <c:v>0.19983000000000001</c:v>
                </c:pt>
                <c:pt idx="2">
                  <c:v>0.19983000000000001</c:v>
                </c:pt>
                <c:pt idx="3">
                  <c:v>0.19983000000000001</c:v>
                </c:pt>
                <c:pt idx="4">
                  <c:v>0.19983000000000001</c:v>
                </c:pt>
                <c:pt idx="5">
                  <c:v>0.19983000000000001</c:v>
                </c:pt>
                <c:pt idx="6">
                  <c:v>0.19983000000000001</c:v>
                </c:pt>
                <c:pt idx="7">
                  <c:v>0.19983000000000001</c:v>
                </c:pt>
                <c:pt idx="8">
                  <c:v>0.19983000000000001</c:v>
                </c:pt>
                <c:pt idx="9">
                  <c:v>0.20627999999999999</c:v>
                </c:pt>
                <c:pt idx="10">
                  <c:v>0.21152000000000001</c:v>
                </c:pt>
                <c:pt idx="11">
                  <c:v>0.20943999999999999</c:v>
                </c:pt>
                <c:pt idx="12">
                  <c:v>0.20352000000000001</c:v>
                </c:pt>
                <c:pt idx="13">
                  <c:v>0.19850000000000001</c:v>
                </c:pt>
                <c:pt idx="14">
                  <c:v>0.19472999999999999</c:v>
                </c:pt>
                <c:pt idx="15">
                  <c:v>0.19148999999999999</c:v>
                </c:pt>
                <c:pt idx="16">
                  <c:v>0.18842</c:v>
                </c:pt>
                <c:pt idx="17">
                  <c:v>0.18529000000000001</c:v>
                </c:pt>
                <c:pt idx="18">
                  <c:v>0.18231</c:v>
                </c:pt>
                <c:pt idx="19">
                  <c:v>0.17978</c:v>
                </c:pt>
                <c:pt idx="20">
                  <c:v>0.17804</c:v>
                </c:pt>
                <c:pt idx="21">
                  <c:v>0.17718</c:v>
                </c:pt>
                <c:pt idx="22">
                  <c:v>0.17637</c:v>
                </c:pt>
                <c:pt idx="23">
                  <c:v>0.17466999999999999</c:v>
                </c:pt>
                <c:pt idx="24">
                  <c:v>0.17191999999999999</c:v>
                </c:pt>
                <c:pt idx="25">
                  <c:v>0.16833999999999999</c:v>
                </c:pt>
                <c:pt idx="26">
                  <c:v>0.16488</c:v>
                </c:pt>
                <c:pt idx="27">
                  <c:v>0.16250000000000001</c:v>
                </c:pt>
                <c:pt idx="28">
                  <c:v>0.16134999999999999</c:v>
                </c:pt>
                <c:pt idx="29">
                  <c:v>0.16120000000000001</c:v>
                </c:pt>
                <c:pt idx="30">
                  <c:v>0.16111</c:v>
                </c:pt>
                <c:pt idx="31">
                  <c:v>0.16047</c:v>
                </c:pt>
                <c:pt idx="32">
                  <c:v>0.16075</c:v>
                </c:pt>
                <c:pt idx="33">
                  <c:v>0.16356999999999999</c:v>
                </c:pt>
                <c:pt idx="34">
                  <c:v>0.16904</c:v>
                </c:pt>
                <c:pt idx="35">
                  <c:v>0.17688999999999999</c:v>
                </c:pt>
                <c:pt idx="36">
                  <c:v>0.18673000000000001</c:v>
                </c:pt>
                <c:pt idx="37">
                  <c:v>0.19850000000000001</c:v>
                </c:pt>
                <c:pt idx="38">
                  <c:v>0.21354999999999999</c:v>
                </c:pt>
                <c:pt idx="39">
                  <c:v>0.23344999999999999</c:v>
                </c:pt>
                <c:pt idx="40">
                  <c:v>0.25938</c:v>
                </c:pt>
                <c:pt idx="41">
                  <c:v>0.29341</c:v>
                </c:pt>
                <c:pt idx="42">
                  <c:v>0.34156999999999998</c:v>
                </c:pt>
                <c:pt idx="43">
                  <c:v>0.4083</c:v>
                </c:pt>
                <c:pt idx="44">
                  <c:v>0.48748999999999998</c:v>
                </c:pt>
                <c:pt idx="45">
                  <c:v>0.57052999999999998</c:v>
                </c:pt>
                <c:pt idx="46">
                  <c:v>0.64907999999999999</c:v>
                </c:pt>
                <c:pt idx="47">
                  <c:v>0.71596000000000004</c:v>
                </c:pt>
                <c:pt idx="48">
                  <c:v>0.76829999999999998</c:v>
                </c:pt>
                <c:pt idx="49">
                  <c:v>0.80508000000000002</c:v>
                </c:pt>
                <c:pt idx="50">
                  <c:v>0.82848999999999995</c:v>
                </c:pt>
                <c:pt idx="51">
                  <c:v>0.84184999999999999</c:v>
                </c:pt>
                <c:pt idx="52">
                  <c:v>0.84979000000000005</c:v>
                </c:pt>
                <c:pt idx="53">
                  <c:v>0.85636999999999996</c:v>
                </c:pt>
                <c:pt idx="54">
                  <c:v>0.86216999999999999</c:v>
                </c:pt>
                <c:pt idx="55">
                  <c:v>0.86695</c:v>
                </c:pt>
                <c:pt idx="56">
                  <c:v>0.87063999999999997</c:v>
                </c:pt>
                <c:pt idx="57">
                  <c:v>0.87336999999999998</c:v>
                </c:pt>
                <c:pt idx="58">
                  <c:v>0.87575000000000003</c:v>
                </c:pt>
                <c:pt idx="59">
                  <c:v>0.87822</c:v>
                </c:pt>
                <c:pt idx="60">
                  <c:v>0.88010999999999995</c:v>
                </c:pt>
                <c:pt idx="61">
                  <c:v>0.88073999999999997</c:v>
                </c:pt>
                <c:pt idx="62">
                  <c:v>0.88075000000000003</c:v>
                </c:pt>
                <c:pt idx="63">
                  <c:v>0.88085999999999998</c:v>
                </c:pt>
                <c:pt idx="64">
                  <c:v>0.88083</c:v>
                </c:pt>
                <c:pt idx="65">
                  <c:v>0.88044</c:v>
                </c:pt>
                <c:pt idx="66">
                  <c:v>0.88049999999999995</c:v>
                </c:pt>
                <c:pt idx="67">
                  <c:v>0.88166999999999995</c:v>
                </c:pt>
                <c:pt idx="68">
                  <c:v>0.88290999999999997</c:v>
                </c:pt>
                <c:pt idx="69">
                  <c:v>0.88290999999999997</c:v>
                </c:pt>
                <c:pt idx="70">
                  <c:v>0.88290999999999997</c:v>
                </c:pt>
                <c:pt idx="71">
                  <c:v>0.88290999999999997</c:v>
                </c:pt>
                <c:pt idx="72">
                  <c:v>0.88290999999999997</c:v>
                </c:pt>
                <c:pt idx="73">
                  <c:v>0.88290999999999997</c:v>
                </c:pt>
                <c:pt idx="74">
                  <c:v>0.88290999999999997</c:v>
                </c:pt>
                <c:pt idx="75">
                  <c:v>0.88290999999999997</c:v>
                </c:pt>
                <c:pt idx="76">
                  <c:v>0.88290999999999997</c:v>
                </c:pt>
                <c:pt idx="77">
                  <c:v>0.88290999999999997</c:v>
                </c:pt>
                <c:pt idx="78">
                  <c:v>0.88290999999999997</c:v>
                </c:pt>
                <c:pt idx="79">
                  <c:v>0.88290999999999997</c:v>
                </c:pt>
                <c:pt idx="80">
                  <c:v>0.88290999999999997</c:v>
                </c:pt>
                <c:pt idx="81">
                  <c:v>0.88290999999999997</c:v>
                </c:pt>
                <c:pt idx="82">
                  <c:v>0.88290999999999997</c:v>
                </c:pt>
                <c:pt idx="83">
                  <c:v>0.88290999999999997</c:v>
                </c:pt>
                <c:pt idx="84">
                  <c:v>0.88290999999999997</c:v>
                </c:pt>
                <c:pt idx="85">
                  <c:v>0.88290999999999997</c:v>
                </c:pt>
                <c:pt idx="86">
                  <c:v>0.88290999999999997</c:v>
                </c:pt>
                <c:pt idx="87">
                  <c:v>0.88290999999999997</c:v>
                </c:pt>
                <c:pt idx="88">
                  <c:v>0.88290999999999997</c:v>
                </c:pt>
                <c:pt idx="89">
                  <c:v>0.88290999999999997</c:v>
                </c:pt>
                <c:pt idx="90">
                  <c:v>0.88290999999999997</c:v>
                </c:pt>
                <c:pt idx="91">
                  <c:v>0.88290999999999997</c:v>
                </c:pt>
                <c:pt idx="92">
                  <c:v>0.88290999999999997</c:v>
                </c:pt>
                <c:pt idx="93">
                  <c:v>0.88290999999999997</c:v>
                </c:pt>
                <c:pt idx="94">
                  <c:v>0.88290999999999997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3FE4-445B-8EEB-D88489EA6296}"/>
            </c:ext>
          </c:extLst>
        </c:ser>
        <c:ser>
          <c:idx val="11"/>
          <c:order val="1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'99set'!$M$10:$M$104</c:f>
              <c:numCache>
                <c:formatCode>0.00000</c:formatCode>
                <c:ptCount val="95"/>
                <c:pt idx="0">
                  <c:v>3.9510000000000003E-2</c:v>
                </c:pt>
                <c:pt idx="1">
                  <c:v>3.9510000000000003E-2</c:v>
                </c:pt>
                <c:pt idx="2">
                  <c:v>3.9510000000000003E-2</c:v>
                </c:pt>
                <c:pt idx="3">
                  <c:v>3.9510000000000003E-2</c:v>
                </c:pt>
                <c:pt idx="4">
                  <c:v>3.9510000000000003E-2</c:v>
                </c:pt>
                <c:pt idx="5">
                  <c:v>4.4490000000000002E-2</c:v>
                </c:pt>
                <c:pt idx="6">
                  <c:v>5.006E-2</c:v>
                </c:pt>
                <c:pt idx="7">
                  <c:v>5.629E-2</c:v>
                </c:pt>
                <c:pt idx="8">
                  <c:v>6.0810000000000003E-2</c:v>
                </c:pt>
                <c:pt idx="9">
                  <c:v>7.2330000000000005E-2</c:v>
                </c:pt>
                <c:pt idx="10">
                  <c:v>8.0320000000000003E-2</c:v>
                </c:pt>
                <c:pt idx="11">
                  <c:v>8.5220000000000004E-2</c:v>
                </c:pt>
                <c:pt idx="12">
                  <c:v>8.7419999999999998E-2</c:v>
                </c:pt>
                <c:pt idx="13">
                  <c:v>8.7480000000000002E-2</c:v>
                </c:pt>
                <c:pt idx="14">
                  <c:v>8.6440000000000003E-2</c:v>
                </c:pt>
                <c:pt idx="15">
                  <c:v>8.5199999999999998E-2</c:v>
                </c:pt>
                <c:pt idx="16">
                  <c:v>8.3580000000000002E-2</c:v>
                </c:pt>
                <c:pt idx="17">
                  <c:v>8.1210000000000004E-2</c:v>
                </c:pt>
                <c:pt idx="18">
                  <c:v>7.8060000000000004E-2</c:v>
                </c:pt>
                <c:pt idx="19">
                  <c:v>7.4230000000000004E-2</c:v>
                </c:pt>
                <c:pt idx="20">
                  <c:v>6.9980000000000001E-2</c:v>
                </c:pt>
                <c:pt idx="21">
                  <c:v>6.5540000000000001E-2</c:v>
                </c:pt>
                <c:pt idx="22">
                  <c:v>6.0909999999999999E-2</c:v>
                </c:pt>
                <c:pt idx="23">
                  <c:v>5.6120000000000003E-2</c:v>
                </c:pt>
                <c:pt idx="24">
                  <c:v>5.1740000000000001E-2</c:v>
                </c:pt>
                <c:pt idx="25">
                  <c:v>4.8329999999999998E-2</c:v>
                </c:pt>
                <c:pt idx="26">
                  <c:v>4.5929999999999999E-2</c:v>
                </c:pt>
                <c:pt idx="27">
                  <c:v>4.4409999999999998E-2</c:v>
                </c:pt>
                <c:pt idx="28">
                  <c:v>4.3369999999999999E-2</c:v>
                </c:pt>
                <c:pt idx="29">
                  <c:v>4.2430000000000002E-2</c:v>
                </c:pt>
                <c:pt idx="30">
                  <c:v>4.1689999999999998E-2</c:v>
                </c:pt>
                <c:pt idx="31">
                  <c:v>4.1309999999999999E-2</c:v>
                </c:pt>
                <c:pt idx="32">
                  <c:v>4.1390000000000003E-2</c:v>
                </c:pt>
                <c:pt idx="33">
                  <c:v>4.2070000000000003E-2</c:v>
                </c:pt>
                <c:pt idx="34">
                  <c:v>4.3659999999999997E-2</c:v>
                </c:pt>
                <c:pt idx="35">
                  <c:v>4.6789999999999998E-2</c:v>
                </c:pt>
                <c:pt idx="36">
                  <c:v>5.3019999999999998E-2</c:v>
                </c:pt>
                <c:pt idx="37">
                  <c:v>6.4189999999999997E-2</c:v>
                </c:pt>
                <c:pt idx="38">
                  <c:v>8.2199999999999995E-2</c:v>
                </c:pt>
                <c:pt idx="39">
                  <c:v>0.10861</c:v>
                </c:pt>
                <c:pt idx="40">
                  <c:v>0.1434</c:v>
                </c:pt>
                <c:pt idx="41">
                  <c:v>0.18551999999999999</c:v>
                </c:pt>
                <c:pt idx="42">
                  <c:v>0.23130999999999999</c:v>
                </c:pt>
                <c:pt idx="43">
                  <c:v>0.27650999999999998</c:v>
                </c:pt>
                <c:pt idx="44">
                  <c:v>0.31696000000000002</c:v>
                </c:pt>
                <c:pt idx="45">
                  <c:v>0.34932999999999997</c:v>
                </c:pt>
                <c:pt idx="46">
                  <c:v>0.37352999999999997</c:v>
                </c:pt>
                <c:pt idx="47">
                  <c:v>0.39051000000000002</c:v>
                </c:pt>
                <c:pt idx="48">
                  <c:v>0.40200999999999998</c:v>
                </c:pt>
                <c:pt idx="49">
                  <c:v>0.40995999999999999</c:v>
                </c:pt>
                <c:pt idx="50">
                  <c:v>0.41600999999999999</c:v>
                </c:pt>
                <c:pt idx="51">
                  <c:v>0.42171999999999998</c:v>
                </c:pt>
                <c:pt idx="52">
                  <c:v>0.42832999999999999</c:v>
                </c:pt>
                <c:pt idx="53">
                  <c:v>0.43684000000000001</c:v>
                </c:pt>
                <c:pt idx="54">
                  <c:v>0.44755</c:v>
                </c:pt>
                <c:pt idx="55">
                  <c:v>0.46045000000000003</c:v>
                </c:pt>
                <c:pt idx="56">
                  <c:v>0.47494999999999998</c:v>
                </c:pt>
                <c:pt idx="57">
                  <c:v>0.49065999999999999</c:v>
                </c:pt>
                <c:pt idx="58">
                  <c:v>0.50854999999999995</c:v>
                </c:pt>
                <c:pt idx="59">
                  <c:v>0.52961999999999998</c:v>
                </c:pt>
                <c:pt idx="60">
                  <c:v>0.55369000000000002</c:v>
                </c:pt>
                <c:pt idx="61">
                  <c:v>0.57982</c:v>
                </c:pt>
                <c:pt idx="62">
                  <c:v>0.60514000000000001</c:v>
                </c:pt>
                <c:pt idx="63">
                  <c:v>0.62726000000000004</c:v>
                </c:pt>
                <c:pt idx="64">
                  <c:v>0.64751999999999998</c:v>
                </c:pt>
                <c:pt idx="65">
                  <c:v>0.66759999999999997</c:v>
                </c:pt>
                <c:pt idx="66">
                  <c:v>0.68674999999999997</c:v>
                </c:pt>
                <c:pt idx="67">
                  <c:v>0.7036</c:v>
                </c:pt>
                <c:pt idx="68">
                  <c:v>0.71680999999999995</c:v>
                </c:pt>
                <c:pt idx="69">
                  <c:v>0.73385999999999996</c:v>
                </c:pt>
                <c:pt idx="70">
                  <c:v>0.74863000000000002</c:v>
                </c:pt>
                <c:pt idx="71">
                  <c:v>0.76285000000000003</c:v>
                </c:pt>
                <c:pt idx="72">
                  <c:v>0.77649999999999997</c:v>
                </c:pt>
                <c:pt idx="73">
                  <c:v>0.78957999999999995</c:v>
                </c:pt>
                <c:pt idx="74">
                  <c:v>0.80208999999999997</c:v>
                </c:pt>
                <c:pt idx="75">
                  <c:v>0.81403000000000003</c:v>
                </c:pt>
                <c:pt idx="76">
                  <c:v>0.82540999999999998</c:v>
                </c:pt>
                <c:pt idx="77">
                  <c:v>0.83623000000000003</c:v>
                </c:pt>
                <c:pt idx="78">
                  <c:v>0.84650999999999998</c:v>
                </c:pt>
                <c:pt idx="79">
                  <c:v>0.85624999999999996</c:v>
                </c:pt>
                <c:pt idx="80">
                  <c:v>0.86546999999999996</c:v>
                </c:pt>
                <c:pt idx="81">
                  <c:v>0.87419000000000002</c:v>
                </c:pt>
                <c:pt idx="82">
                  <c:v>0.88241999999999998</c:v>
                </c:pt>
                <c:pt idx="83">
                  <c:v>0.89017999999999997</c:v>
                </c:pt>
                <c:pt idx="84">
                  <c:v>0.89748000000000006</c:v>
                </c:pt>
                <c:pt idx="85">
                  <c:v>0.89748000000000006</c:v>
                </c:pt>
                <c:pt idx="86">
                  <c:v>0.89748000000000006</c:v>
                </c:pt>
                <c:pt idx="87">
                  <c:v>0.89748000000000006</c:v>
                </c:pt>
                <c:pt idx="88">
                  <c:v>0.89748000000000006</c:v>
                </c:pt>
                <c:pt idx="89">
                  <c:v>0.89748000000000006</c:v>
                </c:pt>
                <c:pt idx="90">
                  <c:v>0.89748000000000006</c:v>
                </c:pt>
                <c:pt idx="91">
                  <c:v>0.89748000000000006</c:v>
                </c:pt>
                <c:pt idx="92">
                  <c:v>0.89748000000000006</c:v>
                </c:pt>
                <c:pt idx="93">
                  <c:v>0.89748000000000006</c:v>
                </c:pt>
                <c:pt idx="94">
                  <c:v>0.89748000000000006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3FE4-445B-8EEB-D88489EA6296}"/>
            </c:ext>
          </c:extLst>
        </c:ser>
        <c:ser>
          <c:idx val="12"/>
          <c:order val="1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'99set'!$N$10:$N$104</c:f>
              <c:numCache>
                <c:formatCode>0.00000</c:formatCode>
                <c:ptCount val="95"/>
                <c:pt idx="0">
                  <c:v>0.24167</c:v>
                </c:pt>
                <c:pt idx="1">
                  <c:v>0.24167</c:v>
                </c:pt>
                <c:pt idx="2">
                  <c:v>0.24167</c:v>
                </c:pt>
                <c:pt idx="3">
                  <c:v>0.24167</c:v>
                </c:pt>
                <c:pt idx="4">
                  <c:v>0.24167</c:v>
                </c:pt>
                <c:pt idx="5">
                  <c:v>0.21622</c:v>
                </c:pt>
                <c:pt idx="6">
                  <c:v>0.18687000000000001</c:v>
                </c:pt>
                <c:pt idx="7">
                  <c:v>0.16203999999999999</c:v>
                </c:pt>
                <c:pt idx="8">
                  <c:v>0.14513999999999999</c:v>
                </c:pt>
                <c:pt idx="9">
                  <c:v>0.12981000000000001</c:v>
                </c:pt>
                <c:pt idx="10">
                  <c:v>0.11536</c:v>
                </c:pt>
                <c:pt idx="11">
                  <c:v>0.10584</c:v>
                </c:pt>
                <c:pt idx="12">
                  <c:v>0.1043</c:v>
                </c:pt>
                <c:pt idx="13">
                  <c:v>9.8710000000000006E-2</c:v>
                </c:pt>
                <c:pt idx="14">
                  <c:v>9.4829999999999998E-2</c:v>
                </c:pt>
                <c:pt idx="15">
                  <c:v>9.7670000000000007E-2</c:v>
                </c:pt>
                <c:pt idx="16">
                  <c:v>9.8290000000000002E-2</c:v>
                </c:pt>
                <c:pt idx="17">
                  <c:v>9.4740000000000005E-2</c:v>
                </c:pt>
                <c:pt idx="18">
                  <c:v>9.3950000000000006E-2</c:v>
                </c:pt>
                <c:pt idx="19">
                  <c:v>9.1910000000000006E-2</c:v>
                </c:pt>
                <c:pt idx="20">
                  <c:v>8.6029999999999995E-2</c:v>
                </c:pt>
                <c:pt idx="21">
                  <c:v>8.133E-2</c:v>
                </c:pt>
                <c:pt idx="22">
                  <c:v>7.5410000000000005E-2</c:v>
                </c:pt>
                <c:pt idx="23">
                  <c:v>6.8279999999999993E-2</c:v>
                </c:pt>
                <c:pt idx="24">
                  <c:v>6.1589999999999999E-2</c:v>
                </c:pt>
                <c:pt idx="25">
                  <c:v>5.7189999999999998E-2</c:v>
                </c:pt>
                <c:pt idx="26">
                  <c:v>5.416E-2</c:v>
                </c:pt>
                <c:pt idx="27">
                  <c:v>5.0869999999999999E-2</c:v>
                </c:pt>
                <c:pt idx="28">
                  <c:v>4.8669999999999998E-2</c:v>
                </c:pt>
                <c:pt idx="29">
                  <c:v>4.9950000000000001E-2</c:v>
                </c:pt>
                <c:pt idx="30">
                  <c:v>5.2350000000000001E-2</c:v>
                </c:pt>
                <c:pt idx="31">
                  <c:v>5.5649999999999998E-2</c:v>
                </c:pt>
                <c:pt idx="32">
                  <c:v>5.9799999999999999E-2</c:v>
                </c:pt>
                <c:pt idx="33">
                  <c:v>6.3380000000000006E-2</c:v>
                </c:pt>
                <c:pt idx="34">
                  <c:v>7.1190000000000003E-2</c:v>
                </c:pt>
                <c:pt idx="35">
                  <c:v>8.2030000000000006E-2</c:v>
                </c:pt>
                <c:pt idx="36">
                  <c:v>9.6579999999999999E-2</c:v>
                </c:pt>
                <c:pt idx="37">
                  <c:v>0.11373999999999999</c:v>
                </c:pt>
                <c:pt idx="38">
                  <c:v>0.13250000000000001</c:v>
                </c:pt>
                <c:pt idx="39">
                  <c:v>0.15515999999999999</c:v>
                </c:pt>
                <c:pt idx="40">
                  <c:v>0.18331</c:v>
                </c:pt>
                <c:pt idx="41">
                  <c:v>0.21657999999999999</c:v>
                </c:pt>
                <c:pt idx="42">
                  <c:v>0.25334000000000001</c:v>
                </c:pt>
                <c:pt idx="43">
                  <c:v>0.29135</c:v>
                </c:pt>
                <c:pt idx="44">
                  <c:v>0.33391999999999999</c:v>
                </c:pt>
                <c:pt idx="45">
                  <c:v>0.37966</c:v>
                </c:pt>
                <c:pt idx="46">
                  <c:v>0.42691000000000001</c:v>
                </c:pt>
                <c:pt idx="47">
                  <c:v>0.47137000000000001</c:v>
                </c:pt>
                <c:pt idx="48">
                  <c:v>0.51259999999999994</c:v>
                </c:pt>
                <c:pt idx="49">
                  <c:v>0.54874000000000001</c:v>
                </c:pt>
                <c:pt idx="50">
                  <c:v>0.5796</c:v>
                </c:pt>
                <c:pt idx="51">
                  <c:v>0.60302</c:v>
                </c:pt>
                <c:pt idx="52">
                  <c:v>0.62229999999999996</c:v>
                </c:pt>
                <c:pt idx="53">
                  <c:v>0.63768999999999998</c:v>
                </c:pt>
                <c:pt idx="54">
                  <c:v>0.64759</c:v>
                </c:pt>
                <c:pt idx="55">
                  <c:v>0.65705000000000002</c:v>
                </c:pt>
                <c:pt idx="56">
                  <c:v>0.66605999999999999</c:v>
                </c:pt>
                <c:pt idx="57">
                  <c:v>0.67239000000000004</c:v>
                </c:pt>
                <c:pt idx="58">
                  <c:v>0.67883000000000004</c:v>
                </c:pt>
                <c:pt idx="59">
                  <c:v>0.67562</c:v>
                </c:pt>
                <c:pt idx="60">
                  <c:v>0.67554999999999998</c:v>
                </c:pt>
                <c:pt idx="61">
                  <c:v>0.67884999999999995</c:v>
                </c:pt>
                <c:pt idx="62">
                  <c:v>0.67820999999999998</c:v>
                </c:pt>
                <c:pt idx="63">
                  <c:v>0.67842999999999998</c:v>
                </c:pt>
                <c:pt idx="64">
                  <c:v>0.68161000000000005</c:v>
                </c:pt>
                <c:pt idx="65">
                  <c:v>0.68411999999999995</c:v>
                </c:pt>
                <c:pt idx="66">
                  <c:v>0.68272999999999995</c:v>
                </c:pt>
                <c:pt idx="67">
                  <c:v>0.68325000000000002</c:v>
                </c:pt>
                <c:pt idx="68">
                  <c:v>0.68676000000000004</c:v>
                </c:pt>
                <c:pt idx="69">
                  <c:v>0.68638999999999994</c:v>
                </c:pt>
                <c:pt idx="70">
                  <c:v>0.68745000000000001</c:v>
                </c:pt>
                <c:pt idx="71">
                  <c:v>0.68850999999999996</c:v>
                </c:pt>
                <c:pt idx="72">
                  <c:v>0.68957000000000002</c:v>
                </c:pt>
                <c:pt idx="73">
                  <c:v>0.69062999999999997</c:v>
                </c:pt>
                <c:pt idx="74">
                  <c:v>0.69169000000000003</c:v>
                </c:pt>
                <c:pt idx="75">
                  <c:v>0.69274999999999998</c:v>
                </c:pt>
                <c:pt idx="76">
                  <c:v>0.69379999999999997</c:v>
                </c:pt>
                <c:pt idx="77">
                  <c:v>0.69484999999999997</c:v>
                </c:pt>
                <c:pt idx="78">
                  <c:v>0.69589999999999996</c:v>
                </c:pt>
                <c:pt idx="79">
                  <c:v>0.69694999999999996</c:v>
                </c:pt>
                <c:pt idx="80">
                  <c:v>0.69799</c:v>
                </c:pt>
                <c:pt idx="81">
                  <c:v>0.69903000000000004</c:v>
                </c:pt>
                <c:pt idx="82">
                  <c:v>0.70006999999999997</c:v>
                </c:pt>
                <c:pt idx="83">
                  <c:v>0.70111000000000001</c:v>
                </c:pt>
                <c:pt idx="84">
                  <c:v>0.70215000000000005</c:v>
                </c:pt>
                <c:pt idx="85">
                  <c:v>0.70215000000000005</c:v>
                </c:pt>
                <c:pt idx="86">
                  <c:v>0.70215000000000005</c:v>
                </c:pt>
                <c:pt idx="87">
                  <c:v>0.70215000000000005</c:v>
                </c:pt>
                <c:pt idx="88">
                  <c:v>0.70215000000000005</c:v>
                </c:pt>
                <c:pt idx="89">
                  <c:v>0.70215000000000005</c:v>
                </c:pt>
                <c:pt idx="90">
                  <c:v>0.70215000000000005</c:v>
                </c:pt>
                <c:pt idx="91">
                  <c:v>0.70215000000000005</c:v>
                </c:pt>
                <c:pt idx="92">
                  <c:v>0.70215000000000005</c:v>
                </c:pt>
                <c:pt idx="93">
                  <c:v>0.70215000000000005</c:v>
                </c:pt>
                <c:pt idx="94">
                  <c:v>0.70215000000000005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3FE4-445B-8EEB-D88489EA6296}"/>
            </c:ext>
          </c:extLst>
        </c:ser>
        <c:ser>
          <c:idx val="13"/>
          <c:order val="1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'99set'!$O$10:$O$104</c:f>
              <c:numCache>
                <c:formatCode>0.00000</c:formatCode>
                <c:ptCount val="95"/>
                <c:pt idx="0">
                  <c:v>4.3369999999999999E-2</c:v>
                </c:pt>
                <c:pt idx="1">
                  <c:v>4.3369999999999999E-2</c:v>
                </c:pt>
                <c:pt idx="2">
                  <c:v>4.3369999999999999E-2</c:v>
                </c:pt>
                <c:pt idx="3">
                  <c:v>4.3369999999999999E-2</c:v>
                </c:pt>
                <c:pt idx="4">
                  <c:v>4.3369999999999999E-2</c:v>
                </c:pt>
                <c:pt idx="5">
                  <c:v>4.333E-2</c:v>
                </c:pt>
                <c:pt idx="6">
                  <c:v>4.3279999999999999E-2</c:v>
                </c:pt>
                <c:pt idx="7">
                  <c:v>4.3240000000000001E-2</c:v>
                </c:pt>
                <c:pt idx="8">
                  <c:v>4.3270000000000003E-2</c:v>
                </c:pt>
                <c:pt idx="9">
                  <c:v>4.3110000000000002E-2</c:v>
                </c:pt>
                <c:pt idx="10">
                  <c:v>4.3069999999999997E-2</c:v>
                </c:pt>
                <c:pt idx="11">
                  <c:v>4.3200000000000002E-2</c:v>
                </c:pt>
                <c:pt idx="12">
                  <c:v>4.3569999999999998E-2</c:v>
                </c:pt>
                <c:pt idx="13">
                  <c:v>4.419E-2</c:v>
                </c:pt>
                <c:pt idx="14">
                  <c:v>4.496E-2</c:v>
                </c:pt>
                <c:pt idx="15">
                  <c:v>4.5719999999999997E-2</c:v>
                </c:pt>
                <c:pt idx="16">
                  <c:v>4.6249999999999999E-2</c:v>
                </c:pt>
                <c:pt idx="17">
                  <c:v>4.641E-2</c:v>
                </c:pt>
                <c:pt idx="18">
                  <c:v>4.6440000000000002E-2</c:v>
                </c:pt>
                <c:pt idx="19">
                  <c:v>4.6550000000000001E-2</c:v>
                </c:pt>
                <c:pt idx="20">
                  <c:v>4.6350000000000002E-2</c:v>
                </c:pt>
                <c:pt idx="21">
                  <c:v>4.5569999999999999E-2</c:v>
                </c:pt>
                <c:pt idx="22">
                  <c:v>4.496E-2</c:v>
                </c:pt>
                <c:pt idx="23">
                  <c:v>4.5560000000000003E-2</c:v>
                </c:pt>
                <c:pt idx="24">
                  <c:v>4.863E-2</c:v>
                </c:pt>
                <c:pt idx="25">
                  <c:v>5.4969999999999998E-2</c:v>
                </c:pt>
                <c:pt idx="26">
                  <c:v>6.3320000000000001E-2</c:v>
                </c:pt>
                <c:pt idx="27">
                  <c:v>7.1910000000000002E-2</c:v>
                </c:pt>
                <c:pt idx="28">
                  <c:v>7.9089999999999994E-2</c:v>
                </c:pt>
                <c:pt idx="29">
                  <c:v>8.3729999999999999E-2</c:v>
                </c:pt>
                <c:pt idx="30">
                  <c:v>8.6540000000000006E-2</c:v>
                </c:pt>
                <c:pt idx="31">
                  <c:v>8.8410000000000002E-2</c:v>
                </c:pt>
                <c:pt idx="32">
                  <c:v>8.9120000000000005E-2</c:v>
                </c:pt>
                <c:pt idx="33">
                  <c:v>8.8359999999999994E-2</c:v>
                </c:pt>
                <c:pt idx="34">
                  <c:v>8.6540000000000006E-2</c:v>
                </c:pt>
                <c:pt idx="35">
                  <c:v>8.4140000000000006E-2</c:v>
                </c:pt>
                <c:pt idx="36">
                  <c:v>8.1180000000000002E-2</c:v>
                </c:pt>
                <c:pt idx="37">
                  <c:v>7.7670000000000003E-2</c:v>
                </c:pt>
                <c:pt idx="38">
                  <c:v>7.4230000000000004E-2</c:v>
                </c:pt>
                <c:pt idx="39">
                  <c:v>7.1489999999999998E-2</c:v>
                </c:pt>
                <c:pt idx="40">
                  <c:v>6.9470000000000004E-2</c:v>
                </c:pt>
                <c:pt idx="41">
                  <c:v>6.8190000000000001E-2</c:v>
                </c:pt>
                <c:pt idx="42">
                  <c:v>6.8180000000000004E-2</c:v>
                </c:pt>
                <c:pt idx="43">
                  <c:v>7.0690000000000003E-2</c:v>
                </c:pt>
                <c:pt idx="44">
                  <c:v>7.9490000000000005E-2</c:v>
                </c:pt>
                <c:pt idx="45">
                  <c:v>9.7540000000000002E-2</c:v>
                </c:pt>
                <c:pt idx="46">
                  <c:v>0.12216</c:v>
                </c:pt>
                <c:pt idx="47">
                  <c:v>0.14932999999999999</c:v>
                </c:pt>
                <c:pt idx="48">
                  <c:v>0.17516000000000001</c:v>
                </c:pt>
                <c:pt idx="49">
                  <c:v>0.19672000000000001</c:v>
                </c:pt>
                <c:pt idx="50">
                  <c:v>0.21476000000000001</c:v>
                </c:pt>
                <c:pt idx="51">
                  <c:v>0.23036999999999999</c:v>
                </c:pt>
                <c:pt idx="52">
                  <c:v>0.24254000000000001</c:v>
                </c:pt>
                <c:pt idx="53">
                  <c:v>0.25030000000000002</c:v>
                </c:pt>
                <c:pt idx="54">
                  <c:v>0.25485000000000002</c:v>
                </c:pt>
                <c:pt idx="55">
                  <c:v>0.25780999999999998</c:v>
                </c:pt>
                <c:pt idx="56">
                  <c:v>0.26021</c:v>
                </c:pt>
                <c:pt idx="57">
                  <c:v>0.26266</c:v>
                </c:pt>
                <c:pt idx="58">
                  <c:v>0.26486999999999999</c:v>
                </c:pt>
                <c:pt idx="59">
                  <c:v>0.26640999999999998</c:v>
                </c:pt>
                <c:pt idx="60">
                  <c:v>0.26734999999999998</c:v>
                </c:pt>
                <c:pt idx="61">
                  <c:v>0.26784999999999998</c:v>
                </c:pt>
                <c:pt idx="62">
                  <c:v>0.26795000000000002</c:v>
                </c:pt>
                <c:pt idx="63">
                  <c:v>0.26769999999999999</c:v>
                </c:pt>
                <c:pt idx="64">
                  <c:v>0.26734999999999998</c:v>
                </c:pt>
                <c:pt idx="65">
                  <c:v>0.26712999999999998</c:v>
                </c:pt>
                <c:pt idx="66">
                  <c:v>0.26695999999999998</c:v>
                </c:pt>
                <c:pt idx="67">
                  <c:v>0.26667999999999997</c:v>
                </c:pt>
                <c:pt idx="68">
                  <c:v>0.26616000000000001</c:v>
                </c:pt>
                <c:pt idx="69">
                  <c:v>0.26597999999999999</c:v>
                </c:pt>
                <c:pt idx="70">
                  <c:v>0.26566000000000001</c:v>
                </c:pt>
                <c:pt idx="71">
                  <c:v>0.26534999999999997</c:v>
                </c:pt>
                <c:pt idx="72">
                  <c:v>0.26502999999999999</c:v>
                </c:pt>
                <c:pt idx="73">
                  <c:v>0.26471</c:v>
                </c:pt>
                <c:pt idx="74">
                  <c:v>0.26440000000000002</c:v>
                </c:pt>
                <c:pt idx="75">
                  <c:v>0.26407999999999998</c:v>
                </c:pt>
                <c:pt idx="76">
                  <c:v>0.26375999999999999</c:v>
                </c:pt>
                <c:pt idx="77">
                  <c:v>0.26345000000000002</c:v>
                </c:pt>
                <c:pt idx="78">
                  <c:v>0.26312999999999998</c:v>
                </c:pt>
                <c:pt idx="79">
                  <c:v>0.26282</c:v>
                </c:pt>
                <c:pt idx="80">
                  <c:v>0.26250000000000001</c:v>
                </c:pt>
                <c:pt idx="81">
                  <c:v>0.26218999999999998</c:v>
                </c:pt>
                <c:pt idx="82">
                  <c:v>0.26186999999999999</c:v>
                </c:pt>
                <c:pt idx="83">
                  <c:v>0.26156000000000001</c:v>
                </c:pt>
                <c:pt idx="84">
                  <c:v>0.26124000000000003</c:v>
                </c:pt>
                <c:pt idx="85">
                  <c:v>0.26124000000000003</c:v>
                </c:pt>
                <c:pt idx="86">
                  <c:v>0.26124000000000003</c:v>
                </c:pt>
                <c:pt idx="87">
                  <c:v>0.26124000000000003</c:v>
                </c:pt>
                <c:pt idx="88">
                  <c:v>0.26124000000000003</c:v>
                </c:pt>
                <c:pt idx="89">
                  <c:v>0.26124000000000003</c:v>
                </c:pt>
                <c:pt idx="90">
                  <c:v>0.26124000000000003</c:v>
                </c:pt>
                <c:pt idx="91">
                  <c:v>0.26124000000000003</c:v>
                </c:pt>
                <c:pt idx="92">
                  <c:v>0.26124000000000003</c:v>
                </c:pt>
                <c:pt idx="93">
                  <c:v>0.26124000000000003</c:v>
                </c:pt>
                <c:pt idx="94">
                  <c:v>0.26124000000000003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3FE4-445B-8EEB-D88489EA6296}"/>
            </c:ext>
          </c:extLst>
        </c:ser>
        <c:ser>
          <c:idx val="14"/>
          <c:order val="1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'99set'!$P$10:$P$104</c:f>
              <c:numCache>
                <c:formatCode>0.00000</c:formatCode>
                <c:ptCount val="95"/>
                <c:pt idx="0">
                  <c:v>0.34139999999999998</c:v>
                </c:pt>
                <c:pt idx="1">
                  <c:v>0.34139999999999998</c:v>
                </c:pt>
                <c:pt idx="2">
                  <c:v>0.34139999999999998</c:v>
                </c:pt>
                <c:pt idx="3">
                  <c:v>0.34139999999999998</c:v>
                </c:pt>
                <c:pt idx="4">
                  <c:v>0.34139999999999998</c:v>
                </c:pt>
                <c:pt idx="5">
                  <c:v>0.34139999999999998</c:v>
                </c:pt>
                <c:pt idx="6">
                  <c:v>0.34139999999999998</c:v>
                </c:pt>
                <c:pt idx="7">
                  <c:v>0.34139999999999998</c:v>
                </c:pt>
                <c:pt idx="8">
                  <c:v>0.34139999999999998</c:v>
                </c:pt>
                <c:pt idx="9">
                  <c:v>0.34300999999999998</c:v>
                </c:pt>
                <c:pt idx="10">
                  <c:v>0.34510000000000002</c:v>
                </c:pt>
                <c:pt idx="11">
                  <c:v>0.34676000000000001</c:v>
                </c:pt>
                <c:pt idx="12">
                  <c:v>0.34820000000000001</c:v>
                </c:pt>
                <c:pt idx="13">
                  <c:v>0.34976000000000002</c:v>
                </c:pt>
                <c:pt idx="14">
                  <c:v>0.3513</c:v>
                </c:pt>
                <c:pt idx="15">
                  <c:v>0.35260999999999998</c:v>
                </c:pt>
                <c:pt idx="16">
                  <c:v>0.3538</c:v>
                </c:pt>
                <c:pt idx="17">
                  <c:v>0.35499000000000003</c:v>
                </c:pt>
                <c:pt idx="18">
                  <c:v>0.35620000000000002</c:v>
                </c:pt>
                <c:pt idx="19">
                  <c:v>0.35737999999999998</c:v>
                </c:pt>
                <c:pt idx="20">
                  <c:v>0.35849999999999999</c:v>
                </c:pt>
                <c:pt idx="21">
                  <c:v>0.35954999999999998</c:v>
                </c:pt>
                <c:pt idx="22">
                  <c:v>0.36070000000000002</c:v>
                </c:pt>
                <c:pt idx="23">
                  <c:v>0.36204999999999998</c:v>
                </c:pt>
                <c:pt idx="24">
                  <c:v>0.3634</c:v>
                </c:pt>
                <c:pt idx="25">
                  <c:v>0.36453999999999998</c:v>
                </c:pt>
                <c:pt idx="26">
                  <c:v>0.36559999999999998</c:v>
                </c:pt>
                <c:pt idx="27">
                  <c:v>0.36675999999999997</c:v>
                </c:pt>
                <c:pt idx="28">
                  <c:v>0.36820000000000003</c:v>
                </c:pt>
                <c:pt idx="29">
                  <c:v>0.37008999999999997</c:v>
                </c:pt>
                <c:pt idx="30">
                  <c:v>0.37269999999999998</c:v>
                </c:pt>
                <c:pt idx="31">
                  <c:v>0.37624999999999997</c:v>
                </c:pt>
                <c:pt idx="32">
                  <c:v>0.38080000000000003</c:v>
                </c:pt>
                <c:pt idx="33">
                  <c:v>0.38613999999999998</c:v>
                </c:pt>
                <c:pt idx="34">
                  <c:v>0.3911</c:v>
                </c:pt>
                <c:pt idx="35">
                  <c:v>0.39456999999999998</c:v>
                </c:pt>
                <c:pt idx="36">
                  <c:v>0.39660000000000001</c:v>
                </c:pt>
                <c:pt idx="37">
                  <c:v>0.39752999999999999</c:v>
                </c:pt>
                <c:pt idx="38">
                  <c:v>0.39760000000000001</c:v>
                </c:pt>
                <c:pt idx="39">
                  <c:v>0.39728000000000002</c:v>
                </c:pt>
                <c:pt idx="40">
                  <c:v>0.39789999999999998</c:v>
                </c:pt>
                <c:pt idx="41">
                  <c:v>0.40103</c:v>
                </c:pt>
                <c:pt idx="42">
                  <c:v>0.4083</c:v>
                </c:pt>
                <c:pt idx="43">
                  <c:v>0.42058000000000001</c:v>
                </c:pt>
                <c:pt idx="44">
                  <c:v>0.4355</c:v>
                </c:pt>
                <c:pt idx="45">
                  <c:v>0.45008999999999999</c:v>
                </c:pt>
                <c:pt idx="46">
                  <c:v>0.4622</c:v>
                </c:pt>
                <c:pt idx="47">
                  <c:v>0.47043000000000001</c:v>
                </c:pt>
                <c:pt idx="48">
                  <c:v>0.47560000000000002</c:v>
                </c:pt>
                <c:pt idx="49">
                  <c:v>0.47894999999999999</c:v>
                </c:pt>
                <c:pt idx="50">
                  <c:v>0.48120000000000002</c:v>
                </c:pt>
                <c:pt idx="51">
                  <c:v>0.48286000000000001</c:v>
                </c:pt>
                <c:pt idx="52">
                  <c:v>0.48409999999999997</c:v>
                </c:pt>
                <c:pt idx="53">
                  <c:v>0.48498000000000002</c:v>
                </c:pt>
                <c:pt idx="54">
                  <c:v>0.48559999999999998</c:v>
                </c:pt>
                <c:pt idx="55">
                  <c:v>0.48607</c:v>
                </c:pt>
                <c:pt idx="56">
                  <c:v>0.48670000000000002</c:v>
                </c:pt>
                <c:pt idx="57">
                  <c:v>0.48768</c:v>
                </c:pt>
                <c:pt idx="58">
                  <c:v>0.48870000000000002</c:v>
                </c:pt>
                <c:pt idx="59">
                  <c:v>0.48941000000000001</c:v>
                </c:pt>
                <c:pt idx="60">
                  <c:v>0.48980000000000001</c:v>
                </c:pt>
                <c:pt idx="61">
                  <c:v>0.48998999999999998</c:v>
                </c:pt>
                <c:pt idx="62">
                  <c:v>0.49030000000000001</c:v>
                </c:pt>
                <c:pt idx="63">
                  <c:v>0.49098000000000003</c:v>
                </c:pt>
                <c:pt idx="64">
                  <c:v>0.4919</c:v>
                </c:pt>
                <c:pt idx="65">
                  <c:v>0.49282999999999999</c:v>
                </c:pt>
                <c:pt idx="66">
                  <c:v>0.49370000000000003</c:v>
                </c:pt>
                <c:pt idx="67">
                  <c:v>0.49443999999999999</c:v>
                </c:pt>
                <c:pt idx="68">
                  <c:v>0.49490000000000001</c:v>
                </c:pt>
                <c:pt idx="69">
                  <c:v>0.49490000000000001</c:v>
                </c:pt>
                <c:pt idx="70">
                  <c:v>0.49490000000000001</c:v>
                </c:pt>
                <c:pt idx="71">
                  <c:v>0.49490000000000001</c:v>
                </c:pt>
                <c:pt idx="72">
                  <c:v>0.49490000000000001</c:v>
                </c:pt>
                <c:pt idx="73">
                  <c:v>0.49490000000000001</c:v>
                </c:pt>
                <c:pt idx="74">
                  <c:v>0.49490000000000001</c:v>
                </c:pt>
                <c:pt idx="75">
                  <c:v>0.49490000000000001</c:v>
                </c:pt>
                <c:pt idx="76">
                  <c:v>0.49490000000000001</c:v>
                </c:pt>
                <c:pt idx="77">
                  <c:v>0.49490000000000001</c:v>
                </c:pt>
                <c:pt idx="78">
                  <c:v>0.49490000000000001</c:v>
                </c:pt>
                <c:pt idx="79">
                  <c:v>0.49490000000000001</c:v>
                </c:pt>
                <c:pt idx="80">
                  <c:v>0.49490000000000001</c:v>
                </c:pt>
                <c:pt idx="81">
                  <c:v>0.49490000000000001</c:v>
                </c:pt>
                <c:pt idx="82">
                  <c:v>0.49490000000000001</c:v>
                </c:pt>
                <c:pt idx="83">
                  <c:v>0.49490000000000001</c:v>
                </c:pt>
                <c:pt idx="84">
                  <c:v>0.49490000000000001</c:v>
                </c:pt>
                <c:pt idx="85">
                  <c:v>0.49490000000000001</c:v>
                </c:pt>
                <c:pt idx="86">
                  <c:v>0.49490000000000001</c:v>
                </c:pt>
                <c:pt idx="87">
                  <c:v>0.49490000000000001</c:v>
                </c:pt>
                <c:pt idx="88">
                  <c:v>0.49490000000000001</c:v>
                </c:pt>
                <c:pt idx="89">
                  <c:v>0.49490000000000001</c:v>
                </c:pt>
                <c:pt idx="90">
                  <c:v>0.49490000000000001</c:v>
                </c:pt>
                <c:pt idx="91">
                  <c:v>0.49490000000000001</c:v>
                </c:pt>
                <c:pt idx="92">
                  <c:v>0.49490000000000001</c:v>
                </c:pt>
                <c:pt idx="93">
                  <c:v>0.49490000000000001</c:v>
                </c:pt>
                <c:pt idx="94">
                  <c:v>0.49490000000000001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3FE4-445B-8EEB-D88489EA6296}"/>
            </c:ext>
          </c:extLst>
        </c:ser>
        <c:ser>
          <c:idx val="15"/>
          <c:order val="1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'99set'!$Q$10:$Q$104</c:f>
              <c:numCache>
                <c:formatCode>0.00000</c:formatCode>
                <c:ptCount val="95"/>
                <c:pt idx="0">
                  <c:v>0.16991999999999999</c:v>
                </c:pt>
                <c:pt idx="1">
                  <c:v>0.16991999999999999</c:v>
                </c:pt>
                <c:pt idx="2">
                  <c:v>0.16991999999999999</c:v>
                </c:pt>
                <c:pt idx="3">
                  <c:v>0.16991999999999999</c:v>
                </c:pt>
                <c:pt idx="4">
                  <c:v>0.16991999999999999</c:v>
                </c:pt>
                <c:pt idx="5">
                  <c:v>0.17294999999999999</c:v>
                </c:pt>
                <c:pt idx="6">
                  <c:v>0.17602000000000001</c:v>
                </c:pt>
                <c:pt idx="7">
                  <c:v>0.17913000000000001</c:v>
                </c:pt>
                <c:pt idx="8">
                  <c:v>0.18140999999999999</c:v>
                </c:pt>
                <c:pt idx="9">
                  <c:v>0.18593000000000001</c:v>
                </c:pt>
                <c:pt idx="10">
                  <c:v>0.18883</c:v>
                </c:pt>
                <c:pt idx="11">
                  <c:v>0.19137000000000001</c:v>
                </c:pt>
                <c:pt idx="12">
                  <c:v>0.19478999999999999</c:v>
                </c:pt>
                <c:pt idx="13">
                  <c:v>0.20029</c:v>
                </c:pt>
                <c:pt idx="14">
                  <c:v>0.2089</c:v>
                </c:pt>
                <c:pt idx="15">
                  <c:v>0.22103</c:v>
                </c:pt>
                <c:pt idx="16">
                  <c:v>0.23491999999999999</c:v>
                </c:pt>
                <c:pt idx="17">
                  <c:v>0.24851000000000001</c:v>
                </c:pt>
                <c:pt idx="18">
                  <c:v>0.26083000000000001</c:v>
                </c:pt>
                <c:pt idx="19">
                  <c:v>0.27134999999999998</c:v>
                </c:pt>
                <c:pt idx="20">
                  <c:v>0.28027000000000002</c:v>
                </c:pt>
                <c:pt idx="21">
                  <c:v>0.28799000000000002</c:v>
                </c:pt>
                <c:pt idx="22">
                  <c:v>0.29480000000000001</c:v>
                </c:pt>
                <c:pt idx="23">
                  <c:v>0.30092999999999998</c:v>
                </c:pt>
                <c:pt idx="24">
                  <c:v>0.30659999999999998</c:v>
                </c:pt>
                <c:pt idx="25">
                  <c:v>0.31208000000000002</c:v>
                </c:pt>
                <c:pt idx="26">
                  <c:v>0.318</c:v>
                </c:pt>
                <c:pt idx="27">
                  <c:v>0.32475999999999999</c:v>
                </c:pt>
                <c:pt idx="28">
                  <c:v>0.33167999999999997</c:v>
                </c:pt>
                <c:pt idx="29">
                  <c:v>0.33767000000000003</c:v>
                </c:pt>
                <c:pt idx="30">
                  <c:v>0.34118999999999999</c:v>
                </c:pt>
                <c:pt idx="31">
                  <c:v>0.34098000000000001</c:v>
                </c:pt>
                <c:pt idx="32">
                  <c:v>0.33711999999999998</c:v>
                </c:pt>
                <c:pt idx="33">
                  <c:v>0.33040999999999998</c:v>
                </c:pt>
                <c:pt idx="34">
                  <c:v>0.32312000000000002</c:v>
                </c:pt>
                <c:pt idx="35">
                  <c:v>0.31756000000000001</c:v>
                </c:pt>
                <c:pt idx="36">
                  <c:v>0.31475999999999998</c:v>
                </c:pt>
                <c:pt idx="37">
                  <c:v>0.31513000000000002</c:v>
                </c:pt>
                <c:pt idx="38">
                  <c:v>0.31809999999999999</c:v>
                </c:pt>
                <c:pt idx="39">
                  <c:v>0.32240999999999997</c:v>
                </c:pt>
                <c:pt idx="40">
                  <c:v>0.3251</c:v>
                </c:pt>
                <c:pt idx="41">
                  <c:v>0.32407000000000002</c:v>
                </c:pt>
                <c:pt idx="42">
                  <c:v>0.32228000000000001</c:v>
                </c:pt>
                <c:pt idx="43">
                  <c:v>0.32449</c:v>
                </c:pt>
                <c:pt idx="44">
                  <c:v>0.33774999999999999</c:v>
                </c:pt>
                <c:pt idx="45">
                  <c:v>0.36681999999999998</c:v>
                </c:pt>
                <c:pt idx="46">
                  <c:v>0.40525</c:v>
                </c:pt>
                <c:pt idx="47">
                  <c:v>0.44457000000000002</c:v>
                </c:pt>
                <c:pt idx="48">
                  <c:v>0.47933999999999999</c:v>
                </c:pt>
                <c:pt idx="49">
                  <c:v>0.50614000000000003</c:v>
                </c:pt>
                <c:pt idx="50">
                  <c:v>0.52637</c:v>
                </c:pt>
                <c:pt idx="51">
                  <c:v>0.54227000000000003</c:v>
                </c:pt>
                <c:pt idx="52">
                  <c:v>0.55469000000000002</c:v>
                </c:pt>
                <c:pt idx="53">
                  <c:v>0.56418999999999997</c:v>
                </c:pt>
                <c:pt idx="54">
                  <c:v>0.57172000000000001</c:v>
                </c:pt>
                <c:pt idx="55">
                  <c:v>0.57820000000000005</c:v>
                </c:pt>
                <c:pt idx="56">
                  <c:v>0.58394999999999997</c:v>
                </c:pt>
                <c:pt idx="57">
                  <c:v>0.58911000000000002</c:v>
                </c:pt>
                <c:pt idx="58">
                  <c:v>0.59367000000000003</c:v>
                </c:pt>
                <c:pt idx="59">
                  <c:v>0.59765000000000001</c:v>
                </c:pt>
                <c:pt idx="60">
                  <c:v>0.60150000000000003</c:v>
                </c:pt>
                <c:pt idx="61">
                  <c:v>0.60563</c:v>
                </c:pt>
                <c:pt idx="62">
                  <c:v>0.60997000000000001</c:v>
                </c:pt>
                <c:pt idx="63">
                  <c:v>0.61431000000000002</c:v>
                </c:pt>
                <c:pt idx="64">
                  <c:v>0.61843000000000004</c:v>
                </c:pt>
                <c:pt idx="65">
                  <c:v>0.62214000000000003</c:v>
                </c:pt>
                <c:pt idx="66">
                  <c:v>0.62533000000000005</c:v>
                </c:pt>
                <c:pt idx="67">
                  <c:v>0.62795000000000001</c:v>
                </c:pt>
                <c:pt idx="68">
                  <c:v>0.62992999999999999</c:v>
                </c:pt>
                <c:pt idx="69">
                  <c:v>0.63283999999999996</c:v>
                </c:pt>
                <c:pt idx="70">
                  <c:v>0.63536000000000004</c:v>
                </c:pt>
                <c:pt idx="71">
                  <c:v>0.63788</c:v>
                </c:pt>
                <c:pt idx="72">
                  <c:v>0.64039000000000001</c:v>
                </c:pt>
                <c:pt idx="73">
                  <c:v>0.64288999999999996</c:v>
                </c:pt>
                <c:pt idx="74">
                  <c:v>0.64537999999999995</c:v>
                </c:pt>
                <c:pt idx="75">
                  <c:v>0.64786999999999995</c:v>
                </c:pt>
                <c:pt idx="76">
                  <c:v>0.65034999999999998</c:v>
                </c:pt>
                <c:pt idx="77">
                  <c:v>0.65281999999999996</c:v>
                </c:pt>
                <c:pt idx="78">
                  <c:v>0.65527999999999997</c:v>
                </c:pt>
                <c:pt idx="79">
                  <c:v>0.65773000000000004</c:v>
                </c:pt>
                <c:pt idx="80">
                  <c:v>0.66017999999999999</c:v>
                </c:pt>
                <c:pt idx="81">
                  <c:v>0.66261999999999999</c:v>
                </c:pt>
                <c:pt idx="82">
                  <c:v>0.66503999999999996</c:v>
                </c:pt>
                <c:pt idx="83">
                  <c:v>0.66746000000000005</c:v>
                </c:pt>
                <c:pt idx="84">
                  <c:v>0.66986999999999997</c:v>
                </c:pt>
                <c:pt idx="85">
                  <c:v>0.66986999999999997</c:v>
                </c:pt>
                <c:pt idx="86">
                  <c:v>0.66986999999999997</c:v>
                </c:pt>
                <c:pt idx="87">
                  <c:v>0.66986999999999997</c:v>
                </c:pt>
                <c:pt idx="88">
                  <c:v>0.66986999999999997</c:v>
                </c:pt>
                <c:pt idx="89">
                  <c:v>0.66986999999999997</c:v>
                </c:pt>
                <c:pt idx="90">
                  <c:v>0.66986999999999997</c:v>
                </c:pt>
                <c:pt idx="91">
                  <c:v>0.66986999999999997</c:v>
                </c:pt>
                <c:pt idx="92">
                  <c:v>0.66986999999999997</c:v>
                </c:pt>
                <c:pt idx="93">
                  <c:v>0.66986999999999997</c:v>
                </c:pt>
                <c:pt idx="94">
                  <c:v>0.66986999999999997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3FE4-445B-8EEB-D88489EA6296}"/>
            </c:ext>
          </c:extLst>
        </c:ser>
        <c:ser>
          <c:idx val="16"/>
          <c:order val="1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'99set'!$R$10:$R$104</c:f>
              <c:numCache>
                <c:formatCode>0.00000</c:formatCode>
                <c:ptCount val="95"/>
                <c:pt idx="0">
                  <c:v>3.4660000000000003E-2</c:v>
                </c:pt>
                <c:pt idx="1">
                  <c:v>3.4660000000000003E-2</c:v>
                </c:pt>
                <c:pt idx="2">
                  <c:v>3.4660000000000003E-2</c:v>
                </c:pt>
                <c:pt idx="3">
                  <c:v>3.4660000000000003E-2</c:v>
                </c:pt>
                <c:pt idx="4">
                  <c:v>3.4660000000000003E-2</c:v>
                </c:pt>
                <c:pt idx="5">
                  <c:v>3.5369999999999999E-2</c:v>
                </c:pt>
                <c:pt idx="6">
                  <c:v>3.6089999999999997E-2</c:v>
                </c:pt>
                <c:pt idx="7">
                  <c:v>3.6819999999999999E-2</c:v>
                </c:pt>
                <c:pt idx="8">
                  <c:v>3.7670000000000002E-2</c:v>
                </c:pt>
                <c:pt idx="9">
                  <c:v>3.8289999999999998E-2</c:v>
                </c:pt>
                <c:pt idx="10">
                  <c:v>3.9100000000000003E-2</c:v>
                </c:pt>
                <c:pt idx="11">
                  <c:v>4.0030000000000003E-2</c:v>
                </c:pt>
                <c:pt idx="12">
                  <c:v>4.104E-2</c:v>
                </c:pt>
                <c:pt idx="13">
                  <c:v>4.2119999999999998E-2</c:v>
                </c:pt>
                <c:pt idx="14">
                  <c:v>4.3490000000000001E-2</c:v>
                </c:pt>
                <c:pt idx="15">
                  <c:v>4.5310000000000003E-2</c:v>
                </c:pt>
                <c:pt idx="16">
                  <c:v>4.7370000000000002E-2</c:v>
                </c:pt>
                <c:pt idx="17">
                  <c:v>4.9439999999999998E-2</c:v>
                </c:pt>
                <c:pt idx="18">
                  <c:v>5.1659999999999998E-2</c:v>
                </c:pt>
                <c:pt idx="19">
                  <c:v>5.4190000000000002E-2</c:v>
                </c:pt>
                <c:pt idx="20">
                  <c:v>5.6959999999999997E-2</c:v>
                </c:pt>
                <c:pt idx="21">
                  <c:v>5.9889999999999999E-2</c:v>
                </c:pt>
                <c:pt idx="22">
                  <c:v>6.2990000000000004E-2</c:v>
                </c:pt>
                <c:pt idx="23">
                  <c:v>6.6280000000000006E-2</c:v>
                </c:pt>
                <c:pt idx="24">
                  <c:v>6.9720000000000004E-2</c:v>
                </c:pt>
                <c:pt idx="25">
                  <c:v>7.3230000000000003E-2</c:v>
                </c:pt>
                <c:pt idx="26">
                  <c:v>7.6670000000000002E-2</c:v>
                </c:pt>
                <c:pt idx="27">
                  <c:v>7.9960000000000003E-2</c:v>
                </c:pt>
                <c:pt idx="28">
                  <c:v>8.3199999999999996E-2</c:v>
                </c:pt>
                <c:pt idx="29">
                  <c:v>8.6470000000000005E-2</c:v>
                </c:pt>
                <c:pt idx="30">
                  <c:v>8.9730000000000004E-2</c:v>
                </c:pt>
                <c:pt idx="31">
                  <c:v>9.289E-2</c:v>
                </c:pt>
                <c:pt idx="32">
                  <c:v>9.5759999999999998E-2</c:v>
                </c:pt>
                <c:pt idx="33">
                  <c:v>9.8239999999999994E-2</c:v>
                </c:pt>
                <c:pt idx="34">
                  <c:v>0.10056</c:v>
                </c:pt>
                <c:pt idx="35">
                  <c:v>0.10292999999999999</c:v>
                </c:pt>
                <c:pt idx="36">
                  <c:v>0.10535</c:v>
                </c:pt>
                <c:pt idx="37">
                  <c:v>0.10777</c:v>
                </c:pt>
                <c:pt idx="38">
                  <c:v>0.11015</c:v>
                </c:pt>
                <c:pt idx="39">
                  <c:v>0.1125</c:v>
                </c:pt>
                <c:pt idx="40">
                  <c:v>0.11484999999999999</c:v>
                </c:pt>
                <c:pt idx="41">
                  <c:v>0.1173</c:v>
                </c:pt>
                <c:pt idx="42">
                  <c:v>0.12026000000000001</c:v>
                </c:pt>
                <c:pt idx="43">
                  <c:v>0.12415</c:v>
                </c:pt>
                <c:pt idx="44">
                  <c:v>0.12934000000000001</c:v>
                </c:pt>
                <c:pt idx="45">
                  <c:v>0.13622000000000001</c:v>
                </c:pt>
                <c:pt idx="46">
                  <c:v>0.14527000000000001</c:v>
                </c:pt>
                <c:pt idx="47">
                  <c:v>0.15695999999999999</c:v>
                </c:pt>
                <c:pt idx="48">
                  <c:v>0.1714</c:v>
                </c:pt>
                <c:pt idx="49">
                  <c:v>0.18851999999999999</c:v>
                </c:pt>
                <c:pt idx="50">
                  <c:v>0.20763999999999999</c:v>
                </c:pt>
                <c:pt idx="51">
                  <c:v>0.2281</c:v>
                </c:pt>
                <c:pt idx="52">
                  <c:v>0.24970000000000001</c:v>
                </c:pt>
                <c:pt idx="53">
                  <c:v>0.27223000000000003</c:v>
                </c:pt>
                <c:pt idx="54">
                  <c:v>0.29482999999999998</c:v>
                </c:pt>
                <c:pt idx="55">
                  <c:v>0.31669000000000003</c:v>
                </c:pt>
                <c:pt idx="56">
                  <c:v>0.33779999999999999</c:v>
                </c:pt>
                <c:pt idx="57">
                  <c:v>0.35841000000000001</c:v>
                </c:pt>
                <c:pt idx="58">
                  <c:v>0.37905</c:v>
                </c:pt>
                <c:pt idx="59">
                  <c:v>0.40003</c:v>
                </c:pt>
                <c:pt idx="60">
                  <c:v>0.42038999999999999</c:v>
                </c:pt>
                <c:pt idx="61">
                  <c:v>0.43917</c:v>
                </c:pt>
                <c:pt idx="62">
                  <c:v>0.45673000000000002</c:v>
                </c:pt>
                <c:pt idx="63">
                  <c:v>0.47371000000000002</c:v>
                </c:pt>
                <c:pt idx="64">
                  <c:v>0.49042000000000002</c:v>
                </c:pt>
                <c:pt idx="65">
                  <c:v>0.50702999999999998</c:v>
                </c:pt>
                <c:pt idx="66">
                  <c:v>0.52319000000000004</c:v>
                </c:pt>
                <c:pt idx="67">
                  <c:v>0.53846000000000005</c:v>
                </c:pt>
                <c:pt idx="68">
                  <c:v>0.55239000000000005</c:v>
                </c:pt>
                <c:pt idx="69">
                  <c:v>0.56803999999999999</c:v>
                </c:pt>
                <c:pt idx="70">
                  <c:v>0.58282999999999996</c:v>
                </c:pt>
                <c:pt idx="71">
                  <c:v>0.59748000000000001</c:v>
                </c:pt>
                <c:pt idx="72">
                  <c:v>0.61195999999999995</c:v>
                </c:pt>
                <c:pt idx="73">
                  <c:v>0.62624000000000002</c:v>
                </c:pt>
                <c:pt idx="74">
                  <c:v>0.64029999999999998</c:v>
                </c:pt>
                <c:pt idx="75">
                  <c:v>0.65412999999999999</c:v>
                </c:pt>
                <c:pt idx="76">
                  <c:v>0.66769999999999996</c:v>
                </c:pt>
                <c:pt idx="77">
                  <c:v>0.68100000000000005</c:v>
                </c:pt>
                <c:pt idx="78">
                  <c:v>0.69401000000000002</c:v>
                </c:pt>
                <c:pt idx="79">
                  <c:v>0.70672000000000001</c:v>
                </c:pt>
                <c:pt idx="80">
                  <c:v>0.71911999999999998</c:v>
                </c:pt>
                <c:pt idx="81">
                  <c:v>0.73119000000000001</c:v>
                </c:pt>
                <c:pt idx="82">
                  <c:v>0.74292000000000002</c:v>
                </c:pt>
                <c:pt idx="83">
                  <c:v>0.75431999999999999</c:v>
                </c:pt>
                <c:pt idx="84">
                  <c:v>0.76536999999999999</c:v>
                </c:pt>
                <c:pt idx="85">
                  <c:v>0.76536999999999999</c:v>
                </c:pt>
                <c:pt idx="86">
                  <c:v>0.76536999999999999</c:v>
                </c:pt>
                <c:pt idx="87">
                  <c:v>0.76536999999999999</c:v>
                </c:pt>
                <c:pt idx="88">
                  <c:v>0.76536999999999999</c:v>
                </c:pt>
                <c:pt idx="89">
                  <c:v>0.76536999999999999</c:v>
                </c:pt>
                <c:pt idx="90">
                  <c:v>0.76536999999999999</c:v>
                </c:pt>
                <c:pt idx="91">
                  <c:v>0.76536999999999999</c:v>
                </c:pt>
                <c:pt idx="92">
                  <c:v>0.76536999999999999</c:v>
                </c:pt>
                <c:pt idx="93">
                  <c:v>0.76536999999999999</c:v>
                </c:pt>
                <c:pt idx="94">
                  <c:v>0.76536999999999999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3FE4-445B-8EEB-D88489EA6296}"/>
            </c:ext>
          </c:extLst>
        </c:ser>
        <c:ser>
          <c:idx val="17"/>
          <c:order val="1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'99set'!$S$10:$S$104</c:f>
              <c:numCache>
                <c:formatCode>0.00000</c:formatCode>
                <c:ptCount val="95"/>
                <c:pt idx="0">
                  <c:v>3.0800000000000001E-2</c:v>
                </c:pt>
                <c:pt idx="1">
                  <c:v>3.0800000000000001E-2</c:v>
                </c:pt>
                <c:pt idx="2">
                  <c:v>3.0800000000000001E-2</c:v>
                </c:pt>
                <c:pt idx="3">
                  <c:v>3.0800000000000001E-2</c:v>
                </c:pt>
                <c:pt idx="4">
                  <c:v>3.0800000000000001E-2</c:v>
                </c:pt>
                <c:pt idx="5">
                  <c:v>3.3099999999999997E-2</c:v>
                </c:pt>
                <c:pt idx="6">
                  <c:v>3.5560000000000001E-2</c:v>
                </c:pt>
                <c:pt idx="7">
                  <c:v>3.8199999999999998E-2</c:v>
                </c:pt>
                <c:pt idx="8">
                  <c:v>4.0309999999999999E-2</c:v>
                </c:pt>
                <c:pt idx="9">
                  <c:v>4.4429999999999997E-2</c:v>
                </c:pt>
                <c:pt idx="10">
                  <c:v>4.7509999999999997E-2</c:v>
                </c:pt>
                <c:pt idx="11">
                  <c:v>4.9669999999999999E-2</c:v>
                </c:pt>
                <c:pt idx="12">
                  <c:v>5.1049999999999998E-2</c:v>
                </c:pt>
                <c:pt idx="13">
                  <c:v>5.1860000000000003E-2</c:v>
                </c:pt>
                <c:pt idx="14">
                  <c:v>5.253E-2</c:v>
                </c:pt>
                <c:pt idx="15">
                  <c:v>5.3460000000000001E-2</c:v>
                </c:pt>
                <c:pt idx="16">
                  <c:v>5.4699999999999999E-2</c:v>
                </c:pt>
                <c:pt idx="17">
                  <c:v>5.6230000000000002E-2</c:v>
                </c:pt>
                <c:pt idx="18">
                  <c:v>5.8049999999999997E-2</c:v>
                </c:pt>
                <c:pt idx="19">
                  <c:v>6.0159999999999998E-2</c:v>
                </c:pt>
                <c:pt idx="20">
                  <c:v>6.2489999999999997E-2</c:v>
                </c:pt>
                <c:pt idx="21">
                  <c:v>6.4920000000000005E-2</c:v>
                </c:pt>
                <c:pt idx="22">
                  <c:v>6.7320000000000005E-2</c:v>
                </c:pt>
                <c:pt idx="23">
                  <c:v>6.9519999999999998E-2</c:v>
                </c:pt>
                <c:pt idx="24">
                  <c:v>7.145E-2</c:v>
                </c:pt>
                <c:pt idx="25">
                  <c:v>7.3050000000000004E-2</c:v>
                </c:pt>
                <c:pt idx="26">
                  <c:v>7.4410000000000004E-2</c:v>
                </c:pt>
                <c:pt idx="27">
                  <c:v>7.5590000000000004E-2</c:v>
                </c:pt>
                <c:pt idx="28">
                  <c:v>7.6480000000000006E-2</c:v>
                </c:pt>
                <c:pt idx="29">
                  <c:v>7.7009999999999995E-2</c:v>
                </c:pt>
                <c:pt idx="30">
                  <c:v>7.7469999999999997E-2</c:v>
                </c:pt>
                <c:pt idx="31">
                  <c:v>7.8170000000000003E-2</c:v>
                </c:pt>
                <c:pt idx="32">
                  <c:v>7.9240000000000005E-2</c:v>
                </c:pt>
                <c:pt idx="33">
                  <c:v>8.0860000000000001E-2</c:v>
                </c:pt>
                <c:pt idx="34">
                  <c:v>8.3580000000000002E-2</c:v>
                </c:pt>
                <c:pt idx="35">
                  <c:v>8.8109999999999994E-2</c:v>
                </c:pt>
                <c:pt idx="36">
                  <c:v>9.5310000000000006E-2</c:v>
                </c:pt>
                <c:pt idx="37">
                  <c:v>0.10580000000000001</c:v>
                </c:pt>
                <c:pt idx="38">
                  <c:v>0.11916</c:v>
                </c:pt>
                <c:pt idx="39">
                  <c:v>0.13450000000000001</c:v>
                </c:pt>
                <c:pt idx="40">
                  <c:v>0.15040000000000001</c:v>
                </c:pt>
                <c:pt idx="41">
                  <c:v>0.16541</c:v>
                </c:pt>
                <c:pt idx="42">
                  <c:v>0.17859</c:v>
                </c:pt>
                <c:pt idx="43">
                  <c:v>0.18928</c:v>
                </c:pt>
                <c:pt idx="44">
                  <c:v>0.19761000000000001</c:v>
                </c:pt>
                <c:pt idx="45">
                  <c:v>0.20396</c:v>
                </c:pt>
                <c:pt idx="46">
                  <c:v>0.20913999999999999</c:v>
                </c:pt>
                <c:pt idx="47">
                  <c:v>0.21381</c:v>
                </c:pt>
                <c:pt idx="48">
                  <c:v>0.21770999999999999</c:v>
                </c:pt>
                <c:pt idx="49">
                  <c:v>0.22040999999999999</c:v>
                </c:pt>
                <c:pt idx="50">
                  <c:v>0.22166</c:v>
                </c:pt>
                <c:pt idx="51">
                  <c:v>0.22145999999999999</c:v>
                </c:pt>
                <c:pt idx="52">
                  <c:v>0.22076999999999999</c:v>
                </c:pt>
                <c:pt idx="53">
                  <c:v>0.22081000000000001</c:v>
                </c:pt>
                <c:pt idx="54">
                  <c:v>0.22303000000000001</c:v>
                </c:pt>
                <c:pt idx="55">
                  <c:v>0.22881000000000001</c:v>
                </c:pt>
                <c:pt idx="56">
                  <c:v>0.23899999999999999</c:v>
                </c:pt>
                <c:pt idx="57">
                  <c:v>0.25451000000000001</c:v>
                </c:pt>
                <c:pt idx="58">
                  <c:v>0.27704000000000001</c:v>
                </c:pt>
                <c:pt idx="59">
                  <c:v>0.308</c:v>
                </c:pt>
                <c:pt idx="60">
                  <c:v>0.34671999999999997</c:v>
                </c:pt>
                <c:pt idx="61">
                  <c:v>0.39138000000000001</c:v>
                </c:pt>
                <c:pt idx="62">
                  <c:v>0.43730000000000002</c:v>
                </c:pt>
                <c:pt idx="63">
                  <c:v>0.48015999999999998</c:v>
                </c:pt>
                <c:pt idx="64">
                  <c:v>0.51978999999999997</c:v>
                </c:pt>
                <c:pt idx="65">
                  <c:v>0.55666000000000004</c:v>
                </c:pt>
                <c:pt idx="66">
                  <c:v>0.58977000000000002</c:v>
                </c:pt>
                <c:pt idx="67">
                  <c:v>0.61775000000000002</c:v>
                </c:pt>
                <c:pt idx="68">
                  <c:v>0.63924000000000003</c:v>
                </c:pt>
                <c:pt idx="69">
                  <c:v>0.66822999999999999</c:v>
                </c:pt>
                <c:pt idx="70">
                  <c:v>0.69291999999999998</c:v>
                </c:pt>
                <c:pt idx="71">
                  <c:v>0.71655999999999997</c:v>
                </c:pt>
                <c:pt idx="72">
                  <c:v>0.73904999999999998</c:v>
                </c:pt>
                <c:pt idx="73">
                  <c:v>0.76036999999999999</c:v>
                </c:pt>
                <c:pt idx="74">
                  <c:v>0.78044999999999998</c:v>
                </c:pt>
                <c:pt idx="75">
                  <c:v>0.79930000000000001</c:v>
                </c:pt>
                <c:pt idx="76">
                  <c:v>0.81691000000000003</c:v>
                </c:pt>
                <c:pt idx="77">
                  <c:v>0.83330000000000004</c:v>
                </c:pt>
                <c:pt idx="78">
                  <c:v>0.84848999999999997</c:v>
                </c:pt>
                <c:pt idx="79">
                  <c:v>0.86251999999999995</c:v>
                </c:pt>
                <c:pt idx="80">
                  <c:v>0.87544999999999995</c:v>
                </c:pt>
                <c:pt idx="81">
                  <c:v>0.88732</c:v>
                </c:pt>
                <c:pt idx="82">
                  <c:v>0.89819000000000004</c:v>
                </c:pt>
                <c:pt idx="83">
                  <c:v>0.90812000000000004</c:v>
                </c:pt>
                <c:pt idx="84">
                  <c:v>0.91717000000000004</c:v>
                </c:pt>
                <c:pt idx="85">
                  <c:v>0.91717000000000004</c:v>
                </c:pt>
                <c:pt idx="86">
                  <c:v>0.91717000000000004</c:v>
                </c:pt>
                <c:pt idx="87">
                  <c:v>0.91717000000000004</c:v>
                </c:pt>
                <c:pt idx="88">
                  <c:v>0.91717000000000004</c:v>
                </c:pt>
                <c:pt idx="89">
                  <c:v>0.91717000000000004</c:v>
                </c:pt>
                <c:pt idx="90">
                  <c:v>0.91717000000000004</c:v>
                </c:pt>
                <c:pt idx="91">
                  <c:v>0.91717000000000004</c:v>
                </c:pt>
                <c:pt idx="92">
                  <c:v>0.91717000000000004</c:v>
                </c:pt>
                <c:pt idx="93">
                  <c:v>0.91717000000000004</c:v>
                </c:pt>
                <c:pt idx="94">
                  <c:v>0.91717000000000004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3FE4-445B-8EEB-D88489EA6296}"/>
            </c:ext>
          </c:extLst>
        </c:ser>
        <c:ser>
          <c:idx val="18"/>
          <c:order val="1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'99set'!$T$10:$T$104</c:f>
              <c:numCache>
                <c:formatCode>0.00000</c:formatCode>
                <c:ptCount val="95"/>
                <c:pt idx="0">
                  <c:v>7.3099999999999998E-2</c:v>
                </c:pt>
                <c:pt idx="1">
                  <c:v>7.3099999999999998E-2</c:v>
                </c:pt>
                <c:pt idx="2">
                  <c:v>7.3099999999999998E-2</c:v>
                </c:pt>
                <c:pt idx="3">
                  <c:v>7.3099999999999998E-2</c:v>
                </c:pt>
                <c:pt idx="4">
                  <c:v>7.3099999999999998E-2</c:v>
                </c:pt>
                <c:pt idx="5">
                  <c:v>7.3099999999999998E-2</c:v>
                </c:pt>
                <c:pt idx="6">
                  <c:v>7.3099999999999998E-2</c:v>
                </c:pt>
                <c:pt idx="7">
                  <c:v>7.3099999999999998E-2</c:v>
                </c:pt>
                <c:pt idx="8">
                  <c:v>7.3099999999999998E-2</c:v>
                </c:pt>
                <c:pt idx="9">
                  <c:v>7.5380000000000003E-2</c:v>
                </c:pt>
                <c:pt idx="10">
                  <c:v>7.85E-2</c:v>
                </c:pt>
                <c:pt idx="11">
                  <c:v>8.1299999999999997E-2</c:v>
                </c:pt>
                <c:pt idx="12">
                  <c:v>8.4099999999999994E-2</c:v>
                </c:pt>
                <c:pt idx="13">
                  <c:v>8.7520000000000001E-2</c:v>
                </c:pt>
                <c:pt idx="14">
                  <c:v>9.1800000000000007E-2</c:v>
                </c:pt>
                <c:pt idx="15">
                  <c:v>9.6960000000000005E-2</c:v>
                </c:pt>
                <c:pt idx="16">
                  <c:v>0.10249999999999999</c:v>
                </c:pt>
                <c:pt idx="17">
                  <c:v>0.10789</c:v>
                </c:pt>
                <c:pt idx="18">
                  <c:v>0.1129</c:v>
                </c:pt>
                <c:pt idx="19">
                  <c:v>0.11747</c:v>
                </c:pt>
                <c:pt idx="20">
                  <c:v>0.12180000000000001</c:v>
                </c:pt>
                <c:pt idx="21">
                  <c:v>0.12611</c:v>
                </c:pt>
                <c:pt idx="22">
                  <c:v>0.13039999999999999</c:v>
                </c:pt>
                <c:pt idx="23">
                  <c:v>0.13466</c:v>
                </c:pt>
                <c:pt idx="24">
                  <c:v>0.13900000000000001</c:v>
                </c:pt>
                <c:pt idx="25">
                  <c:v>0.14355000000000001</c:v>
                </c:pt>
                <c:pt idx="26">
                  <c:v>0.1484</c:v>
                </c:pt>
                <c:pt idx="27">
                  <c:v>0.15359</c:v>
                </c:pt>
                <c:pt idx="28">
                  <c:v>0.159</c:v>
                </c:pt>
                <c:pt idx="29">
                  <c:v>0.16433</c:v>
                </c:pt>
                <c:pt idx="30">
                  <c:v>0.16880000000000001</c:v>
                </c:pt>
                <c:pt idx="31">
                  <c:v>0.17166000000000001</c:v>
                </c:pt>
                <c:pt idx="32">
                  <c:v>0.17280000000000001</c:v>
                </c:pt>
                <c:pt idx="33">
                  <c:v>0.17246</c:v>
                </c:pt>
                <c:pt idx="34">
                  <c:v>0.1716</c:v>
                </c:pt>
                <c:pt idx="35">
                  <c:v>0.17132</c:v>
                </c:pt>
                <c:pt idx="36">
                  <c:v>0.17249999999999999</c:v>
                </c:pt>
                <c:pt idx="37">
                  <c:v>0.17559</c:v>
                </c:pt>
                <c:pt idx="38">
                  <c:v>0.17960000000000001</c:v>
                </c:pt>
                <c:pt idx="39">
                  <c:v>0.18329000000000001</c:v>
                </c:pt>
                <c:pt idx="40">
                  <c:v>0.18579999999999999</c:v>
                </c:pt>
                <c:pt idx="41">
                  <c:v>0.18684999999999999</c:v>
                </c:pt>
                <c:pt idx="42">
                  <c:v>0.18809999999999999</c:v>
                </c:pt>
                <c:pt idx="43">
                  <c:v>0.19170000000000001</c:v>
                </c:pt>
                <c:pt idx="44">
                  <c:v>0.19989999999999999</c:v>
                </c:pt>
                <c:pt idx="45">
                  <c:v>0.21409</c:v>
                </c:pt>
                <c:pt idx="46">
                  <c:v>0.23219999999999999</c:v>
                </c:pt>
                <c:pt idx="47">
                  <c:v>0.25140000000000001</c:v>
                </c:pt>
                <c:pt idx="48">
                  <c:v>0.26939999999999997</c:v>
                </c:pt>
                <c:pt idx="49">
                  <c:v>0.28449999999999998</c:v>
                </c:pt>
                <c:pt idx="50">
                  <c:v>0.2969</c:v>
                </c:pt>
                <c:pt idx="51">
                  <c:v>0.30719999999999997</c:v>
                </c:pt>
                <c:pt idx="52">
                  <c:v>0.31569999999999998</c:v>
                </c:pt>
                <c:pt idx="53">
                  <c:v>0.32272000000000001</c:v>
                </c:pt>
                <c:pt idx="54">
                  <c:v>0.32890000000000003</c:v>
                </c:pt>
                <c:pt idx="55">
                  <c:v>0.33485999999999999</c:v>
                </c:pt>
                <c:pt idx="56">
                  <c:v>0.34079999999999999</c:v>
                </c:pt>
                <c:pt idx="57">
                  <c:v>0.34673999999999999</c:v>
                </c:pt>
                <c:pt idx="58">
                  <c:v>0.35239999999999999</c:v>
                </c:pt>
                <c:pt idx="59">
                  <c:v>0.35758000000000001</c:v>
                </c:pt>
                <c:pt idx="60">
                  <c:v>0.36259999999999998</c:v>
                </c:pt>
                <c:pt idx="61">
                  <c:v>0.36782999999999999</c:v>
                </c:pt>
                <c:pt idx="62">
                  <c:v>0.37319999999999998</c:v>
                </c:pt>
                <c:pt idx="63">
                  <c:v>0.37852999999999998</c:v>
                </c:pt>
                <c:pt idx="64">
                  <c:v>0.3836</c:v>
                </c:pt>
                <c:pt idx="65">
                  <c:v>0.38829000000000002</c:v>
                </c:pt>
                <c:pt idx="66">
                  <c:v>0.39300000000000002</c:v>
                </c:pt>
                <c:pt idx="67">
                  <c:v>0.39783000000000002</c:v>
                </c:pt>
                <c:pt idx="68">
                  <c:v>0.4012</c:v>
                </c:pt>
                <c:pt idx="69">
                  <c:v>0.4012</c:v>
                </c:pt>
                <c:pt idx="70">
                  <c:v>0.4012</c:v>
                </c:pt>
                <c:pt idx="71">
                  <c:v>0.4012</c:v>
                </c:pt>
                <c:pt idx="72">
                  <c:v>0.4012</c:v>
                </c:pt>
                <c:pt idx="73">
                  <c:v>0.4012</c:v>
                </c:pt>
                <c:pt idx="74">
                  <c:v>0.4012</c:v>
                </c:pt>
                <c:pt idx="75">
                  <c:v>0.4012</c:v>
                </c:pt>
                <c:pt idx="76">
                  <c:v>0.4012</c:v>
                </c:pt>
                <c:pt idx="77">
                  <c:v>0.4012</c:v>
                </c:pt>
                <c:pt idx="78">
                  <c:v>0.4012</c:v>
                </c:pt>
                <c:pt idx="79">
                  <c:v>0.4012</c:v>
                </c:pt>
                <c:pt idx="80">
                  <c:v>0.4012</c:v>
                </c:pt>
                <c:pt idx="81">
                  <c:v>0.4012</c:v>
                </c:pt>
                <c:pt idx="82">
                  <c:v>0.4012</c:v>
                </c:pt>
                <c:pt idx="83">
                  <c:v>0.4012</c:v>
                </c:pt>
                <c:pt idx="84">
                  <c:v>0.4012</c:v>
                </c:pt>
                <c:pt idx="85">
                  <c:v>0.4012</c:v>
                </c:pt>
                <c:pt idx="86">
                  <c:v>0.4012</c:v>
                </c:pt>
                <c:pt idx="87">
                  <c:v>0.4012</c:v>
                </c:pt>
                <c:pt idx="88">
                  <c:v>0.4012</c:v>
                </c:pt>
                <c:pt idx="89">
                  <c:v>0.4012</c:v>
                </c:pt>
                <c:pt idx="90">
                  <c:v>0.4012</c:v>
                </c:pt>
                <c:pt idx="91">
                  <c:v>0.4012</c:v>
                </c:pt>
                <c:pt idx="92">
                  <c:v>0.4012</c:v>
                </c:pt>
                <c:pt idx="93">
                  <c:v>0.4012</c:v>
                </c:pt>
                <c:pt idx="94">
                  <c:v>0.4012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3FE4-445B-8EEB-D88489EA6296}"/>
            </c:ext>
          </c:extLst>
        </c:ser>
        <c:ser>
          <c:idx val="19"/>
          <c:order val="1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'99set'!$U$10:$U$104</c:f>
              <c:numCache>
                <c:formatCode>0.00000</c:formatCode>
                <c:ptCount val="95"/>
                <c:pt idx="0">
                  <c:v>0.1202</c:v>
                </c:pt>
                <c:pt idx="1">
                  <c:v>0.1202</c:v>
                </c:pt>
                <c:pt idx="2">
                  <c:v>0.1202</c:v>
                </c:pt>
                <c:pt idx="3">
                  <c:v>0.1202</c:v>
                </c:pt>
                <c:pt idx="4">
                  <c:v>0.1202</c:v>
                </c:pt>
                <c:pt idx="5">
                  <c:v>0.1202</c:v>
                </c:pt>
                <c:pt idx="6">
                  <c:v>0.1202</c:v>
                </c:pt>
                <c:pt idx="7">
                  <c:v>0.1202</c:v>
                </c:pt>
                <c:pt idx="8">
                  <c:v>0.1202</c:v>
                </c:pt>
                <c:pt idx="9">
                  <c:v>0.12316000000000001</c:v>
                </c:pt>
                <c:pt idx="10">
                  <c:v>0.12590000000000001</c:v>
                </c:pt>
                <c:pt idx="11">
                  <c:v>0.12589</c:v>
                </c:pt>
                <c:pt idx="12">
                  <c:v>0.1245</c:v>
                </c:pt>
                <c:pt idx="13">
                  <c:v>0.12359000000000001</c:v>
                </c:pt>
                <c:pt idx="14">
                  <c:v>0.1232</c:v>
                </c:pt>
                <c:pt idx="15">
                  <c:v>0.12298000000000001</c:v>
                </c:pt>
                <c:pt idx="16">
                  <c:v>0.123</c:v>
                </c:pt>
                <c:pt idx="17">
                  <c:v>0.12334000000000001</c:v>
                </c:pt>
                <c:pt idx="18">
                  <c:v>0.12379999999999999</c:v>
                </c:pt>
                <c:pt idx="19">
                  <c:v>0.12417</c:v>
                </c:pt>
                <c:pt idx="20">
                  <c:v>0.1245</c:v>
                </c:pt>
                <c:pt idx="21">
                  <c:v>0.12484000000000001</c:v>
                </c:pt>
                <c:pt idx="22">
                  <c:v>0.12509999999999999</c:v>
                </c:pt>
                <c:pt idx="23">
                  <c:v>0.12518000000000001</c:v>
                </c:pt>
                <c:pt idx="24">
                  <c:v>0.12509999999999999</c:v>
                </c:pt>
                <c:pt idx="25">
                  <c:v>0.12501000000000001</c:v>
                </c:pt>
                <c:pt idx="26">
                  <c:v>0.12559999999999999</c:v>
                </c:pt>
                <c:pt idx="27">
                  <c:v>0.12801000000000001</c:v>
                </c:pt>
                <c:pt idx="28">
                  <c:v>0.1348</c:v>
                </c:pt>
                <c:pt idx="29">
                  <c:v>0.14804999999999999</c:v>
                </c:pt>
                <c:pt idx="30">
                  <c:v>0.16639999999999999</c:v>
                </c:pt>
                <c:pt idx="31">
                  <c:v>0.18711</c:v>
                </c:pt>
                <c:pt idx="32">
                  <c:v>0.20519999999999999</c:v>
                </c:pt>
                <c:pt idx="33">
                  <c:v>0.21662000000000001</c:v>
                </c:pt>
                <c:pt idx="34">
                  <c:v>0.2233</c:v>
                </c:pt>
                <c:pt idx="35">
                  <c:v>0.22905</c:v>
                </c:pt>
                <c:pt idx="36">
                  <c:v>0.23930000000000001</c:v>
                </c:pt>
                <c:pt idx="37">
                  <c:v>0.25935999999999998</c:v>
                </c:pt>
                <c:pt idx="38">
                  <c:v>0.29249999999999998</c:v>
                </c:pt>
                <c:pt idx="39">
                  <c:v>0.33928000000000003</c:v>
                </c:pt>
                <c:pt idx="40">
                  <c:v>0.39140000000000003</c:v>
                </c:pt>
                <c:pt idx="41">
                  <c:v>0.43924999999999997</c:v>
                </c:pt>
                <c:pt idx="42">
                  <c:v>0.47689999999999999</c:v>
                </c:pt>
                <c:pt idx="43">
                  <c:v>0.50097000000000003</c:v>
                </c:pt>
                <c:pt idx="44">
                  <c:v>0.51459999999999995</c:v>
                </c:pt>
                <c:pt idx="45">
                  <c:v>0.52210000000000001</c:v>
                </c:pt>
                <c:pt idx="46">
                  <c:v>0.52600000000000002</c:v>
                </c:pt>
                <c:pt idx="47">
                  <c:v>0.52810000000000001</c:v>
                </c:pt>
                <c:pt idx="48">
                  <c:v>0.52900000000000003</c:v>
                </c:pt>
                <c:pt idx="49">
                  <c:v>0.52902000000000005</c:v>
                </c:pt>
                <c:pt idx="50">
                  <c:v>0.52859999999999996</c:v>
                </c:pt>
                <c:pt idx="51">
                  <c:v>0.52810000000000001</c:v>
                </c:pt>
                <c:pt idx="52">
                  <c:v>0.52749999999999997</c:v>
                </c:pt>
                <c:pt idx="53">
                  <c:v>0.52676000000000001</c:v>
                </c:pt>
                <c:pt idx="54">
                  <c:v>0.52600000000000002</c:v>
                </c:pt>
                <c:pt idx="55">
                  <c:v>0.52534000000000003</c:v>
                </c:pt>
                <c:pt idx="56">
                  <c:v>0.52459999999999996</c:v>
                </c:pt>
                <c:pt idx="57">
                  <c:v>0.52361000000000002</c:v>
                </c:pt>
                <c:pt idx="58">
                  <c:v>0.52259999999999995</c:v>
                </c:pt>
                <c:pt idx="59">
                  <c:v>0.52181</c:v>
                </c:pt>
                <c:pt idx="60">
                  <c:v>0.52110000000000001</c:v>
                </c:pt>
                <c:pt idx="61">
                  <c:v>0.52029000000000003</c:v>
                </c:pt>
                <c:pt idx="62">
                  <c:v>0.51949999999999996</c:v>
                </c:pt>
                <c:pt idx="63">
                  <c:v>0.51887000000000005</c:v>
                </c:pt>
                <c:pt idx="64">
                  <c:v>0.51819999999999999</c:v>
                </c:pt>
                <c:pt idx="65">
                  <c:v>0.51729000000000003</c:v>
                </c:pt>
                <c:pt idx="66">
                  <c:v>0.51619999999999999</c:v>
                </c:pt>
                <c:pt idx="67">
                  <c:v>0.51512000000000002</c:v>
                </c:pt>
                <c:pt idx="68">
                  <c:v>0.51439999999999997</c:v>
                </c:pt>
                <c:pt idx="69">
                  <c:v>0.51439999999999997</c:v>
                </c:pt>
                <c:pt idx="70">
                  <c:v>0.51439999999999997</c:v>
                </c:pt>
                <c:pt idx="71">
                  <c:v>0.51444000000000001</c:v>
                </c:pt>
                <c:pt idx="72">
                  <c:v>0.51439999999999997</c:v>
                </c:pt>
                <c:pt idx="73">
                  <c:v>0.51439999999999997</c:v>
                </c:pt>
                <c:pt idx="74">
                  <c:v>0.51439999999999997</c:v>
                </c:pt>
                <c:pt idx="75">
                  <c:v>0.51439999999999997</c:v>
                </c:pt>
                <c:pt idx="76">
                  <c:v>0.51439999999999997</c:v>
                </c:pt>
                <c:pt idx="77">
                  <c:v>0.51439999999999997</c:v>
                </c:pt>
                <c:pt idx="78">
                  <c:v>0.51439999999999997</c:v>
                </c:pt>
                <c:pt idx="79">
                  <c:v>0.51439999999999997</c:v>
                </c:pt>
                <c:pt idx="80">
                  <c:v>0.51439999999999997</c:v>
                </c:pt>
                <c:pt idx="81">
                  <c:v>0.51439999999999997</c:v>
                </c:pt>
                <c:pt idx="82">
                  <c:v>0.51439999999999997</c:v>
                </c:pt>
                <c:pt idx="83">
                  <c:v>0.51439999999999997</c:v>
                </c:pt>
                <c:pt idx="84">
                  <c:v>0.51439999999999997</c:v>
                </c:pt>
                <c:pt idx="85">
                  <c:v>0.51439999999999997</c:v>
                </c:pt>
                <c:pt idx="86">
                  <c:v>0.51439999999999997</c:v>
                </c:pt>
                <c:pt idx="87">
                  <c:v>0.51439999999999997</c:v>
                </c:pt>
                <c:pt idx="88">
                  <c:v>0.51439999999999997</c:v>
                </c:pt>
                <c:pt idx="89">
                  <c:v>0.51439999999999997</c:v>
                </c:pt>
                <c:pt idx="90">
                  <c:v>0.51439999999999997</c:v>
                </c:pt>
                <c:pt idx="91">
                  <c:v>0.51439999999999997</c:v>
                </c:pt>
                <c:pt idx="92">
                  <c:v>0.51439999999999997</c:v>
                </c:pt>
                <c:pt idx="93">
                  <c:v>0.51439999999999997</c:v>
                </c:pt>
                <c:pt idx="94">
                  <c:v>0.51439999999999997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3FE4-445B-8EEB-D88489EA6296}"/>
            </c:ext>
          </c:extLst>
        </c:ser>
        <c:ser>
          <c:idx val="20"/>
          <c:order val="1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'99set'!$V$10:$V$104</c:f>
              <c:numCache>
                <c:formatCode>0.00000</c:formatCode>
                <c:ptCount val="95"/>
                <c:pt idx="0">
                  <c:v>2.5090000000000001E-2</c:v>
                </c:pt>
                <c:pt idx="1">
                  <c:v>2.5090000000000001E-2</c:v>
                </c:pt>
                <c:pt idx="2">
                  <c:v>2.5090000000000001E-2</c:v>
                </c:pt>
                <c:pt idx="3">
                  <c:v>2.5090000000000001E-2</c:v>
                </c:pt>
                <c:pt idx="4">
                  <c:v>2.5090000000000001E-2</c:v>
                </c:pt>
                <c:pt idx="5">
                  <c:v>2.7009999999999999E-2</c:v>
                </c:pt>
                <c:pt idx="6">
                  <c:v>2.9080000000000002E-2</c:v>
                </c:pt>
                <c:pt idx="7">
                  <c:v>3.1289999999999998E-2</c:v>
                </c:pt>
                <c:pt idx="8">
                  <c:v>3.1969999999999998E-2</c:v>
                </c:pt>
                <c:pt idx="9">
                  <c:v>3.7139999999999999E-2</c:v>
                </c:pt>
                <c:pt idx="10">
                  <c:v>3.952E-2</c:v>
                </c:pt>
                <c:pt idx="11">
                  <c:v>3.916E-2</c:v>
                </c:pt>
                <c:pt idx="12">
                  <c:v>3.6139999999999999E-2</c:v>
                </c:pt>
                <c:pt idx="13">
                  <c:v>3.0939999999999999E-2</c:v>
                </c:pt>
                <c:pt idx="14">
                  <c:v>2.572E-2</c:v>
                </c:pt>
                <c:pt idx="15">
                  <c:v>2.2419999999999999E-2</c:v>
                </c:pt>
                <c:pt idx="16">
                  <c:v>2.035E-2</c:v>
                </c:pt>
                <c:pt idx="17">
                  <c:v>1.8589999999999999E-2</c:v>
                </c:pt>
                <c:pt idx="18">
                  <c:v>1.787E-2</c:v>
                </c:pt>
                <c:pt idx="19">
                  <c:v>1.9429999999999999E-2</c:v>
                </c:pt>
                <c:pt idx="20">
                  <c:v>2.4719999999999999E-2</c:v>
                </c:pt>
                <c:pt idx="21">
                  <c:v>3.5770000000000003E-2</c:v>
                </c:pt>
                <c:pt idx="22">
                  <c:v>5.6500000000000002E-2</c:v>
                </c:pt>
                <c:pt idx="23">
                  <c:v>8.9959999999999998E-2</c:v>
                </c:pt>
                <c:pt idx="24">
                  <c:v>0.13394</c:v>
                </c:pt>
                <c:pt idx="25">
                  <c:v>0.18287999999999999</c:v>
                </c:pt>
                <c:pt idx="26">
                  <c:v>0.22320000000000001</c:v>
                </c:pt>
                <c:pt idx="27">
                  <c:v>0.2432</c:v>
                </c:pt>
                <c:pt idx="28">
                  <c:v>0.24664</c:v>
                </c:pt>
                <c:pt idx="29">
                  <c:v>0.2407</c:v>
                </c:pt>
                <c:pt idx="30">
                  <c:v>0.23085</c:v>
                </c:pt>
                <c:pt idx="31">
                  <c:v>0.22122</c:v>
                </c:pt>
                <c:pt idx="32">
                  <c:v>0.21248</c:v>
                </c:pt>
                <c:pt idx="33">
                  <c:v>0.20455000000000001</c:v>
                </c:pt>
                <c:pt idx="34">
                  <c:v>0.19769</c:v>
                </c:pt>
                <c:pt idx="35">
                  <c:v>0.19234000000000001</c:v>
                </c:pt>
                <c:pt idx="36">
                  <c:v>0.18925</c:v>
                </c:pt>
                <c:pt idx="37">
                  <c:v>0.18912999999999999</c:v>
                </c:pt>
                <c:pt idx="38">
                  <c:v>0.19252</c:v>
                </c:pt>
                <c:pt idx="39">
                  <c:v>0.19974</c:v>
                </c:pt>
                <c:pt idx="40">
                  <c:v>0.21059</c:v>
                </c:pt>
                <c:pt idx="41">
                  <c:v>0.22470000000000001</c:v>
                </c:pt>
                <c:pt idx="42">
                  <c:v>0.24146999999999999</c:v>
                </c:pt>
                <c:pt idx="43">
                  <c:v>0.26062000000000002</c:v>
                </c:pt>
                <c:pt idx="44">
                  <c:v>0.28316999999999998</c:v>
                </c:pt>
                <c:pt idx="45">
                  <c:v>0.31075000000000003</c:v>
                </c:pt>
                <c:pt idx="46">
                  <c:v>0.34583000000000003</c:v>
                </c:pt>
                <c:pt idx="47">
                  <c:v>0.39045000000000002</c:v>
                </c:pt>
                <c:pt idx="48">
                  <c:v>0.44412000000000001</c:v>
                </c:pt>
                <c:pt idx="49">
                  <c:v>0.50458000000000003</c:v>
                </c:pt>
                <c:pt idx="50">
                  <c:v>0.56506000000000001</c:v>
                </c:pt>
                <c:pt idx="51">
                  <c:v>0.61851999999999996</c:v>
                </c:pt>
                <c:pt idx="52">
                  <c:v>0.66127000000000002</c:v>
                </c:pt>
                <c:pt idx="53">
                  <c:v>0.69166000000000005</c:v>
                </c:pt>
                <c:pt idx="54">
                  <c:v>0.7127</c:v>
                </c:pt>
                <c:pt idx="55">
                  <c:v>0.72818000000000005</c:v>
                </c:pt>
                <c:pt idx="56">
                  <c:v>0.74021000000000003</c:v>
                </c:pt>
                <c:pt idx="57">
                  <c:v>0.75034999999999996</c:v>
                </c:pt>
                <c:pt idx="58">
                  <c:v>0.75976999999999995</c:v>
                </c:pt>
                <c:pt idx="59">
                  <c:v>0.76939000000000002</c:v>
                </c:pt>
                <c:pt idx="60">
                  <c:v>0.77971999999999997</c:v>
                </c:pt>
                <c:pt idx="61">
                  <c:v>0.79098000000000002</c:v>
                </c:pt>
                <c:pt idx="62">
                  <c:v>0.80256000000000005</c:v>
                </c:pt>
                <c:pt idx="63">
                  <c:v>0.81379000000000001</c:v>
                </c:pt>
                <c:pt idx="64">
                  <c:v>0.82440000000000002</c:v>
                </c:pt>
                <c:pt idx="65">
                  <c:v>0.83423000000000003</c:v>
                </c:pt>
                <c:pt idx="66">
                  <c:v>0.84297</c:v>
                </c:pt>
                <c:pt idx="67">
                  <c:v>0.85029999999999994</c:v>
                </c:pt>
                <c:pt idx="68">
                  <c:v>0.85587999999999997</c:v>
                </c:pt>
                <c:pt idx="69">
                  <c:v>0.86331000000000002</c:v>
                </c:pt>
                <c:pt idx="70">
                  <c:v>0.86963999999999997</c:v>
                </c:pt>
                <c:pt idx="71">
                  <c:v>0.87572000000000005</c:v>
                </c:pt>
                <c:pt idx="72">
                  <c:v>0.88156000000000001</c:v>
                </c:pt>
                <c:pt idx="73">
                  <c:v>0.88714999999999999</c:v>
                </c:pt>
                <c:pt idx="74">
                  <c:v>0.89251999999999998</c:v>
                </c:pt>
                <c:pt idx="75">
                  <c:v>0.89764999999999995</c:v>
                </c:pt>
                <c:pt idx="76">
                  <c:v>0.90256999999999998</c:v>
                </c:pt>
                <c:pt idx="77">
                  <c:v>0.90727999999999998</c:v>
                </c:pt>
                <c:pt idx="78">
                  <c:v>0.91178000000000003</c:v>
                </c:pt>
                <c:pt idx="79">
                  <c:v>0.91608999999999996</c:v>
                </c:pt>
                <c:pt idx="80">
                  <c:v>0.92020000000000002</c:v>
                </c:pt>
                <c:pt idx="81">
                  <c:v>0.92413000000000001</c:v>
                </c:pt>
                <c:pt idx="82">
                  <c:v>0.92788000000000004</c:v>
                </c:pt>
                <c:pt idx="83">
                  <c:v>0.93145999999999995</c:v>
                </c:pt>
                <c:pt idx="84">
                  <c:v>0.93486999999999998</c:v>
                </c:pt>
                <c:pt idx="85">
                  <c:v>0.93486999999999998</c:v>
                </c:pt>
                <c:pt idx="86">
                  <c:v>0.93486999999999998</c:v>
                </c:pt>
                <c:pt idx="87">
                  <c:v>0.93486999999999998</c:v>
                </c:pt>
                <c:pt idx="88">
                  <c:v>0.93486999999999998</c:v>
                </c:pt>
                <c:pt idx="89">
                  <c:v>0.93486999999999998</c:v>
                </c:pt>
                <c:pt idx="90">
                  <c:v>0.93486999999999998</c:v>
                </c:pt>
                <c:pt idx="91">
                  <c:v>0.93486999999999998</c:v>
                </c:pt>
                <c:pt idx="92">
                  <c:v>0.93486999999999998</c:v>
                </c:pt>
                <c:pt idx="93">
                  <c:v>0.93486999999999998</c:v>
                </c:pt>
                <c:pt idx="94">
                  <c:v>0.93486999999999998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3FE4-445B-8EEB-D88489EA6296}"/>
            </c:ext>
          </c:extLst>
        </c:ser>
        <c:ser>
          <c:idx val="21"/>
          <c:order val="2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'99set'!$W$10:$W$104</c:f>
              <c:numCache>
                <c:formatCode>0.00000</c:formatCode>
                <c:ptCount val="95"/>
                <c:pt idx="0">
                  <c:v>0.12356</c:v>
                </c:pt>
                <c:pt idx="1">
                  <c:v>0.12356</c:v>
                </c:pt>
                <c:pt idx="2">
                  <c:v>0.12356</c:v>
                </c:pt>
                <c:pt idx="3">
                  <c:v>0.12356</c:v>
                </c:pt>
                <c:pt idx="4">
                  <c:v>0.12356</c:v>
                </c:pt>
                <c:pt idx="5">
                  <c:v>0.13070999999999999</c:v>
                </c:pt>
                <c:pt idx="6">
                  <c:v>0.13822000000000001</c:v>
                </c:pt>
                <c:pt idx="7">
                  <c:v>0.14607999999999999</c:v>
                </c:pt>
                <c:pt idx="8">
                  <c:v>0.14874000000000001</c:v>
                </c:pt>
                <c:pt idx="9">
                  <c:v>0.16578000000000001</c:v>
                </c:pt>
                <c:pt idx="10">
                  <c:v>0.17316000000000001</c:v>
                </c:pt>
                <c:pt idx="11">
                  <c:v>0.17444000000000001</c:v>
                </c:pt>
                <c:pt idx="12">
                  <c:v>0.17316000000000001</c:v>
                </c:pt>
                <c:pt idx="13">
                  <c:v>0.17219999999999999</c:v>
                </c:pt>
                <c:pt idx="14">
                  <c:v>0.17166999999999999</c:v>
                </c:pt>
                <c:pt idx="15">
                  <c:v>0.17113999999999999</c:v>
                </c:pt>
                <c:pt idx="16">
                  <c:v>0.17068</c:v>
                </c:pt>
                <c:pt idx="17">
                  <c:v>0.17047000000000001</c:v>
                </c:pt>
                <c:pt idx="18">
                  <c:v>0.17068</c:v>
                </c:pt>
                <c:pt idx="19">
                  <c:v>0.17150000000000001</c:v>
                </c:pt>
                <c:pt idx="20">
                  <c:v>0.17316000000000001</c:v>
                </c:pt>
                <c:pt idx="21">
                  <c:v>0.17585999999999999</c:v>
                </c:pt>
                <c:pt idx="22">
                  <c:v>0.17962</c:v>
                </c:pt>
                <c:pt idx="23">
                  <c:v>0.18429999999999999</c:v>
                </c:pt>
                <c:pt idx="24">
                  <c:v>0.18934999999999999</c:v>
                </c:pt>
                <c:pt idx="25">
                  <c:v>0.19425000000000001</c:v>
                </c:pt>
                <c:pt idx="26">
                  <c:v>0.19927</c:v>
                </c:pt>
                <c:pt idx="27">
                  <c:v>0.20499000000000001</c:v>
                </c:pt>
                <c:pt idx="28">
                  <c:v>0.21238000000000001</c:v>
                </c:pt>
                <c:pt idx="29">
                  <c:v>0.22278000000000001</c:v>
                </c:pt>
                <c:pt idx="30">
                  <c:v>0.23849000000000001</c:v>
                </c:pt>
                <c:pt idx="31">
                  <c:v>0.26173999999999997</c:v>
                </c:pt>
                <c:pt idx="32">
                  <c:v>0.29339999999999999</c:v>
                </c:pt>
                <c:pt idx="33">
                  <c:v>0.33352999999999999</c:v>
                </c:pt>
                <c:pt idx="34">
                  <c:v>0.38028000000000001</c:v>
                </c:pt>
                <c:pt idx="35">
                  <c:v>0.43125999999999998</c:v>
                </c:pt>
                <c:pt idx="36">
                  <c:v>0.48393999999999998</c:v>
                </c:pt>
                <c:pt idx="37">
                  <c:v>0.53576999999999997</c:v>
                </c:pt>
                <c:pt idx="38">
                  <c:v>0.58431999999999995</c:v>
                </c:pt>
                <c:pt idx="39">
                  <c:v>0.62790999999999997</c:v>
                </c:pt>
                <c:pt idx="40">
                  <c:v>0.66762999999999995</c:v>
                </c:pt>
                <c:pt idx="41">
                  <c:v>0.70476000000000005</c:v>
                </c:pt>
                <c:pt idx="42">
                  <c:v>0.73851999999999995</c:v>
                </c:pt>
                <c:pt idx="43">
                  <c:v>0.76792000000000005</c:v>
                </c:pt>
                <c:pt idx="44">
                  <c:v>0.79342999999999997</c:v>
                </c:pt>
                <c:pt idx="45">
                  <c:v>0.81552999999999998</c:v>
                </c:pt>
                <c:pt idx="46">
                  <c:v>0.83333999999999997</c:v>
                </c:pt>
                <c:pt idx="47">
                  <c:v>0.84628000000000003</c:v>
                </c:pt>
                <c:pt idx="48">
                  <c:v>0.85638000000000003</c:v>
                </c:pt>
                <c:pt idx="49">
                  <c:v>0.86565000000000003</c:v>
                </c:pt>
                <c:pt idx="50">
                  <c:v>0.87355000000000005</c:v>
                </c:pt>
                <c:pt idx="51">
                  <c:v>0.87931999999999999</c:v>
                </c:pt>
                <c:pt idx="52">
                  <c:v>0.88378000000000001</c:v>
                </c:pt>
                <c:pt idx="53">
                  <c:v>0.88788999999999996</c:v>
                </c:pt>
                <c:pt idx="54">
                  <c:v>0.89151999999999998</c:v>
                </c:pt>
                <c:pt idx="55">
                  <c:v>0.89441999999999999</c:v>
                </c:pt>
                <c:pt idx="56">
                  <c:v>0.89688999999999997</c:v>
                </c:pt>
                <c:pt idx="57">
                  <c:v>0.89927999999999997</c:v>
                </c:pt>
                <c:pt idx="58">
                  <c:v>0.90144999999999997</c:v>
                </c:pt>
                <c:pt idx="59">
                  <c:v>0.90319000000000005</c:v>
                </c:pt>
                <c:pt idx="60">
                  <c:v>0.90442999999999996</c:v>
                </c:pt>
                <c:pt idx="61">
                  <c:v>0.90520999999999996</c:v>
                </c:pt>
                <c:pt idx="62">
                  <c:v>0.90571999999999997</c:v>
                </c:pt>
                <c:pt idx="63">
                  <c:v>0.90617000000000003</c:v>
                </c:pt>
                <c:pt idx="64">
                  <c:v>0.90671999999999997</c:v>
                </c:pt>
                <c:pt idx="65">
                  <c:v>0.90744999999999998</c:v>
                </c:pt>
                <c:pt idx="66">
                  <c:v>0.9083</c:v>
                </c:pt>
                <c:pt idx="67">
                  <c:v>0.90915999999999997</c:v>
                </c:pt>
                <c:pt idx="68">
                  <c:v>0.90988999999999998</c:v>
                </c:pt>
                <c:pt idx="69">
                  <c:v>0.91076000000000001</c:v>
                </c:pt>
                <c:pt idx="70">
                  <c:v>0.91156999999999999</c:v>
                </c:pt>
                <c:pt idx="71">
                  <c:v>0.91237000000000001</c:v>
                </c:pt>
                <c:pt idx="72">
                  <c:v>0.91315999999999997</c:v>
                </c:pt>
                <c:pt idx="73">
                  <c:v>0.91393999999999997</c:v>
                </c:pt>
                <c:pt idx="74">
                  <c:v>0.91471999999999998</c:v>
                </c:pt>
                <c:pt idx="75">
                  <c:v>0.91549999999999998</c:v>
                </c:pt>
                <c:pt idx="76">
                  <c:v>0.91625999999999996</c:v>
                </c:pt>
                <c:pt idx="77">
                  <c:v>0.91703000000000001</c:v>
                </c:pt>
                <c:pt idx="78">
                  <c:v>0.91778000000000004</c:v>
                </c:pt>
                <c:pt idx="79">
                  <c:v>0.91852999999999996</c:v>
                </c:pt>
                <c:pt idx="80">
                  <c:v>0.91927000000000003</c:v>
                </c:pt>
                <c:pt idx="81">
                  <c:v>0.92000999999999999</c:v>
                </c:pt>
                <c:pt idx="82">
                  <c:v>0.92074</c:v>
                </c:pt>
                <c:pt idx="83">
                  <c:v>0.92145999999999995</c:v>
                </c:pt>
                <c:pt idx="84">
                  <c:v>0.92218</c:v>
                </c:pt>
                <c:pt idx="85">
                  <c:v>0.92218</c:v>
                </c:pt>
                <c:pt idx="86">
                  <c:v>0.92218</c:v>
                </c:pt>
                <c:pt idx="87">
                  <c:v>0.92218</c:v>
                </c:pt>
                <c:pt idx="88">
                  <c:v>0.92218</c:v>
                </c:pt>
                <c:pt idx="89">
                  <c:v>0.92218</c:v>
                </c:pt>
                <c:pt idx="90">
                  <c:v>0.92218</c:v>
                </c:pt>
                <c:pt idx="91">
                  <c:v>0.92218</c:v>
                </c:pt>
                <c:pt idx="92">
                  <c:v>0.92218</c:v>
                </c:pt>
                <c:pt idx="93">
                  <c:v>0.92218</c:v>
                </c:pt>
                <c:pt idx="94">
                  <c:v>0.92218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3FE4-445B-8EEB-D88489EA6296}"/>
            </c:ext>
          </c:extLst>
        </c:ser>
        <c:ser>
          <c:idx val="22"/>
          <c:order val="2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'99set'!$X$10:$X$104</c:f>
              <c:numCache>
                <c:formatCode>0.00000</c:formatCode>
                <c:ptCount val="95"/>
                <c:pt idx="0">
                  <c:v>1.2E-4</c:v>
                </c:pt>
                <c:pt idx="1">
                  <c:v>1.2E-4</c:v>
                </c:pt>
                <c:pt idx="2">
                  <c:v>1.2E-4</c:v>
                </c:pt>
                <c:pt idx="3">
                  <c:v>1.2E-4</c:v>
                </c:pt>
                <c:pt idx="4">
                  <c:v>1.2E-4</c:v>
                </c:pt>
                <c:pt idx="5">
                  <c:v>1.0619999999999999E-2</c:v>
                </c:pt>
                <c:pt idx="6">
                  <c:v>2.0840000000000001E-2</c:v>
                </c:pt>
                <c:pt idx="7">
                  <c:v>3.107E-2</c:v>
                </c:pt>
                <c:pt idx="8">
                  <c:v>4.1570000000000003E-2</c:v>
                </c:pt>
                <c:pt idx="9">
                  <c:v>5.2319999999999998E-2</c:v>
                </c:pt>
                <c:pt idx="10">
                  <c:v>6.2289999999999998E-2</c:v>
                </c:pt>
                <c:pt idx="11">
                  <c:v>7.0330000000000004E-2</c:v>
                </c:pt>
                <c:pt idx="12">
                  <c:v>7.6069999999999999E-2</c:v>
                </c:pt>
                <c:pt idx="13">
                  <c:v>7.961E-2</c:v>
                </c:pt>
                <c:pt idx="14">
                  <c:v>8.233E-2</c:v>
                </c:pt>
                <c:pt idx="15">
                  <c:v>8.5639999999999994E-2</c:v>
                </c:pt>
                <c:pt idx="16">
                  <c:v>8.9760000000000006E-2</c:v>
                </c:pt>
                <c:pt idx="17">
                  <c:v>9.4560000000000005E-2</c:v>
                </c:pt>
                <c:pt idx="18">
                  <c:v>9.9860000000000004E-2</c:v>
                </c:pt>
                <c:pt idx="19">
                  <c:v>0.10553999999999999</c:v>
                </c:pt>
                <c:pt idx="20">
                  <c:v>0.11176999999999999</c:v>
                </c:pt>
                <c:pt idx="21">
                  <c:v>0.11877</c:v>
                </c:pt>
                <c:pt idx="22">
                  <c:v>0.12662000000000001</c:v>
                </c:pt>
                <c:pt idx="23">
                  <c:v>0.13528999999999999</c:v>
                </c:pt>
                <c:pt idx="24">
                  <c:v>0.1444</c:v>
                </c:pt>
                <c:pt idx="25">
                  <c:v>0.15365000000000001</c:v>
                </c:pt>
                <c:pt idx="26">
                  <c:v>0.16336999999999999</c:v>
                </c:pt>
                <c:pt idx="27">
                  <c:v>0.17397000000000001</c:v>
                </c:pt>
                <c:pt idx="28">
                  <c:v>0.18568999999999999</c:v>
                </c:pt>
                <c:pt idx="29">
                  <c:v>0.19875999999999999</c:v>
                </c:pt>
                <c:pt idx="30">
                  <c:v>0.21356</c:v>
                </c:pt>
                <c:pt idx="31">
                  <c:v>0.23039000000000001</c:v>
                </c:pt>
                <c:pt idx="32">
                  <c:v>0.24906</c:v>
                </c:pt>
                <c:pt idx="33">
                  <c:v>0.26934999999999998</c:v>
                </c:pt>
                <c:pt idx="34">
                  <c:v>0.29154000000000002</c:v>
                </c:pt>
                <c:pt idx="35">
                  <c:v>0.31594</c:v>
                </c:pt>
                <c:pt idx="36">
                  <c:v>0.34258</c:v>
                </c:pt>
                <c:pt idx="37">
                  <c:v>0.37130999999999997</c:v>
                </c:pt>
                <c:pt idx="38">
                  <c:v>0.40142</c:v>
                </c:pt>
                <c:pt idx="39">
                  <c:v>0.43235000000000001</c:v>
                </c:pt>
                <c:pt idx="40">
                  <c:v>0.46450000000000002</c:v>
                </c:pt>
                <c:pt idx="41">
                  <c:v>0.49808000000000002</c:v>
                </c:pt>
                <c:pt idx="42">
                  <c:v>0.53141000000000005</c:v>
                </c:pt>
                <c:pt idx="43">
                  <c:v>0.56281000000000003</c:v>
                </c:pt>
                <c:pt idx="44">
                  <c:v>0.59236</c:v>
                </c:pt>
                <c:pt idx="45">
                  <c:v>0.62034</c:v>
                </c:pt>
                <c:pt idx="46">
                  <c:v>0.6462</c:v>
                </c:pt>
                <c:pt idx="47">
                  <c:v>0.66927999999999999</c:v>
                </c:pt>
                <c:pt idx="48">
                  <c:v>0.68945000000000001</c:v>
                </c:pt>
                <c:pt idx="49">
                  <c:v>0.70682</c:v>
                </c:pt>
                <c:pt idx="50">
                  <c:v>0.72194000000000003</c:v>
                </c:pt>
                <c:pt idx="51">
                  <c:v>0.73531000000000002</c:v>
                </c:pt>
                <c:pt idx="52">
                  <c:v>0.74695</c:v>
                </c:pt>
                <c:pt idx="53">
                  <c:v>0.75688999999999995</c:v>
                </c:pt>
                <c:pt idx="54">
                  <c:v>0.76575000000000004</c:v>
                </c:pt>
                <c:pt idx="55">
                  <c:v>0.77407000000000004</c:v>
                </c:pt>
                <c:pt idx="56">
                  <c:v>0.78137000000000001</c:v>
                </c:pt>
                <c:pt idx="57">
                  <c:v>0.78720000000000001</c:v>
                </c:pt>
                <c:pt idx="58">
                  <c:v>0.79220999999999997</c:v>
                </c:pt>
                <c:pt idx="59">
                  <c:v>0.79722999999999999</c:v>
                </c:pt>
                <c:pt idx="60">
                  <c:v>0.80262</c:v>
                </c:pt>
                <c:pt idx="61">
                  <c:v>0.80842000000000003</c:v>
                </c:pt>
                <c:pt idx="62">
                  <c:v>0.81374999999999997</c:v>
                </c:pt>
                <c:pt idx="63">
                  <c:v>0.81784999999999997</c:v>
                </c:pt>
                <c:pt idx="64">
                  <c:v>0.82133</c:v>
                </c:pt>
                <c:pt idx="65">
                  <c:v>0.82494999999999996</c:v>
                </c:pt>
                <c:pt idx="66">
                  <c:v>0.82862000000000002</c:v>
                </c:pt>
                <c:pt idx="67">
                  <c:v>0.83218000000000003</c:v>
                </c:pt>
                <c:pt idx="68">
                  <c:v>0.83587</c:v>
                </c:pt>
                <c:pt idx="69">
                  <c:v>0.83979000000000004</c:v>
                </c:pt>
                <c:pt idx="70">
                  <c:v>0.84304999999999997</c:v>
                </c:pt>
                <c:pt idx="71">
                  <c:v>0.84486000000000006</c:v>
                </c:pt>
                <c:pt idx="72">
                  <c:v>0.84587999999999997</c:v>
                </c:pt>
                <c:pt idx="73">
                  <c:v>0.84711999999999998</c:v>
                </c:pt>
                <c:pt idx="74">
                  <c:v>0.84960000000000002</c:v>
                </c:pt>
                <c:pt idx="75">
                  <c:v>0.85043000000000002</c:v>
                </c:pt>
                <c:pt idx="76">
                  <c:v>0.85189999999999999</c:v>
                </c:pt>
                <c:pt idx="77">
                  <c:v>0.85335000000000005</c:v>
                </c:pt>
                <c:pt idx="78">
                  <c:v>0.8548</c:v>
                </c:pt>
                <c:pt idx="79">
                  <c:v>0.85624</c:v>
                </c:pt>
                <c:pt idx="80">
                  <c:v>0.85765999999999998</c:v>
                </c:pt>
                <c:pt idx="81">
                  <c:v>0.85907</c:v>
                </c:pt>
                <c:pt idx="82">
                  <c:v>0.86046999999999996</c:v>
                </c:pt>
                <c:pt idx="83">
                  <c:v>0.86185999999999996</c:v>
                </c:pt>
                <c:pt idx="84">
                  <c:v>0.86323000000000005</c:v>
                </c:pt>
                <c:pt idx="85">
                  <c:v>0.86323000000000005</c:v>
                </c:pt>
                <c:pt idx="86">
                  <c:v>0.86323000000000005</c:v>
                </c:pt>
                <c:pt idx="87">
                  <c:v>0.86323000000000005</c:v>
                </c:pt>
                <c:pt idx="88">
                  <c:v>0.86323000000000005</c:v>
                </c:pt>
                <c:pt idx="89">
                  <c:v>0.86323000000000005</c:v>
                </c:pt>
                <c:pt idx="90">
                  <c:v>0.86323000000000005</c:v>
                </c:pt>
                <c:pt idx="91">
                  <c:v>0.86323000000000005</c:v>
                </c:pt>
                <c:pt idx="92">
                  <c:v>0.86323000000000005</c:v>
                </c:pt>
                <c:pt idx="93">
                  <c:v>0.86323000000000005</c:v>
                </c:pt>
                <c:pt idx="94">
                  <c:v>0.86323000000000005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3FE4-445B-8EEB-D88489EA6296}"/>
            </c:ext>
          </c:extLst>
        </c:ser>
        <c:ser>
          <c:idx val="23"/>
          <c:order val="2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'99set'!$Y$10:$Y$104</c:f>
              <c:numCache>
                <c:formatCode>0.00000</c:formatCode>
                <c:ptCount val="95"/>
                <c:pt idx="0">
                  <c:v>0.37852999999999998</c:v>
                </c:pt>
                <c:pt idx="1">
                  <c:v>0.37852999999999998</c:v>
                </c:pt>
                <c:pt idx="2">
                  <c:v>0.37852999999999998</c:v>
                </c:pt>
                <c:pt idx="3">
                  <c:v>0.37852999999999998</c:v>
                </c:pt>
                <c:pt idx="4">
                  <c:v>0.37852999999999998</c:v>
                </c:pt>
                <c:pt idx="5">
                  <c:v>0.40061000000000002</c:v>
                </c:pt>
                <c:pt idx="6">
                  <c:v>0.41715999999999998</c:v>
                </c:pt>
                <c:pt idx="7">
                  <c:v>0.43081999999999998</c:v>
                </c:pt>
                <c:pt idx="8">
                  <c:v>0.44274000000000002</c:v>
                </c:pt>
                <c:pt idx="9">
                  <c:v>0.45363999999999999</c:v>
                </c:pt>
                <c:pt idx="10">
                  <c:v>0.46388000000000001</c:v>
                </c:pt>
                <c:pt idx="11">
                  <c:v>0.47366000000000003</c:v>
                </c:pt>
                <c:pt idx="12">
                  <c:v>0.48293999999999998</c:v>
                </c:pt>
                <c:pt idx="13">
                  <c:v>0.49170999999999998</c:v>
                </c:pt>
                <c:pt idx="14">
                  <c:v>0.50041000000000002</c:v>
                </c:pt>
                <c:pt idx="15">
                  <c:v>0.50936999999999999</c:v>
                </c:pt>
                <c:pt idx="16">
                  <c:v>0.51814000000000004</c:v>
                </c:pt>
                <c:pt idx="17">
                  <c:v>0.52629999999999999</c:v>
                </c:pt>
                <c:pt idx="18">
                  <c:v>0.53427000000000002</c:v>
                </c:pt>
                <c:pt idx="19">
                  <c:v>0.54259999999999997</c:v>
                </c:pt>
                <c:pt idx="20">
                  <c:v>0.55150999999999994</c:v>
                </c:pt>
                <c:pt idx="21">
                  <c:v>0.56098999999999999</c:v>
                </c:pt>
                <c:pt idx="22">
                  <c:v>0.57040999999999997</c:v>
                </c:pt>
                <c:pt idx="23">
                  <c:v>0.57915000000000005</c:v>
                </c:pt>
                <c:pt idx="24">
                  <c:v>0.58731999999999995</c:v>
                </c:pt>
                <c:pt idx="25">
                  <c:v>0.59526000000000001</c:v>
                </c:pt>
                <c:pt idx="26">
                  <c:v>0.60357000000000005</c:v>
                </c:pt>
                <c:pt idx="27">
                  <c:v>0.61277999999999999</c:v>
                </c:pt>
                <c:pt idx="28">
                  <c:v>0.62302999999999997</c:v>
                </c:pt>
                <c:pt idx="29">
                  <c:v>0.63424999999999998</c:v>
                </c:pt>
                <c:pt idx="30">
                  <c:v>0.64598999999999995</c:v>
                </c:pt>
                <c:pt idx="31">
                  <c:v>0.65788999999999997</c:v>
                </c:pt>
                <c:pt idx="32">
                  <c:v>0.67035999999999996</c:v>
                </c:pt>
                <c:pt idx="33">
                  <c:v>0.68406</c:v>
                </c:pt>
                <c:pt idx="34">
                  <c:v>0.69996999999999998</c:v>
                </c:pt>
                <c:pt idx="35">
                  <c:v>0.71855999999999998</c:v>
                </c:pt>
                <c:pt idx="36">
                  <c:v>0.73784000000000005</c:v>
                </c:pt>
                <c:pt idx="37">
                  <c:v>0.75548000000000004</c:v>
                </c:pt>
                <c:pt idx="38">
                  <c:v>0.77019000000000004</c:v>
                </c:pt>
                <c:pt idx="39">
                  <c:v>0.78134999999999999</c:v>
                </c:pt>
                <c:pt idx="40">
                  <c:v>0.78986000000000001</c:v>
                </c:pt>
                <c:pt idx="41">
                  <c:v>0.79688999999999999</c:v>
                </c:pt>
                <c:pt idx="42">
                  <c:v>0.80310000000000004</c:v>
                </c:pt>
                <c:pt idx="43">
                  <c:v>0.80879000000000001</c:v>
                </c:pt>
                <c:pt idx="44">
                  <c:v>0.81340999999999997</c:v>
                </c:pt>
                <c:pt idx="45">
                  <c:v>0.81640000000000001</c:v>
                </c:pt>
                <c:pt idx="46">
                  <c:v>0.81801000000000001</c:v>
                </c:pt>
                <c:pt idx="47">
                  <c:v>0.81876000000000004</c:v>
                </c:pt>
                <c:pt idx="48">
                  <c:v>0.81933999999999996</c:v>
                </c:pt>
                <c:pt idx="49">
                  <c:v>0.82030999999999998</c:v>
                </c:pt>
                <c:pt idx="50">
                  <c:v>0.82162999999999997</c:v>
                </c:pt>
                <c:pt idx="51">
                  <c:v>0.82311000000000001</c:v>
                </c:pt>
                <c:pt idx="52">
                  <c:v>0.82467000000000001</c:v>
                </c:pt>
                <c:pt idx="53">
                  <c:v>0.82635999999999998</c:v>
                </c:pt>
                <c:pt idx="54">
                  <c:v>0.82855000000000001</c:v>
                </c:pt>
                <c:pt idx="55">
                  <c:v>0.83152000000000004</c:v>
                </c:pt>
                <c:pt idx="56">
                  <c:v>0.83481000000000005</c:v>
                </c:pt>
                <c:pt idx="57">
                  <c:v>0.83794000000000002</c:v>
                </c:pt>
                <c:pt idx="58">
                  <c:v>0.84114</c:v>
                </c:pt>
                <c:pt idx="59">
                  <c:v>0.84470999999999996</c:v>
                </c:pt>
                <c:pt idx="60">
                  <c:v>0.84843999999999997</c:v>
                </c:pt>
                <c:pt idx="61">
                  <c:v>0.85209000000000001</c:v>
                </c:pt>
                <c:pt idx="62">
                  <c:v>0.85572000000000004</c:v>
                </c:pt>
                <c:pt idx="63">
                  <c:v>0.85943000000000003</c:v>
                </c:pt>
                <c:pt idx="64">
                  <c:v>0.86329</c:v>
                </c:pt>
                <c:pt idx="65">
                  <c:v>0.86722999999999995</c:v>
                </c:pt>
                <c:pt idx="66">
                  <c:v>0.87082000000000004</c:v>
                </c:pt>
                <c:pt idx="67">
                  <c:v>0.87373000000000001</c:v>
                </c:pt>
                <c:pt idx="68">
                  <c:v>0.87656999999999996</c:v>
                </c:pt>
                <c:pt idx="69">
                  <c:v>0.87983999999999996</c:v>
                </c:pt>
                <c:pt idx="70">
                  <c:v>0.88270999999999999</c:v>
                </c:pt>
                <c:pt idx="71">
                  <c:v>0.88441000000000003</c:v>
                </c:pt>
                <c:pt idx="72">
                  <c:v>0.88578999999999997</c:v>
                </c:pt>
                <c:pt idx="73">
                  <c:v>0.88770000000000004</c:v>
                </c:pt>
                <c:pt idx="74">
                  <c:v>0.88946000000000003</c:v>
                </c:pt>
                <c:pt idx="75">
                  <c:v>0.89029999999999998</c:v>
                </c:pt>
                <c:pt idx="76">
                  <c:v>0.89073999999999998</c:v>
                </c:pt>
                <c:pt idx="77">
                  <c:v>0.89141000000000004</c:v>
                </c:pt>
                <c:pt idx="78">
                  <c:v>0.89200000000000002</c:v>
                </c:pt>
                <c:pt idx="79">
                  <c:v>0.89212000000000002</c:v>
                </c:pt>
                <c:pt idx="80">
                  <c:v>0.89200000000000002</c:v>
                </c:pt>
                <c:pt idx="81">
                  <c:v>0.89195999999999998</c:v>
                </c:pt>
                <c:pt idx="82">
                  <c:v>0.89200000000000002</c:v>
                </c:pt>
                <c:pt idx="83">
                  <c:v>0.89204000000000006</c:v>
                </c:pt>
                <c:pt idx="84">
                  <c:v>0.89200000000000002</c:v>
                </c:pt>
                <c:pt idx="85">
                  <c:v>0.89200000000000002</c:v>
                </c:pt>
                <c:pt idx="86">
                  <c:v>0.89200000000000002</c:v>
                </c:pt>
                <c:pt idx="87">
                  <c:v>0.89200000000000002</c:v>
                </c:pt>
                <c:pt idx="88">
                  <c:v>0.89200000000000002</c:v>
                </c:pt>
                <c:pt idx="89">
                  <c:v>0.89200000000000002</c:v>
                </c:pt>
                <c:pt idx="90">
                  <c:v>0.89200000000000002</c:v>
                </c:pt>
                <c:pt idx="91">
                  <c:v>0.89200000000000002</c:v>
                </c:pt>
                <c:pt idx="92">
                  <c:v>0.89200000000000002</c:v>
                </c:pt>
                <c:pt idx="93">
                  <c:v>0.89200000000000002</c:v>
                </c:pt>
                <c:pt idx="94">
                  <c:v>0.89200000000000002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3FE4-445B-8EEB-D88489EA6296}"/>
            </c:ext>
          </c:extLst>
        </c:ser>
        <c:ser>
          <c:idx val="24"/>
          <c:order val="2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'99set'!$Z$10:$Z$104</c:f>
              <c:numCache>
                <c:formatCode>0.00000</c:formatCode>
                <c:ptCount val="95"/>
                <c:pt idx="0">
                  <c:v>0.2515</c:v>
                </c:pt>
                <c:pt idx="1">
                  <c:v>0.2515</c:v>
                </c:pt>
                <c:pt idx="2">
                  <c:v>0.2515</c:v>
                </c:pt>
                <c:pt idx="3">
                  <c:v>0.2515</c:v>
                </c:pt>
                <c:pt idx="4">
                  <c:v>0.2515</c:v>
                </c:pt>
                <c:pt idx="5">
                  <c:v>0.2515</c:v>
                </c:pt>
                <c:pt idx="6">
                  <c:v>0.2515</c:v>
                </c:pt>
                <c:pt idx="7">
                  <c:v>0.2515</c:v>
                </c:pt>
                <c:pt idx="8">
                  <c:v>0.2515</c:v>
                </c:pt>
                <c:pt idx="9">
                  <c:v>0.26605000000000001</c:v>
                </c:pt>
                <c:pt idx="10">
                  <c:v>0.28120000000000001</c:v>
                </c:pt>
                <c:pt idx="11">
                  <c:v>0.28563</c:v>
                </c:pt>
                <c:pt idx="12">
                  <c:v>0.2838</c:v>
                </c:pt>
                <c:pt idx="13">
                  <c:v>0.28249000000000002</c:v>
                </c:pt>
                <c:pt idx="14">
                  <c:v>0.28199999999999997</c:v>
                </c:pt>
                <c:pt idx="15">
                  <c:v>0.28134999999999999</c:v>
                </c:pt>
                <c:pt idx="16">
                  <c:v>0.28100000000000003</c:v>
                </c:pt>
                <c:pt idx="17">
                  <c:v>0.28161000000000003</c:v>
                </c:pt>
                <c:pt idx="18">
                  <c:v>0.28320000000000001</c:v>
                </c:pt>
                <c:pt idx="19">
                  <c:v>0.28566999999999998</c:v>
                </c:pt>
                <c:pt idx="20">
                  <c:v>0.28899999999999998</c:v>
                </c:pt>
                <c:pt idx="21">
                  <c:v>0.29330000000000001</c:v>
                </c:pt>
                <c:pt idx="22">
                  <c:v>0.29909999999999998</c:v>
                </c:pt>
                <c:pt idx="23">
                  <c:v>0.30695</c:v>
                </c:pt>
                <c:pt idx="24">
                  <c:v>0.317</c:v>
                </c:pt>
                <c:pt idx="25">
                  <c:v>0.32939000000000002</c:v>
                </c:pt>
                <c:pt idx="26">
                  <c:v>0.34470000000000001</c:v>
                </c:pt>
                <c:pt idx="27">
                  <c:v>0.36342999999999998</c:v>
                </c:pt>
                <c:pt idx="28">
                  <c:v>0.38540000000000002</c:v>
                </c:pt>
                <c:pt idx="29">
                  <c:v>0.41038999999999998</c:v>
                </c:pt>
                <c:pt idx="30">
                  <c:v>0.43859999999999999</c:v>
                </c:pt>
                <c:pt idx="31">
                  <c:v>0.47037000000000001</c:v>
                </c:pt>
                <c:pt idx="32">
                  <c:v>0.50619999999999998</c:v>
                </c:pt>
                <c:pt idx="33">
                  <c:v>0.54625999999999997</c:v>
                </c:pt>
                <c:pt idx="34">
                  <c:v>0.58940000000000003</c:v>
                </c:pt>
                <c:pt idx="35">
                  <c:v>0.6341</c:v>
                </c:pt>
                <c:pt idx="36">
                  <c:v>0.67879999999999996</c:v>
                </c:pt>
                <c:pt idx="37">
                  <c:v>0.72175999999999996</c:v>
                </c:pt>
                <c:pt idx="38">
                  <c:v>0.76060000000000005</c:v>
                </c:pt>
                <c:pt idx="39">
                  <c:v>0.79313999999999996</c:v>
                </c:pt>
                <c:pt idx="40">
                  <c:v>0.81869999999999998</c:v>
                </c:pt>
                <c:pt idx="41">
                  <c:v>0.83726999999999996</c:v>
                </c:pt>
                <c:pt idx="42">
                  <c:v>0.85</c:v>
                </c:pt>
                <c:pt idx="43">
                  <c:v>0.85829999999999995</c:v>
                </c:pt>
                <c:pt idx="44">
                  <c:v>0.86339999999999995</c:v>
                </c:pt>
                <c:pt idx="45">
                  <c:v>0.86636999999999997</c:v>
                </c:pt>
                <c:pt idx="46">
                  <c:v>0.86780000000000002</c:v>
                </c:pt>
                <c:pt idx="47">
                  <c:v>0.86812</c:v>
                </c:pt>
                <c:pt idx="48">
                  <c:v>0.86770000000000003</c:v>
                </c:pt>
                <c:pt idx="49">
                  <c:v>0.86687999999999998</c:v>
                </c:pt>
                <c:pt idx="50">
                  <c:v>0.8659</c:v>
                </c:pt>
                <c:pt idx="51">
                  <c:v>0.86494000000000004</c:v>
                </c:pt>
                <c:pt idx="52">
                  <c:v>0.8639</c:v>
                </c:pt>
                <c:pt idx="53">
                  <c:v>0.86263000000000001</c:v>
                </c:pt>
                <c:pt idx="54">
                  <c:v>0.86099999999999999</c:v>
                </c:pt>
                <c:pt idx="55">
                  <c:v>0.85897999999999997</c:v>
                </c:pt>
                <c:pt idx="56">
                  <c:v>0.85699999999999998</c:v>
                </c:pt>
                <c:pt idx="57">
                  <c:v>0.85543000000000002</c:v>
                </c:pt>
                <c:pt idx="58">
                  <c:v>0.85409999999999997</c:v>
                </c:pt>
                <c:pt idx="59">
                  <c:v>0.85263999999999995</c:v>
                </c:pt>
                <c:pt idx="60">
                  <c:v>0.85040000000000004</c:v>
                </c:pt>
                <c:pt idx="61">
                  <c:v>0.84708000000000006</c:v>
                </c:pt>
                <c:pt idx="62">
                  <c:v>0.84389999999999998</c:v>
                </c:pt>
                <c:pt idx="63">
                  <c:v>0.84211999999999998</c:v>
                </c:pt>
                <c:pt idx="64">
                  <c:v>0.84150000000000003</c:v>
                </c:pt>
                <c:pt idx="65">
                  <c:v>0.84133999999999998</c:v>
                </c:pt>
                <c:pt idx="66">
                  <c:v>0.8407</c:v>
                </c:pt>
                <c:pt idx="67">
                  <c:v>0.83899000000000001</c:v>
                </c:pt>
                <c:pt idx="68">
                  <c:v>0.83740000000000003</c:v>
                </c:pt>
                <c:pt idx="69">
                  <c:v>0.83740000000000003</c:v>
                </c:pt>
                <c:pt idx="70">
                  <c:v>0.83740000000000003</c:v>
                </c:pt>
                <c:pt idx="71">
                  <c:v>0.83740000000000003</c:v>
                </c:pt>
                <c:pt idx="72">
                  <c:v>0.83740000000000003</c:v>
                </c:pt>
                <c:pt idx="73">
                  <c:v>0.83740000000000003</c:v>
                </c:pt>
                <c:pt idx="74">
                  <c:v>0.83740000000000003</c:v>
                </c:pt>
                <c:pt idx="75">
                  <c:v>0.83740000000000003</c:v>
                </c:pt>
                <c:pt idx="76">
                  <c:v>0.83740000000000003</c:v>
                </c:pt>
                <c:pt idx="77">
                  <c:v>0.83740000000000003</c:v>
                </c:pt>
                <c:pt idx="78">
                  <c:v>0.83740000000000003</c:v>
                </c:pt>
                <c:pt idx="79">
                  <c:v>0.83740000000000003</c:v>
                </c:pt>
                <c:pt idx="80">
                  <c:v>0.83740000000000003</c:v>
                </c:pt>
                <c:pt idx="81">
                  <c:v>0.83740000000000003</c:v>
                </c:pt>
                <c:pt idx="82">
                  <c:v>0.83740000000000003</c:v>
                </c:pt>
                <c:pt idx="83">
                  <c:v>0.83740000000000003</c:v>
                </c:pt>
                <c:pt idx="84">
                  <c:v>0.83740000000000003</c:v>
                </c:pt>
                <c:pt idx="85">
                  <c:v>0.83740000000000003</c:v>
                </c:pt>
                <c:pt idx="86">
                  <c:v>0.83740000000000003</c:v>
                </c:pt>
                <c:pt idx="87">
                  <c:v>0.83740000000000003</c:v>
                </c:pt>
                <c:pt idx="88">
                  <c:v>0.83740000000000003</c:v>
                </c:pt>
                <c:pt idx="89">
                  <c:v>0.83740000000000003</c:v>
                </c:pt>
                <c:pt idx="90">
                  <c:v>0.83740000000000003</c:v>
                </c:pt>
                <c:pt idx="91">
                  <c:v>0.83740000000000003</c:v>
                </c:pt>
                <c:pt idx="92">
                  <c:v>0.83740000000000003</c:v>
                </c:pt>
                <c:pt idx="93">
                  <c:v>0.83740000000000003</c:v>
                </c:pt>
                <c:pt idx="94">
                  <c:v>0.83740000000000003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3FE4-445B-8EEB-D88489EA6296}"/>
            </c:ext>
          </c:extLst>
        </c:ser>
        <c:ser>
          <c:idx val="25"/>
          <c:order val="2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'99set'!$AA$10:$AA$104</c:f>
              <c:numCache>
                <c:formatCode>0.00000</c:formatCode>
                <c:ptCount val="95"/>
                <c:pt idx="0">
                  <c:v>0.10281</c:v>
                </c:pt>
                <c:pt idx="1">
                  <c:v>0.10281</c:v>
                </c:pt>
                <c:pt idx="2">
                  <c:v>0.10281</c:v>
                </c:pt>
                <c:pt idx="3">
                  <c:v>0.10281</c:v>
                </c:pt>
                <c:pt idx="4">
                  <c:v>0.10281</c:v>
                </c:pt>
                <c:pt idx="5">
                  <c:v>9.2920000000000003E-2</c:v>
                </c:pt>
                <c:pt idx="6">
                  <c:v>8.4040000000000004E-2</c:v>
                </c:pt>
                <c:pt idx="7">
                  <c:v>7.621E-2</c:v>
                </c:pt>
                <c:pt idx="8">
                  <c:v>6.8140000000000006E-2</c:v>
                </c:pt>
                <c:pt idx="9">
                  <c:v>6.2399999999999997E-2</c:v>
                </c:pt>
                <c:pt idx="10">
                  <c:v>6.1580000000000003E-2</c:v>
                </c:pt>
                <c:pt idx="11">
                  <c:v>5.8540000000000002E-2</c:v>
                </c:pt>
                <c:pt idx="12">
                  <c:v>5.4640000000000001E-2</c:v>
                </c:pt>
                <c:pt idx="13">
                  <c:v>5.5019999999999999E-2</c:v>
                </c:pt>
                <c:pt idx="14">
                  <c:v>5.8319999999999997E-2</c:v>
                </c:pt>
                <c:pt idx="15">
                  <c:v>5.8400000000000001E-2</c:v>
                </c:pt>
                <c:pt idx="16">
                  <c:v>5.4620000000000002E-2</c:v>
                </c:pt>
                <c:pt idx="17">
                  <c:v>5.2900000000000003E-2</c:v>
                </c:pt>
                <c:pt idx="18">
                  <c:v>5.3039999999999997E-2</c:v>
                </c:pt>
                <c:pt idx="19">
                  <c:v>5.21E-2</c:v>
                </c:pt>
                <c:pt idx="20">
                  <c:v>5.0750000000000003E-2</c:v>
                </c:pt>
                <c:pt idx="21">
                  <c:v>5.1279999999999999E-2</c:v>
                </c:pt>
                <c:pt idx="22">
                  <c:v>5.2999999999999999E-2</c:v>
                </c:pt>
                <c:pt idx="23">
                  <c:v>5.3159999999999999E-2</c:v>
                </c:pt>
                <c:pt idx="24">
                  <c:v>5.1880000000000003E-2</c:v>
                </c:pt>
                <c:pt idx="25">
                  <c:v>5.2400000000000002E-2</c:v>
                </c:pt>
                <c:pt idx="26">
                  <c:v>5.5100000000000003E-2</c:v>
                </c:pt>
                <c:pt idx="27">
                  <c:v>5.851E-2</c:v>
                </c:pt>
                <c:pt idx="28">
                  <c:v>6.343E-2</c:v>
                </c:pt>
                <c:pt idx="29">
                  <c:v>7.0620000000000002E-2</c:v>
                </c:pt>
                <c:pt idx="30">
                  <c:v>8.2180000000000003E-2</c:v>
                </c:pt>
                <c:pt idx="31">
                  <c:v>0.10589</c:v>
                </c:pt>
                <c:pt idx="32">
                  <c:v>0.14388000000000001</c:v>
                </c:pt>
                <c:pt idx="33">
                  <c:v>0.19506000000000001</c:v>
                </c:pt>
                <c:pt idx="34">
                  <c:v>0.25331999999999999</c:v>
                </c:pt>
                <c:pt idx="35">
                  <c:v>0.3075</c:v>
                </c:pt>
                <c:pt idx="36">
                  <c:v>0.35271000000000002</c:v>
                </c:pt>
                <c:pt idx="37">
                  <c:v>0.38845000000000002</c:v>
                </c:pt>
                <c:pt idx="38">
                  <c:v>0.41659000000000002</c:v>
                </c:pt>
                <c:pt idx="39">
                  <c:v>0.43752999999999997</c:v>
                </c:pt>
                <c:pt idx="40">
                  <c:v>0.45206000000000002</c:v>
                </c:pt>
                <c:pt idx="41">
                  <c:v>0.46315000000000001</c:v>
                </c:pt>
                <c:pt idx="42">
                  <c:v>0.47193000000000002</c:v>
                </c:pt>
                <c:pt idx="43">
                  <c:v>0.47899999999999998</c:v>
                </c:pt>
                <c:pt idx="44">
                  <c:v>0.48643999999999998</c:v>
                </c:pt>
                <c:pt idx="45">
                  <c:v>0.49281999999999998</c:v>
                </c:pt>
                <c:pt idx="46">
                  <c:v>0.49629000000000001</c:v>
                </c:pt>
                <c:pt idx="47">
                  <c:v>0.50019999999999998</c:v>
                </c:pt>
                <c:pt idx="48">
                  <c:v>0.50456000000000001</c:v>
                </c:pt>
                <c:pt idx="49">
                  <c:v>0.50626000000000004</c:v>
                </c:pt>
                <c:pt idx="50">
                  <c:v>0.50778999999999996</c:v>
                </c:pt>
                <c:pt idx="51">
                  <c:v>0.51041999999999998</c:v>
                </c:pt>
                <c:pt idx="52">
                  <c:v>0.51054999999999995</c:v>
                </c:pt>
                <c:pt idx="53">
                  <c:v>0.50983999999999996</c:v>
                </c:pt>
                <c:pt idx="54">
                  <c:v>0.50953000000000004</c:v>
                </c:pt>
                <c:pt idx="55">
                  <c:v>0.50934999999999997</c:v>
                </c:pt>
                <c:pt idx="56">
                  <c:v>0.51270000000000004</c:v>
                </c:pt>
                <c:pt idx="57">
                  <c:v>0.51495999999999997</c:v>
                </c:pt>
                <c:pt idx="58">
                  <c:v>0.51193999999999995</c:v>
                </c:pt>
                <c:pt idx="59">
                  <c:v>0.51093999999999995</c:v>
                </c:pt>
                <c:pt idx="60">
                  <c:v>0.51107000000000002</c:v>
                </c:pt>
                <c:pt idx="61">
                  <c:v>0.50985000000000003</c:v>
                </c:pt>
                <c:pt idx="62">
                  <c:v>0.50758000000000003</c:v>
                </c:pt>
                <c:pt idx="63">
                  <c:v>0.50200999999999996</c:v>
                </c:pt>
                <c:pt idx="64">
                  <c:v>0.49936999999999998</c:v>
                </c:pt>
                <c:pt idx="65">
                  <c:v>0.50129999999999997</c:v>
                </c:pt>
                <c:pt idx="66">
                  <c:v>0.50444</c:v>
                </c:pt>
                <c:pt idx="67">
                  <c:v>0.51390000000000002</c:v>
                </c:pt>
                <c:pt idx="68">
                  <c:v>0.51820999999999995</c:v>
                </c:pt>
                <c:pt idx="69">
                  <c:v>0.52734999999999999</c:v>
                </c:pt>
                <c:pt idx="70">
                  <c:v>0.53454999999999997</c:v>
                </c:pt>
                <c:pt idx="71">
                  <c:v>0.54174999999999995</c:v>
                </c:pt>
                <c:pt idx="72">
                  <c:v>0.54893000000000003</c:v>
                </c:pt>
                <c:pt idx="73">
                  <c:v>0.55608000000000002</c:v>
                </c:pt>
                <c:pt idx="74">
                  <c:v>0.56322000000000005</c:v>
                </c:pt>
                <c:pt idx="75">
                  <c:v>0.57032000000000005</c:v>
                </c:pt>
                <c:pt idx="76">
                  <c:v>0.57740000000000002</c:v>
                </c:pt>
                <c:pt idx="77">
                  <c:v>0.58445000000000003</c:v>
                </c:pt>
                <c:pt idx="78">
                  <c:v>0.59145999999999999</c:v>
                </c:pt>
                <c:pt idx="79">
                  <c:v>0.59843999999999997</c:v>
                </c:pt>
                <c:pt idx="80">
                  <c:v>0.60536999999999996</c:v>
                </c:pt>
                <c:pt idx="81">
                  <c:v>0.61226999999999998</c:v>
                </c:pt>
                <c:pt idx="82">
                  <c:v>0.61911000000000005</c:v>
                </c:pt>
                <c:pt idx="83">
                  <c:v>0.62592000000000003</c:v>
                </c:pt>
                <c:pt idx="84">
                  <c:v>0.63266999999999995</c:v>
                </c:pt>
                <c:pt idx="85">
                  <c:v>0.63266999999999995</c:v>
                </c:pt>
                <c:pt idx="86">
                  <c:v>0.63266999999999995</c:v>
                </c:pt>
                <c:pt idx="87">
                  <c:v>0.63266999999999995</c:v>
                </c:pt>
                <c:pt idx="88">
                  <c:v>0.63266999999999995</c:v>
                </c:pt>
                <c:pt idx="89">
                  <c:v>0.63266999999999995</c:v>
                </c:pt>
                <c:pt idx="90">
                  <c:v>0.63266999999999995</c:v>
                </c:pt>
                <c:pt idx="91">
                  <c:v>0.63266999999999995</c:v>
                </c:pt>
                <c:pt idx="92">
                  <c:v>0.63266999999999995</c:v>
                </c:pt>
                <c:pt idx="93">
                  <c:v>0.63266999999999995</c:v>
                </c:pt>
                <c:pt idx="94">
                  <c:v>0.63266999999999995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3FE4-445B-8EEB-D88489EA6296}"/>
            </c:ext>
          </c:extLst>
        </c:ser>
        <c:ser>
          <c:idx val="26"/>
          <c:order val="2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'99set'!$AB$10:$AB$104</c:f>
              <c:numCache>
                <c:formatCode>0.00000</c:formatCode>
                <c:ptCount val="95"/>
                <c:pt idx="0">
                  <c:v>0.16880000000000001</c:v>
                </c:pt>
                <c:pt idx="1">
                  <c:v>0.16880000000000001</c:v>
                </c:pt>
                <c:pt idx="2">
                  <c:v>0.16880000000000001</c:v>
                </c:pt>
                <c:pt idx="3">
                  <c:v>0.16880000000000001</c:v>
                </c:pt>
                <c:pt idx="4">
                  <c:v>0.16880000000000001</c:v>
                </c:pt>
                <c:pt idx="5">
                  <c:v>0.16880000000000001</c:v>
                </c:pt>
                <c:pt idx="6">
                  <c:v>0.16880000000000001</c:v>
                </c:pt>
                <c:pt idx="7">
                  <c:v>0.16880000000000001</c:v>
                </c:pt>
                <c:pt idx="8">
                  <c:v>0.16880000000000001</c:v>
                </c:pt>
                <c:pt idx="9">
                  <c:v>0.16558</c:v>
                </c:pt>
                <c:pt idx="10">
                  <c:v>0.16159999999999999</c:v>
                </c:pt>
                <c:pt idx="11">
                  <c:v>0.159</c:v>
                </c:pt>
                <c:pt idx="12">
                  <c:v>0.15809999999999999</c:v>
                </c:pt>
                <c:pt idx="13">
                  <c:v>0.15881000000000001</c:v>
                </c:pt>
                <c:pt idx="14">
                  <c:v>0.1613</c:v>
                </c:pt>
                <c:pt idx="15">
                  <c:v>0.16571</c:v>
                </c:pt>
                <c:pt idx="16">
                  <c:v>0.17169999999999999</c:v>
                </c:pt>
                <c:pt idx="17">
                  <c:v>0.17895</c:v>
                </c:pt>
                <c:pt idx="18">
                  <c:v>0.18759999999999999</c:v>
                </c:pt>
                <c:pt idx="19">
                  <c:v>0.19777</c:v>
                </c:pt>
                <c:pt idx="20">
                  <c:v>0.20899999999999999</c:v>
                </c:pt>
                <c:pt idx="21">
                  <c:v>0.22112000000000001</c:v>
                </c:pt>
                <c:pt idx="22">
                  <c:v>0.2356</c:v>
                </c:pt>
                <c:pt idx="23">
                  <c:v>0.25362000000000001</c:v>
                </c:pt>
                <c:pt idx="24">
                  <c:v>0.27339999999999998</c:v>
                </c:pt>
                <c:pt idx="25">
                  <c:v>0.29329</c:v>
                </c:pt>
                <c:pt idx="26">
                  <c:v>0.315</c:v>
                </c:pt>
                <c:pt idx="27">
                  <c:v>0.34048</c:v>
                </c:pt>
                <c:pt idx="28">
                  <c:v>0.36919999999999997</c:v>
                </c:pt>
                <c:pt idx="29">
                  <c:v>0.40017000000000003</c:v>
                </c:pt>
                <c:pt idx="30">
                  <c:v>0.43290000000000001</c:v>
                </c:pt>
                <c:pt idx="31">
                  <c:v>0.46716999999999997</c:v>
                </c:pt>
                <c:pt idx="32">
                  <c:v>0.50319999999999998</c:v>
                </c:pt>
                <c:pt idx="33">
                  <c:v>0.54088000000000003</c:v>
                </c:pt>
                <c:pt idx="34">
                  <c:v>0.57840000000000003</c:v>
                </c:pt>
                <c:pt idx="35">
                  <c:v>0.61399999999999999</c:v>
                </c:pt>
                <c:pt idx="36">
                  <c:v>0.64770000000000005</c:v>
                </c:pt>
                <c:pt idx="37">
                  <c:v>0.67979000000000001</c:v>
                </c:pt>
                <c:pt idx="38">
                  <c:v>0.7097</c:v>
                </c:pt>
                <c:pt idx="39">
                  <c:v>0.73677000000000004</c:v>
                </c:pt>
                <c:pt idx="40">
                  <c:v>0.76070000000000004</c:v>
                </c:pt>
                <c:pt idx="41">
                  <c:v>0.78141000000000005</c:v>
                </c:pt>
                <c:pt idx="42">
                  <c:v>0.7994</c:v>
                </c:pt>
                <c:pt idx="43">
                  <c:v>0.81523000000000001</c:v>
                </c:pt>
                <c:pt idx="44">
                  <c:v>0.82920000000000005</c:v>
                </c:pt>
                <c:pt idx="45">
                  <c:v>0.84155000000000002</c:v>
                </c:pt>
                <c:pt idx="46">
                  <c:v>0.85240000000000005</c:v>
                </c:pt>
                <c:pt idx="47">
                  <c:v>0.86185</c:v>
                </c:pt>
                <c:pt idx="48">
                  <c:v>0.86990000000000001</c:v>
                </c:pt>
                <c:pt idx="49">
                  <c:v>0.87658999999999998</c:v>
                </c:pt>
                <c:pt idx="50">
                  <c:v>0.88229999999999997</c:v>
                </c:pt>
                <c:pt idx="51">
                  <c:v>0.88734999999999997</c:v>
                </c:pt>
                <c:pt idx="52">
                  <c:v>0.89159999999999995</c:v>
                </c:pt>
                <c:pt idx="53">
                  <c:v>0.89487000000000005</c:v>
                </c:pt>
                <c:pt idx="54">
                  <c:v>0.89739999999999998</c:v>
                </c:pt>
                <c:pt idx="55">
                  <c:v>0.89946000000000004</c:v>
                </c:pt>
                <c:pt idx="56">
                  <c:v>0.90110000000000001</c:v>
                </c:pt>
                <c:pt idx="57">
                  <c:v>0.90232000000000001</c:v>
                </c:pt>
                <c:pt idx="58">
                  <c:v>0.90329999999999999</c:v>
                </c:pt>
                <c:pt idx="59">
                  <c:v>0.90419000000000005</c:v>
                </c:pt>
                <c:pt idx="60">
                  <c:v>0.90500000000000003</c:v>
                </c:pt>
                <c:pt idx="61">
                  <c:v>0.90569999999999995</c:v>
                </c:pt>
                <c:pt idx="62">
                  <c:v>0.90629999999999999</c:v>
                </c:pt>
                <c:pt idx="63">
                  <c:v>0.90680000000000005</c:v>
                </c:pt>
                <c:pt idx="64">
                  <c:v>0.90720000000000001</c:v>
                </c:pt>
                <c:pt idx="65">
                  <c:v>0.90751999999999999</c:v>
                </c:pt>
                <c:pt idx="66">
                  <c:v>0.90790000000000004</c:v>
                </c:pt>
                <c:pt idx="67">
                  <c:v>0.90839999999999999</c:v>
                </c:pt>
                <c:pt idx="68">
                  <c:v>0.90880000000000005</c:v>
                </c:pt>
                <c:pt idx="69">
                  <c:v>0.90888000000000002</c:v>
                </c:pt>
                <c:pt idx="70">
                  <c:v>0.90880000000000005</c:v>
                </c:pt>
                <c:pt idx="71">
                  <c:v>0.90880000000000005</c:v>
                </c:pt>
                <c:pt idx="72">
                  <c:v>0.90880000000000005</c:v>
                </c:pt>
                <c:pt idx="73">
                  <c:v>0.90880000000000005</c:v>
                </c:pt>
                <c:pt idx="74">
                  <c:v>0.90880000000000005</c:v>
                </c:pt>
                <c:pt idx="75">
                  <c:v>0.90880000000000005</c:v>
                </c:pt>
                <c:pt idx="76">
                  <c:v>0.90880000000000005</c:v>
                </c:pt>
                <c:pt idx="77">
                  <c:v>0.90880000000000005</c:v>
                </c:pt>
                <c:pt idx="78">
                  <c:v>0.90880000000000005</c:v>
                </c:pt>
                <c:pt idx="79">
                  <c:v>0.90880000000000005</c:v>
                </c:pt>
                <c:pt idx="80">
                  <c:v>0.90880000000000005</c:v>
                </c:pt>
                <c:pt idx="81">
                  <c:v>0.90880000000000005</c:v>
                </c:pt>
                <c:pt idx="82">
                  <c:v>0.90880000000000005</c:v>
                </c:pt>
                <c:pt idx="83">
                  <c:v>0.90880000000000005</c:v>
                </c:pt>
                <c:pt idx="84">
                  <c:v>0.90880000000000005</c:v>
                </c:pt>
                <c:pt idx="85">
                  <c:v>0.90880000000000005</c:v>
                </c:pt>
                <c:pt idx="86">
                  <c:v>0.90880000000000005</c:v>
                </c:pt>
                <c:pt idx="87">
                  <c:v>0.90880000000000005</c:v>
                </c:pt>
                <c:pt idx="88">
                  <c:v>0.90880000000000005</c:v>
                </c:pt>
                <c:pt idx="89">
                  <c:v>0.90880000000000005</c:v>
                </c:pt>
                <c:pt idx="90">
                  <c:v>0.90880000000000005</c:v>
                </c:pt>
                <c:pt idx="91">
                  <c:v>0.90880000000000005</c:v>
                </c:pt>
                <c:pt idx="92">
                  <c:v>0.90880000000000005</c:v>
                </c:pt>
                <c:pt idx="93">
                  <c:v>0.90880000000000005</c:v>
                </c:pt>
                <c:pt idx="94">
                  <c:v>0.90880000000000005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3FE4-445B-8EEB-D88489EA6296}"/>
            </c:ext>
          </c:extLst>
        </c:ser>
        <c:ser>
          <c:idx val="27"/>
          <c:order val="2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'99set'!$AC$10:$AC$104</c:f>
              <c:numCache>
                <c:formatCode>0.00000</c:formatCode>
                <c:ptCount val="95"/>
                <c:pt idx="0">
                  <c:v>6.4619999999999997E-2</c:v>
                </c:pt>
                <c:pt idx="1">
                  <c:v>6.4619999999999997E-2</c:v>
                </c:pt>
                <c:pt idx="2">
                  <c:v>6.4619999999999997E-2</c:v>
                </c:pt>
                <c:pt idx="3">
                  <c:v>6.4619999999999997E-2</c:v>
                </c:pt>
                <c:pt idx="4">
                  <c:v>6.4619999999999997E-2</c:v>
                </c:pt>
                <c:pt idx="5">
                  <c:v>6.5000000000000002E-2</c:v>
                </c:pt>
                <c:pt idx="6">
                  <c:v>6.6199999999999995E-2</c:v>
                </c:pt>
                <c:pt idx="7">
                  <c:v>6.7580000000000001E-2</c:v>
                </c:pt>
                <c:pt idx="8">
                  <c:v>6.8390000000000006E-2</c:v>
                </c:pt>
                <c:pt idx="9">
                  <c:v>7.1849999999999997E-2</c:v>
                </c:pt>
                <c:pt idx="10">
                  <c:v>8.1170000000000006E-2</c:v>
                </c:pt>
                <c:pt idx="11">
                  <c:v>9.3890000000000001E-2</c:v>
                </c:pt>
                <c:pt idx="12">
                  <c:v>0.11434</c:v>
                </c:pt>
                <c:pt idx="13">
                  <c:v>0.14548</c:v>
                </c:pt>
                <c:pt idx="14">
                  <c:v>0.17979999999999999</c:v>
                </c:pt>
                <c:pt idx="15">
                  <c:v>0.20757999999999999</c:v>
                </c:pt>
                <c:pt idx="16">
                  <c:v>0.22586999999999999</c:v>
                </c:pt>
                <c:pt idx="17">
                  <c:v>0.24071999999999999</c:v>
                </c:pt>
                <c:pt idx="18">
                  <c:v>0.25485999999999998</c:v>
                </c:pt>
                <c:pt idx="19">
                  <c:v>0.26272000000000001</c:v>
                </c:pt>
                <c:pt idx="20">
                  <c:v>0.26805000000000001</c:v>
                </c:pt>
                <c:pt idx="21">
                  <c:v>0.27811999999999998</c:v>
                </c:pt>
                <c:pt idx="22">
                  <c:v>0.28681000000000001</c:v>
                </c:pt>
                <c:pt idx="23">
                  <c:v>0.29048000000000002</c:v>
                </c:pt>
                <c:pt idx="24">
                  <c:v>0.29199999999999998</c:v>
                </c:pt>
                <c:pt idx="25">
                  <c:v>0.29515999999999998</c:v>
                </c:pt>
                <c:pt idx="26">
                  <c:v>0.30287999999999998</c:v>
                </c:pt>
                <c:pt idx="27">
                  <c:v>0.31468000000000002</c:v>
                </c:pt>
                <c:pt idx="28">
                  <c:v>0.32906999999999997</c:v>
                </c:pt>
                <c:pt idx="29">
                  <c:v>0.34462999999999999</c:v>
                </c:pt>
                <c:pt idx="30">
                  <c:v>0.35691000000000001</c:v>
                </c:pt>
                <c:pt idx="31">
                  <c:v>0.36974000000000001</c:v>
                </c:pt>
                <c:pt idx="32">
                  <c:v>0.38422000000000001</c:v>
                </c:pt>
                <c:pt idx="33">
                  <c:v>0.39685999999999999</c:v>
                </c:pt>
                <c:pt idx="34">
                  <c:v>0.40592</c:v>
                </c:pt>
                <c:pt idx="35">
                  <c:v>0.41044999999999998</c:v>
                </c:pt>
                <c:pt idx="36">
                  <c:v>0.41237000000000001</c:v>
                </c:pt>
                <c:pt idx="37">
                  <c:v>0.41646</c:v>
                </c:pt>
                <c:pt idx="38">
                  <c:v>0.42207</c:v>
                </c:pt>
                <c:pt idx="39">
                  <c:v>0.42657</c:v>
                </c:pt>
                <c:pt idx="40">
                  <c:v>0.42941000000000001</c:v>
                </c:pt>
                <c:pt idx="41">
                  <c:v>0.43090000000000001</c:v>
                </c:pt>
                <c:pt idx="42">
                  <c:v>0.43186000000000002</c:v>
                </c:pt>
                <c:pt idx="43">
                  <c:v>0.43417</c:v>
                </c:pt>
                <c:pt idx="44">
                  <c:v>0.43798999999999999</c:v>
                </c:pt>
                <c:pt idx="45">
                  <c:v>0.44134000000000001</c:v>
                </c:pt>
                <c:pt idx="46">
                  <c:v>0.44275999999999999</c:v>
                </c:pt>
                <c:pt idx="47">
                  <c:v>0.44409999999999999</c:v>
                </c:pt>
                <c:pt idx="48">
                  <c:v>0.44574000000000003</c:v>
                </c:pt>
                <c:pt idx="49">
                  <c:v>0.44656000000000001</c:v>
                </c:pt>
                <c:pt idx="50">
                  <c:v>0.44617000000000001</c:v>
                </c:pt>
                <c:pt idx="51">
                  <c:v>0.44794</c:v>
                </c:pt>
                <c:pt idx="52">
                  <c:v>0.44908999999999999</c:v>
                </c:pt>
                <c:pt idx="53">
                  <c:v>0.44918999999999998</c:v>
                </c:pt>
                <c:pt idx="54">
                  <c:v>0.45155000000000001</c:v>
                </c:pt>
                <c:pt idx="55">
                  <c:v>0.45456000000000002</c:v>
                </c:pt>
                <c:pt idx="56">
                  <c:v>0.45680999999999999</c:v>
                </c:pt>
                <c:pt idx="57">
                  <c:v>0.45528000000000002</c:v>
                </c:pt>
                <c:pt idx="58">
                  <c:v>0.45002999999999999</c:v>
                </c:pt>
                <c:pt idx="59">
                  <c:v>0.44666</c:v>
                </c:pt>
                <c:pt idx="60">
                  <c:v>0.44579000000000002</c:v>
                </c:pt>
                <c:pt idx="61">
                  <c:v>0.44445000000000001</c:v>
                </c:pt>
                <c:pt idx="62">
                  <c:v>0.44429999999999997</c:v>
                </c:pt>
                <c:pt idx="63">
                  <c:v>0.44272</c:v>
                </c:pt>
                <c:pt idx="64">
                  <c:v>0.44241999999999998</c:v>
                </c:pt>
                <c:pt idx="65">
                  <c:v>0.44703999999999999</c:v>
                </c:pt>
                <c:pt idx="66">
                  <c:v>0.45357999999999998</c:v>
                </c:pt>
                <c:pt idx="67">
                  <c:v>0.46121000000000001</c:v>
                </c:pt>
                <c:pt idx="68">
                  <c:v>0.46356999999999998</c:v>
                </c:pt>
                <c:pt idx="69">
                  <c:v>0.47205000000000003</c:v>
                </c:pt>
                <c:pt idx="70">
                  <c:v>0.47815999999999997</c:v>
                </c:pt>
                <c:pt idx="71">
                  <c:v>0.48429</c:v>
                </c:pt>
                <c:pt idx="72">
                  <c:v>0.49042000000000002</c:v>
                </c:pt>
                <c:pt idx="73">
                  <c:v>0.49654999999999999</c:v>
                </c:pt>
                <c:pt idx="74">
                  <c:v>0.50268000000000002</c:v>
                </c:pt>
                <c:pt idx="75">
                  <c:v>0.50880999999999998</c:v>
                </c:pt>
                <c:pt idx="76">
                  <c:v>0.51493999999999995</c:v>
                </c:pt>
                <c:pt idx="77">
                  <c:v>0.52105999999999997</c:v>
                </c:pt>
                <c:pt idx="78">
                  <c:v>0.52717999999999998</c:v>
                </c:pt>
                <c:pt idx="79">
                  <c:v>0.53329000000000004</c:v>
                </c:pt>
                <c:pt idx="80">
                  <c:v>0.53939000000000004</c:v>
                </c:pt>
                <c:pt idx="81">
                  <c:v>0.54547999999999996</c:v>
                </c:pt>
                <c:pt idx="82">
                  <c:v>0.55154999999999998</c:v>
                </c:pt>
                <c:pt idx="83">
                  <c:v>0.55761000000000005</c:v>
                </c:pt>
                <c:pt idx="84">
                  <c:v>0.56364999999999998</c:v>
                </c:pt>
                <c:pt idx="85">
                  <c:v>0.56364999999999998</c:v>
                </c:pt>
                <c:pt idx="86">
                  <c:v>0.56364999999999998</c:v>
                </c:pt>
                <c:pt idx="87">
                  <c:v>0.56364999999999998</c:v>
                </c:pt>
                <c:pt idx="88">
                  <c:v>0.56364999999999998</c:v>
                </c:pt>
                <c:pt idx="89">
                  <c:v>0.56364999999999998</c:v>
                </c:pt>
                <c:pt idx="90">
                  <c:v>0.56364999999999998</c:v>
                </c:pt>
                <c:pt idx="91">
                  <c:v>0.56364999999999998</c:v>
                </c:pt>
                <c:pt idx="92">
                  <c:v>0.56364999999999998</c:v>
                </c:pt>
                <c:pt idx="93">
                  <c:v>0.56364999999999998</c:v>
                </c:pt>
                <c:pt idx="94">
                  <c:v>0.56364999999999998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3FE4-445B-8EEB-D88489EA6296}"/>
            </c:ext>
          </c:extLst>
        </c:ser>
        <c:ser>
          <c:idx val="28"/>
          <c:order val="2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'99set'!$AD$10:$AD$104</c:f>
              <c:numCache>
                <c:formatCode>0.00000</c:formatCode>
                <c:ptCount val="95"/>
                <c:pt idx="0">
                  <c:v>4.58E-2</c:v>
                </c:pt>
                <c:pt idx="1">
                  <c:v>4.58E-2</c:v>
                </c:pt>
                <c:pt idx="2">
                  <c:v>4.58E-2</c:v>
                </c:pt>
                <c:pt idx="3">
                  <c:v>4.58E-2</c:v>
                </c:pt>
                <c:pt idx="4">
                  <c:v>4.58E-2</c:v>
                </c:pt>
                <c:pt idx="5">
                  <c:v>4.4889999999999999E-2</c:v>
                </c:pt>
                <c:pt idx="6">
                  <c:v>4.394E-2</c:v>
                </c:pt>
                <c:pt idx="7">
                  <c:v>4.317E-2</c:v>
                </c:pt>
                <c:pt idx="8">
                  <c:v>4.4670000000000001E-2</c:v>
                </c:pt>
                <c:pt idx="9">
                  <c:v>4.65E-2</c:v>
                </c:pt>
                <c:pt idx="10">
                  <c:v>4.793E-2</c:v>
                </c:pt>
                <c:pt idx="11">
                  <c:v>4.6989999999999997E-2</c:v>
                </c:pt>
                <c:pt idx="12">
                  <c:v>4.6210000000000001E-2</c:v>
                </c:pt>
                <c:pt idx="13">
                  <c:v>4.3999999999999997E-2</c:v>
                </c:pt>
                <c:pt idx="14">
                  <c:v>4.4560000000000002E-2</c:v>
                </c:pt>
                <c:pt idx="15">
                  <c:v>4.6530000000000002E-2</c:v>
                </c:pt>
                <c:pt idx="16">
                  <c:v>4.7109999999999999E-2</c:v>
                </c:pt>
                <c:pt idx="17">
                  <c:v>4.7940000000000003E-2</c:v>
                </c:pt>
                <c:pt idx="18">
                  <c:v>4.8009999999999997E-2</c:v>
                </c:pt>
                <c:pt idx="19">
                  <c:v>4.5370000000000001E-2</c:v>
                </c:pt>
                <c:pt idx="20">
                  <c:v>4.5560000000000003E-2</c:v>
                </c:pt>
                <c:pt idx="21">
                  <c:v>4.5740000000000003E-2</c:v>
                </c:pt>
                <c:pt idx="22">
                  <c:v>4.7039999999999998E-2</c:v>
                </c:pt>
                <c:pt idx="23">
                  <c:v>4.8890000000000003E-2</c:v>
                </c:pt>
                <c:pt idx="24">
                  <c:v>4.999E-2</c:v>
                </c:pt>
                <c:pt idx="25">
                  <c:v>5.1130000000000002E-2</c:v>
                </c:pt>
                <c:pt idx="26">
                  <c:v>5.1839999999999997E-2</c:v>
                </c:pt>
                <c:pt idx="27">
                  <c:v>5.2659999999999998E-2</c:v>
                </c:pt>
                <c:pt idx="28">
                  <c:v>5.7799999999999997E-2</c:v>
                </c:pt>
                <c:pt idx="29">
                  <c:v>6.583E-2</c:v>
                </c:pt>
                <c:pt idx="30">
                  <c:v>7.9229999999999995E-2</c:v>
                </c:pt>
                <c:pt idx="31">
                  <c:v>9.3160000000000007E-2</c:v>
                </c:pt>
                <c:pt idx="32">
                  <c:v>0.10443</c:v>
                </c:pt>
                <c:pt idx="33">
                  <c:v>0.11237</c:v>
                </c:pt>
                <c:pt idx="34">
                  <c:v>0.11717</c:v>
                </c:pt>
                <c:pt idx="35">
                  <c:v>0.11799</c:v>
                </c:pt>
                <c:pt idx="36">
                  <c:v>0.11842999999999999</c:v>
                </c:pt>
                <c:pt idx="37">
                  <c:v>0.11869</c:v>
                </c:pt>
                <c:pt idx="38">
                  <c:v>0.11877</c:v>
                </c:pt>
                <c:pt idx="39">
                  <c:v>0.1174</c:v>
                </c:pt>
                <c:pt idx="40">
                  <c:v>0.11502999999999999</c:v>
                </c:pt>
                <c:pt idx="41">
                  <c:v>0.12031</c:v>
                </c:pt>
                <c:pt idx="42">
                  <c:v>0.12027</c:v>
                </c:pt>
                <c:pt idx="43">
                  <c:v>0.12087000000000001</c:v>
                </c:pt>
                <c:pt idx="44">
                  <c:v>0.12009</c:v>
                </c:pt>
                <c:pt idx="45">
                  <c:v>0.12214</c:v>
                </c:pt>
                <c:pt idx="46">
                  <c:v>0.12237000000000001</c:v>
                </c:pt>
                <c:pt idx="47">
                  <c:v>0.12116</c:v>
                </c:pt>
                <c:pt idx="48">
                  <c:v>0.11951000000000001</c:v>
                </c:pt>
                <c:pt idx="49">
                  <c:v>0.11896</c:v>
                </c:pt>
                <c:pt idx="50">
                  <c:v>0.11864</c:v>
                </c:pt>
                <c:pt idx="51">
                  <c:v>0.11826</c:v>
                </c:pt>
                <c:pt idx="52">
                  <c:v>0.11813</c:v>
                </c:pt>
                <c:pt idx="53">
                  <c:v>0.11937</c:v>
                </c:pt>
                <c:pt idx="54">
                  <c:v>0.11881</c:v>
                </c:pt>
                <c:pt idx="55">
                  <c:v>0.11634</c:v>
                </c:pt>
                <c:pt idx="56">
                  <c:v>0.11620999999999999</c:v>
                </c:pt>
                <c:pt idx="57">
                  <c:v>0.11637</c:v>
                </c:pt>
                <c:pt idx="58">
                  <c:v>0.11656</c:v>
                </c:pt>
                <c:pt idx="59">
                  <c:v>0.11570999999999999</c:v>
                </c:pt>
                <c:pt idx="60">
                  <c:v>0.11537</c:v>
                </c:pt>
                <c:pt idx="61">
                  <c:v>0.11267000000000001</c:v>
                </c:pt>
                <c:pt idx="62">
                  <c:v>0.1142</c:v>
                </c:pt>
                <c:pt idx="63">
                  <c:v>0.11624</c:v>
                </c:pt>
                <c:pt idx="64">
                  <c:v>0.11636000000000001</c:v>
                </c:pt>
                <c:pt idx="65">
                  <c:v>0.1132</c:v>
                </c:pt>
                <c:pt idx="66">
                  <c:v>0.11456</c:v>
                </c:pt>
                <c:pt idx="67">
                  <c:v>0.11781</c:v>
                </c:pt>
                <c:pt idx="68">
                  <c:v>0.11627</c:v>
                </c:pt>
                <c:pt idx="69">
                  <c:v>0.11443</c:v>
                </c:pt>
                <c:pt idx="70">
                  <c:v>0.11559</c:v>
                </c:pt>
                <c:pt idx="71">
                  <c:v>0.11697</c:v>
                </c:pt>
                <c:pt idx="72">
                  <c:v>0.11711000000000001</c:v>
                </c:pt>
                <c:pt idx="73">
                  <c:v>0.11871</c:v>
                </c:pt>
                <c:pt idx="74">
                  <c:v>0.11978999999999999</c:v>
                </c:pt>
                <c:pt idx="75">
                  <c:v>0.11884</c:v>
                </c:pt>
                <c:pt idx="76">
                  <c:v>0.1178</c:v>
                </c:pt>
                <c:pt idx="77">
                  <c:v>0.11833</c:v>
                </c:pt>
                <c:pt idx="78">
                  <c:v>0.1188</c:v>
                </c:pt>
                <c:pt idx="79">
                  <c:v>0.11906</c:v>
                </c:pt>
                <c:pt idx="80">
                  <c:v>0.1203</c:v>
                </c:pt>
                <c:pt idx="81">
                  <c:v>0.12106</c:v>
                </c:pt>
                <c:pt idx="82">
                  <c:v>0.12099</c:v>
                </c:pt>
                <c:pt idx="83">
                  <c:v>0.1212</c:v>
                </c:pt>
                <c:pt idx="84">
                  <c:v>0.12123</c:v>
                </c:pt>
                <c:pt idx="85">
                  <c:v>0.12123</c:v>
                </c:pt>
                <c:pt idx="86">
                  <c:v>0.12123</c:v>
                </c:pt>
                <c:pt idx="87">
                  <c:v>0.12123</c:v>
                </c:pt>
                <c:pt idx="88">
                  <c:v>0.12123</c:v>
                </c:pt>
                <c:pt idx="89">
                  <c:v>0.12123</c:v>
                </c:pt>
                <c:pt idx="90">
                  <c:v>0.12123</c:v>
                </c:pt>
                <c:pt idx="91">
                  <c:v>0.12123</c:v>
                </c:pt>
                <c:pt idx="92">
                  <c:v>0.12123</c:v>
                </c:pt>
                <c:pt idx="93">
                  <c:v>0.12123</c:v>
                </c:pt>
                <c:pt idx="94">
                  <c:v>0.12123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3FE4-445B-8EEB-D88489EA6296}"/>
            </c:ext>
          </c:extLst>
        </c:ser>
        <c:ser>
          <c:idx val="29"/>
          <c:order val="2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'99set'!$AE$10:$AE$104</c:f>
              <c:numCache>
                <c:formatCode>0.00000</c:formatCode>
                <c:ptCount val="95"/>
                <c:pt idx="0">
                  <c:v>3.9809999999999998E-2</c:v>
                </c:pt>
                <c:pt idx="1">
                  <c:v>3.9809999999999998E-2</c:v>
                </c:pt>
                <c:pt idx="2">
                  <c:v>3.9809999999999998E-2</c:v>
                </c:pt>
                <c:pt idx="3">
                  <c:v>3.9809999999999998E-2</c:v>
                </c:pt>
                <c:pt idx="4">
                  <c:v>3.9809999999999998E-2</c:v>
                </c:pt>
                <c:pt idx="5">
                  <c:v>4.1549999999999997E-2</c:v>
                </c:pt>
                <c:pt idx="6">
                  <c:v>4.3360000000000003E-2</c:v>
                </c:pt>
                <c:pt idx="7">
                  <c:v>4.5249999999999999E-2</c:v>
                </c:pt>
                <c:pt idx="8">
                  <c:v>4.7980000000000002E-2</c:v>
                </c:pt>
                <c:pt idx="9">
                  <c:v>4.8869999999999997E-2</c:v>
                </c:pt>
                <c:pt idx="10">
                  <c:v>5.1150000000000001E-2</c:v>
                </c:pt>
                <c:pt idx="11">
                  <c:v>5.4780000000000002E-2</c:v>
                </c:pt>
                <c:pt idx="12">
                  <c:v>5.9720000000000002E-2</c:v>
                </c:pt>
                <c:pt idx="13">
                  <c:v>6.6110000000000002E-2</c:v>
                </c:pt>
                <c:pt idx="14">
                  <c:v>7.4829999999999994E-2</c:v>
                </c:pt>
                <c:pt idx="15">
                  <c:v>8.6830000000000004E-2</c:v>
                </c:pt>
                <c:pt idx="16">
                  <c:v>0.1027</c:v>
                </c:pt>
                <c:pt idx="17">
                  <c:v>0.12281</c:v>
                </c:pt>
                <c:pt idx="18">
                  <c:v>0.14710999999999999</c:v>
                </c:pt>
                <c:pt idx="19">
                  <c:v>0.17523</c:v>
                </c:pt>
                <c:pt idx="20">
                  <c:v>0.20610999999999999</c:v>
                </c:pt>
                <c:pt idx="21">
                  <c:v>0.23841999999999999</c:v>
                </c:pt>
                <c:pt idx="22">
                  <c:v>0.27043</c:v>
                </c:pt>
                <c:pt idx="23">
                  <c:v>0.30065999999999998</c:v>
                </c:pt>
                <c:pt idx="24">
                  <c:v>0.32891999999999999</c:v>
                </c:pt>
                <c:pt idx="25">
                  <c:v>0.35532999999999998</c:v>
                </c:pt>
                <c:pt idx="26">
                  <c:v>0.37996999999999997</c:v>
                </c:pt>
                <c:pt idx="27">
                  <c:v>0.40328000000000003</c:v>
                </c:pt>
                <c:pt idx="28">
                  <c:v>0.42723</c:v>
                </c:pt>
                <c:pt idx="29">
                  <c:v>0.45368999999999998</c:v>
                </c:pt>
                <c:pt idx="30">
                  <c:v>0.48276999999999998</c:v>
                </c:pt>
                <c:pt idx="31">
                  <c:v>0.51378000000000001</c:v>
                </c:pt>
                <c:pt idx="32">
                  <c:v>0.54473000000000005</c:v>
                </c:pt>
                <c:pt idx="33">
                  <c:v>0.57367000000000001</c:v>
                </c:pt>
                <c:pt idx="34">
                  <c:v>0.60006000000000004</c:v>
                </c:pt>
                <c:pt idx="35">
                  <c:v>0.62365000000000004</c:v>
                </c:pt>
                <c:pt idx="36">
                  <c:v>0.64365000000000006</c:v>
                </c:pt>
                <c:pt idx="37">
                  <c:v>0.65956000000000004</c:v>
                </c:pt>
                <c:pt idx="38">
                  <c:v>0.67223999999999995</c:v>
                </c:pt>
                <c:pt idx="39">
                  <c:v>0.68279999999999996</c:v>
                </c:pt>
                <c:pt idx="40">
                  <c:v>0.69184000000000001</c:v>
                </c:pt>
                <c:pt idx="41">
                  <c:v>0.69974999999999998</c:v>
                </c:pt>
                <c:pt idx="42">
                  <c:v>0.70674000000000003</c:v>
                </c:pt>
                <c:pt idx="43">
                  <c:v>0.71304999999999996</c:v>
                </c:pt>
                <c:pt idx="44">
                  <c:v>0.71909999999999996</c:v>
                </c:pt>
                <c:pt idx="45">
                  <c:v>0.72521000000000002</c:v>
                </c:pt>
                <c:pt idx="46">
                  <c:v>0.73114000000000001</c:v>
                </c:pt>
                <c:pt idx="47">
                  <c:v>0.73663000000000001</c:v>
                </c:pt>
                <c:pt idx="48">
                  <c:v>0.74195999999999995</c:v>
                </c:pt>
                <c:pt idx="49">
                  <c:v>0.74751000000000001</c:v>
                </c:pt>
                <c:pt idx="50">
                  <c:v>0.75349999999999995</c:v>
                </c:pt>
                <c:pt idx="51">
                  <c:v>0.75999000000000005</c:v>
                </c:pt>
                <c:pt idx="52">
                  <c:v>0.76666999999999996</c:v>
                </c:pt>
                <c:pt idx="53">
                  <c:v>0.77307999999999999</c:v>
                </c:pt>
                <c:pt idx="54">
                  <c:v>0.77881999999999996</c:v>
                </c:pt>
                <c:pt idx="55">
                  <c:v>0.78351000000000004</c:v>
                </c:pt>
                <c:pt idx="56">
                  <c:v>0.78708999999999996</c:v>
                </c:pt>
                <c:pt idx="57">
                  <c:v>0.78961999999999999</c:v>
                </c:pt>
                <c:pt idx="58">
                  <c:v>0.79147999999999996</c:v>
                </c:pt>
                <c:pt idx="59">
                  <c:v>0.79320999999999997</c:v>
                </c:pt>
                <c:pt idx="60">
                  <c:v>0.79596999999999996</c:v>
                </c:pt>
                <c:pt idx="61">
                  <c:v>0.80059999999999998</c:v>
                </c:pt>
                <c:pt idx="62">
                  <c:v>0.80637999999999999</c:v>
                </c:pt>
                <c:pt idx="63">
                  <c:v>0.81235999999999997</c:v>
                </c:pt>
                <c:pt idx="64">
                  <c:v>0.81832000000000005</c:v>
                </c:pt>
                <c:pt idx="65">
                  <c:v>0.82418999999999998</c:v>
                </c:pt>
                <c:pt idx="66">
                  <c:v>0.82976000000000005</c:v>
                </c:pt>
                <c:pt idx="67">
                  <c:v>0.83482000000000001</c:v>
                </c:pt>
                <c:pt idx="68">
                  <c:v>0.83914999999999995</c:v>
                </c:pt>
                <c:pt idx="69">
                  <c:v>0.84423000000000004</c:v>
                </c:pt>
                <c:pt idx="70">
                  <c:v>0.84884999999999999</c:v>
                </c:pt>
                <c:pt idx="71">
                  <c:v>0.85335000000000005</c:v>
                </c:pt>
                <c:pt idx="72">
                  <c:v>0.85775000000000001</c:v>
                </c:pt>
                <c:pt idx="73">
                  <c:v>0.86202999999999996</c:v>
                </c:pt>
                <c:pt idx="74">
                  <c:v>0.86621000000000004</c:v>
                </c:pt>
                <c:pt idx="75">
                  <c:v>0.87028000000000005</c:v>
                </c:pt>
                <c:pt idx="76">
                  <c:v>0.87424000000000002</c:v>
                </c:pt>
                <c:pt idx="77">
                  <c:v>0.87809999999999999</c:v>
                </c:pt>
                <c:pt idx="78">
                  <c:v>0.88185000000000002</c:v>
                </c:pt>
                <c:pt idx="79">
                  <c:v>0.88551000000000002</c:v>
                </c:pt>
                <c:pt idx="80">
                  <c:v>0.88905999999999996</c:v>
                </c:pt>
                <c:pt idx="81">
                  <c:v>0.89251999999999998</c:v>
                </c:pt>
                <c:pt idx="82">
                  <c:v>0.89588999999999996</c:v>
                </c:pt>
                <c:pt idx="83">
                  <c:v>0.89915999999999996</c:v>
                </c:pt>
                <c:pt idx="84">
                  <c:v>0.90232999999999997</c:v>
                </c:pt>
                <c:pt idx="85">
                  <c:v>0.90232999999999997</c:v>
                </c:pt>
                <c:pt idx="86">
                  <c:v>0.90232999999999997</c:v>
                </c:pt>
                <c:pt idx="87">
                  <c:v>0.90232999999999997</c:v>
                </c:pt>
                <c:pt idx="88">
                  <c:v>0.90232999999999997</c:v>
                </c:pt>
                <c:pt idx="89">
                  <c:v>0.90232999999999997</c:v>
                </c:pt>
                <c:pt idx="90">
                  <c:v>0.90232999999999997</c:v>
                </c:pt>
                <c:pt idx="91">
                  <c:v>0.90232999999999997</c:v>
                </c:pt>
                <c:pt idx="92">
                  <c:v>0.90232999999999997</c:v>
                </c:pt>
                <c:pt idx="93">
                  <c:v>0.90232999999999997</c:v>
                </c:pt>
                <c:pt idx="94">
                  <c:v>0.90232999999999997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3FE4-445B-8EEB-D88489EA6296}"/>
            </c:ext>
          </c:extLst>
        </c:ser>
        <c:ser>
          <c:idx val="30"/>
          <c:order val="2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'99set'!$AF$10:$AF$104</c:f>
              <c:numCache>
                <c:formatCode>0.00000</c:formatCode>
                <c:ptCount val="95"/>
                <c:pt idx="0">
                  <c:v>3.0429999999999999E-2</c:v>
                </c:pt>
                <c:pt idx="1">
                  <c:v>3.0429999999999999E-2</c:v>
                </c:pt>
                <c:pt idx="2">
                  <c:v>3.0429999999999999E-2</c:v>
                </c:pt>
                <c:pt idx="3">
                  <c:v>3.0429999999999999E-2</c:v>
                </c:pt>
                <c:pt idx="4">
                  <c:v>3.0429999999999999E-2</c:v>
                </c:pt>
                <c:pt idx="5">
                  <c:v>3.1980000000000001E-2</c:v>
                </c:pt>
                <c:pt idx="6">
                  <c:v>3.1350000000000003E-2</c:v>
                </c:pt>
                <c:pt idx="7">
                  <c:v>2.9559999999999999E-2</c:v>
                </c:pt>
                <c:pt idx="8">
                  <c:v>2.7990000000000001E-2</c:v>
                </c:pt>
                <c:pt idx="9">
                  <c:v>2.9430000000000001E-2</c:v>
                </c:pt>
                <c:pt idx="10">
                  <c:v>3.159E-2</c:v>
                </c:pt>
                <c:pt idx="11">
                  <c:v>3.0540000000000001E-2</c:v>
                </c:pt>
                <c:pt idx="12">
                  <c:v>3.0679999999999999E-2</c:v>
                </c:pt>
                <c:pt idx="13">
                  <c:v>3.5099999999999999E-2</c:v>
                </c:pt>
                <c:pt idx="14">
                  <c:v>4.6179999999999999E-2</c:v>
                </c:pt>
                <c:pt idx="15">
                  <c:v>5.858E-2</c:v>
                </c:pt>
                <c:pt idx="16">
                  <c:v>7.3779999999999998E-2</c:v>
                </c:pt>
                <c:pt idx="17">
                  <c:v>9.7110000000000002E-2</c:v>
                </c:pt>
                <c:pt idx="18">
                  <c:v>0.12842999999999999</c:v>
                </c:pt>
                <c:pt idx="19">
                  <c:v>0.16070999999999999</c:v>
                </c:pt>
                <c:pt idx="20">
                  <c:v>0.18945000000000001</c:v>
                </c:pt>
                <c:pt idx="21">
                  <c:v>0.21301</c:v>
                </c:pt>
                <c:pt idx="22">
                  <c:v>0.23025000000000001</c:v>
                </c:pt>
                <c:pt idx="23">
                  <c:v>0.23860000000000001</c:v>
                </c:pt>
                <c:pt idx="24">
                  <c:v>0.24313000000000001</c:v>
                </c:pt>
                <c:pt idx="25">
                  <c:v>0.24970000000000001</c:v>
                </c:pt>
                <c:pt idx="26">
                  <c:v>0.25714999999999999</c:v>
                </c:pt>
                <c:pt idx="27">
                  <c:v>0.26432</c:v>
                </c:pt>
                <c:pt idx="28">
                  <c:v>0.27011000000000002</c:v>
                </c:pt>
                <c:pt idx="29">
                  <c:v>0.27155000000000001</c:v>
                </c:pt>
                <c:pt idx="30">
                  <c:v>0.27200000000000002</c:v>
                </c:pt>
                <c:pt idx="31">
                  <c:v>0.27353</c:v>
                </c:pt>
                <c:pt idx="32">
                  <c:v>0.27629999999999999</c:v>
                </c:pt>
                <c:pt idx="33">
                  <c:v>0.27818999999999999</c:v>
                </c:pt>
                <c:pt idx="34">
                  <c:v>0.27861999999999998</c:v>
                </c:pt>
                <c:pt idx="35">
                  <c:v>0.27889000000000003</c:v>
                </c:pt>
                <c:pt idx="36">
                  <c:v>0.27955000000000002</c:v>
                </c:pt>
                <c:pt idx="37">
                  <c:v>0.28172999999999998</c:v>
                </c:pt>
                <c:pt idx="38">
                  <c:v>0.28523999999999999</c:v>
                </c:pt>
                <c:pt idx="39">
                  <c:v>0.28832999999999998</c:v>
                </c:pt>
                <c:pt idx="40">
                  <c:v>0.29176999999999997</c:v>
                </c:pt>
                <c:pt idx="41">
                  <c:v>0.29664000000000001</c:v>
                </c:pt>
                <c:pt idx="42">
                  <c:v>0.30153999999999997</c:v>
                </c:pt>
                <c:pt idx="43">
                  <c:v>0.30507000000000001</c:v>
                </c:pt>
                <c:pt idx="44">
                  <c:v>0.30870999999999998</c:v>
                </c:pt>
                <c:pt idx="45">
                  <c:v>0.31340000000000001</c:v>
                </c:pt>
                <c:pt idx="46">
                  <c:v>0.31902999999999998</c:v>
                </c:pt>
                <c:pt idx="47">
                  <c:v>0.32508999999999999</c:v>
                </c:pt>
                <c:pt idx="48">
                  <c:v>0.32973999999999998</c:v>
                </c:pt>
                <c:pt idx="49">
                  <c:v>0.33388000000000001</c:v>
                </c:pt>
                <c:pt idx="50">
                  <c:v>0.33894000000000002</c:v>
                </c:pt>
                <c:pt idx="51">
                  <c:v>0.3422</c:v>
                </c:pt>
                <c:pt idx="52">
                  <c:v>0.34450999999999998</c:v>
                </c:pt>
                <c:pt idx="53">
                  <c:v>0.34660999999999997</c:v>
                </c:pt>
                <c:pt idx="54">
                  <c:v>0.34778999999999999</c:v>
                </c:pt>
                <c:pt idx="55">
                  <c:v>0.35039999999999999</c:v>
                </c:pt>
                <c:pt idx="56">
                  <c:v>0.35437999999999997</c:v>
                </c:pt>
                <c:pt idx="57">
                  <c:v>0.35485</c:v>
                </c:pt>
                <c:pt idx="58">
                  <c:v>0.35338000000000003</c:v>
                </c:pt>
                <c:pt idx="59">
                  <c:v>0.35403000000000001</c:v>
                </c:pt>
                <c:pt idx="60">
                  <c:v>0.35560999999999998</c:v>
                </c:pt>
                <c:pt idx="61">
                  <c:v>0.35852000000000001</c:v>
                </c:pt>
                <c:pt idx="62">
                  <c:v>0.35970999999999997</c:v>
                </c:pt>
                <c:pt idx="63">
                  <c:v>0.35738999999999999</c:v>
                </c:pt>
                <c:pt idx="64">
                  <c:v>0.35449000000000003</c:v>
                </c:pt>
                <c:pt idx="65">
                  <c:v>0.35372999999999999</c:v>
                </c:pt>
                <c:pt idx="66">
                  <c:v>0.35539999999999999</c:v>
                </c:pt>
                <c:pt idx="67">
                  <c:v>0.36075000000000002</c:v>
                </c:pt>
                <c:pt idx="68">
                  <c:v>0.36514000000000002</c:v>
                </c:pt>
                <c:pt idx="69">
                  <c:v>0.36958999999999997</c:v>
                </c:pt>
                <c:pt idx="70">
                  <c:v>0.37419000000000002</c:v>
                </c:pt>
                <c:pt idx="71">
                  <c:v>0.37881999999999999</c:v>
                </c:pt>
                <c:pt idx="72">
                  <c:v>0.38347999999999999</c:v>
                </c:pt>
                <c:pt idx="73">
                  <c:v>0.38815</c:v>
                </c:pt>
                <c:pt idx="74">
                  <c:v>0.39284000000000002</c:v>
                </c:pt>
                <c:pt idx="75">
                  <c:v>0.39756000000000002</c:v>
                </c:pt>
                <c:pt idx="76">
                  <c:v>0.40228999999999998</c:v>
                </c:pt>
                <c:pt idx="77">
                  <c:v>0.40704000000000001</c:v>
                </c:pt>
                <c:pt idx="78">
                  <c:v>0.41181000000000001</c:v>
                </c:pt>
                <c:pt idx="79">
                  <c:v>0.41660000000000003</c:v>
                </c:pt>
                <c:pt idx="80">
                  <c:v>0.4214</c:v>
                </c:pt>
                <c:pt idx="81">
                  <c:v>0.42621999999999999</c:v>
                </c:pt>
                <c:pt idx="82">
                  <c:v>0.43104999999999999</c:v>
                </c:pt>
                <c:pt idx="83">
                  <c:v>0.43589</c:v>
                </c:pt>
                <c:pt idx="84">
                  <c:v>0.44074000000000002</c:v>
                </c:pt>
                <c:pt idx="85">
                  <c:v>0.44074000000000002</c:v>
                </c:pt>
                <c:pt idx="86">
                  <c:v>0.44074000000000002</c:v>
                </c:pt>
                <c:pt idx="87">
                  <c:v>0.44074000000000002</c:v>
                </c:pt>
                <c:pt idx="88">
                  <c:v>0.44074000000000002</c:v>
                </c:pt>
                <c:pt idx="89">
                  <c:v>0.44074000000000002</c:v>
                </c:pt>
                <c:pt idx="90">
                  <c:v>0.44074000000000002</c:v>
                </c:pt>
                <c:pt idx="91">
                  <c:v>0.44074000000000002</c:v>
                </c:pt>
                <c:pt idx="92">
                  <c:v>0.44074000000000002</c:v>
                </c:pt>
                <c:pt idx="93">
                  <c:v>0.44074000000000002</c:v>
                </c:pt>
                <c:pt idx="94">
                  <c:v>0.44074000000000002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3FE4-445B-8EEB-D88489EA6296}"/>
            </c:ext>
          </c:extLst>
        </c:ser>
        <c:ser>
          <c:idx val="31"/>
          <c:order val="3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'99set'!$AG$10:$AG$104</c:f>
              <c:numCache>
                <c:formatCode>0.00000</c:formatCode>
                <c:ptCount val="95"/>
                <c:pt idx="0">
                  <c:v>4.4010000000000001E-2</c:v>
                </c:pt>
                <c:pt idx="1">
                  <c:v>4.4010000000000001E-2</c:v>
                </c:pt>
                <c:pt idx="2">
                  <c:v>4.4010000000000001E-2</c:v>
                </c:pt>
                <c:pt idx="3">
                  <c:v>4.4010000000000001E-2</c:v>
                </c:pt>
                <c:pt idx="4">
                  <c:v>4.4010000000000001E-2</c:v>
                </c:pt>
                <c:pt idx="5">
                  <c:v>4.3729999999999998E-2</c:v>
                </c:pt>
                <c:pt idx="6">
                  <c:v>4.4990000000000002E-2</c:v>
                </c:pt>
                <c:pt idx="7">
                  <c:v>4.761E-2</c:v>
                </c:pt>
                <c:pt idx="8">
                  <c:v>5.142E-2</c:v>
                </c:pt>
                <c:pt idx="9">
                  <c:v>5.6239999999999998E-2</c:v>
                </c:pt>
                <c:pt idx="10">
                  <c:v>6.182E-2</c:v>
                </c:pt>
                <c:pt idx="11">
                  <c:v>6.8089999999999998E-2</c:v>
                </c:pt>
                <c:pt idx="12">
                  <c:v>7.5689999999999993E-2</c:v>
                </c:pt>
                <c:pt idx="13">
                  <c:v>8.5319999999999993E-2</c:v>
                </c:pt>
                <c:pt idx="14">
                  <c:v>9.7119999999999998E-2</c:v>
                </c:pt>
                <c:pt idx="15">
                  <c:v>0.11108</c:v>
                </c:pt>
                <c:pt idx="16">
                  <c:v>0.12709999999999999</c:v>
                </c:pt>
                <c:pt idx="17">
                  <c:v>0.14513000000000001</c:v>
                </c:pt>
                <c:pt idx="18">
                  <c:v>0.16550999999999999</c:v>
                </c:pt>
                <c:pt idx="19">
                  <c:v>0.1885</c:v>
                </c:pt>
                <c:pt idx="20">
                  <c:v>0.21364</c:v>
                </c:pt>
                <c:pt idx="21">
                  <c:v>0.24081</c:v>
                </c:pt>
                <c:pt idx="22">
                  <c:v>0.27189000000000002</c:v>
                </c:pt>
                <c:pt idx="23">
                  <c:v>0.30813000000000001</c:v>
                </c:pt>
                <c:pt idx="24">
                  <c:v>0.34621000000000002</c:v>
                </c:pt>
                <c:pt idx="25">
                  <c:v>0.38299</c:v>
                </c:pt>
                <c:pt idx="26">
                  <c:v>0.42054999999999998</c:v>
                </c:pt>
                <c:pt idx="27">
                  <c:v>0.46096999999999999</c:v>
                </c:pt>
                <c:pt idx="28">
                  <c:v>0.50100999999999996</c:v>
                </c:pt>
                <c:pt idx="29">
                  <c:v>0.53702000000000005</c:v>
                </c:pt>
                <c:pt idx="30">
                  <c:v>0.56908000000000003</c:v>
                </c:pt>
                <c:pt idx="31">
                  <c:v>0.59785999999999995</c:v>
                </c:pt>
                <c:pt idx="32">
                  <c:v>0.62260000000000004</c:v>
                </c:pt>
                <c:pt idx="33">
                  <c:v>0.64263999999999999</c:v>
                </c:pt>
                <c:pt idx="34">
                  <c:v>0.65920999999999996</c:v>
                </c:pt>
                <c:pt idx="35">
                  <c:v>0.67373000000000005</c:v>
                </c:pt>
                <c:pt idx="36">
                  <c:v>0.68657000000000001</c:v>
                </c:pt>
                <c:pt idx="37">
                  <c:v>0.69789999999999996</c:v>
                </c:pt>
                <c:pt idx="38">
                  <c:v>0.70804</c:v>
                </c:pt>
                <c:pt idx="39">
                  <c:v>0.71733999999999998</c:v>
                </c:pt>
                <c:pt idx="40">
                  <c:v>0.72614999999999996</c:v>
                </c:pt>
                <c:pt idx="41">
                  <c:v>0.73467000000000005</c:v>
                </c:pt>
                <c:pt idx="42">
                  <c:v>0.74241000000000001</c:v>
                </c:pt>
                <c:pt idx="43">
                  <c:v>0.74895</c:v>
                </c:pt>
                <c:pt idx="44">
                  <c:v>0.75483999999999996</c:v>
                </c:pt>
                <c:pt idx="45">
                  <c:v>0.76070000000000004</c:v>
                </c:pt>
                <c:pt idx="46">
                  <c:v>0.76648000000000005</c:v>
                </c:pt>
                <c:pt idx="47">
                  <c:v>0.77190000000000003</c:v>
                </c:pt>
                <c:pt idx="48">
                  <c:v>0.77654999999999996</c:v>
                </c:pt>
                <c:pt idx="49">
                  <c:v>0.78017000000000003</c:v>
                </c:pt>
                <c:pt idx="50">
                  <c:v>0.78325999999999996</c:v>
                </c:pt>
                <c:pt idx="51">
                  <c:v>0.78641000000000005</c:v>
                </c:pt>
                <c:pt idx="52">
                  <c:v>0.78978000000000004</c:v>
                </c:pt>
                <c:pt idx="53">
                  <c:v>0.79337999999999997</c:v>
                </c:pt>
                <c:pt idx="54">
                  <c:v>0.79693999999999998</c:v>
                </c:pt>
                <c:pt idx="55">
                  <c:v>0.80012000000000005</c:v>
                </c:pt>
                <c:pt idx="56">
                  <c:v>0.80264000000000002</c:v>
                </c:pt>
                <c:pt idx="57">
                  <c:v>0.80445</c:v>
                </c:pt>
                <c:pt idx="58">
                  <c:v>0.80640000000000001</c:v>
                </c:pt>
                <c:pt idx="59">
                  <c:v>0.80915999999999999</c:v>
                </c:pt>
                <c:pt idx="60">
                  <c:v>0.81169999999999998</c:v>
                </c:pt>
                <c:pt idx="61">
                  <c:v>0.81301999999999996</c:v>
                </c:pt>
                <c:pt idx="62">
                  <c:v>0.81388000000000005</c:v>
                </c:pt>
                <c:pt idx="63">
                  <c:v>0.81523999999999996</c:v>
                </c:pt>
                <c:pt idx="64">
                  <c:v>0.81721999999999995</c:v>
                </c:pt>
                <c:pt idx="65">
                  <c:v>0.81966000000000006</c:v>
                </c:pt>
                <c:pt idx="66">
                  <c:v>0.82215000000000005</c:v>
                </c:pt>
                <c:pt idx="67">
                  <c:v>0.82428999999999997</c:v>
                </c:pt>
                <c:pt idx="68">
                  <c:v>0.82611000000000001</c:v>
                </c:pt>
                <c:pt idx="69">
                  <c:v>0.82769000000000004</c:v>
                </c:pt>
                <c:pt idx="70">
                  <c:v>0.82899</c:v>
                </c:pt>
                <c:pt idx="71">
                  <c:v>0.82992999999999995</c:v>
                </c:pt>
                <c:pt idx="72">
                  <c:v>0.83048</c:v>
                </c:pt>
                <c:pt idx="73">
                  <c:v>0.8306</c:v>
                </c:pt>
                <c:pt idx="74">
                  <c:v>0.83026</c:v>
                </c:pt>
                <c:pt idx="75">
                  <c:v>0.8306</c:v>
                </c:pt>
                <c:pt idx="76">
                  <c:v>0.83067000000000002</c:v>
                </c:pt>
                <c:pt idx="77">
                  <c:v>0.83074000000000003</c:v>
                </c:pt>
                <c:pt idx="78">
                  <c:v>0.83081000000000005</c:v>
                </c:pt>
                <c:pt idx="79">
                  <c:v>0.83087999999999995</c:v>
                </c:pt>
                <c:pt idx="80">
                  <c:v>0.83094999999999997</c:v>
                </c:pt>
                <c:pt idx="81">
                  <c:v>0.83101999999999998</c:v>
                </c:pt>
                <c:pt idx="82">
                  <c:v>0.83109</c:v>
                </c:pt>
                <c:pt idx="83">
                  <c:v>0.83116000000000001</c:v>
                </c:pt>
                <c:pt idx="84">
                  <c:v>0.83123000000000002</c:v>
                </c:pt>
                <c:pt idx="85">
                  <c:v>0.83123000000000002</c:v>
                </c:pt>
                <c:pt idx="86">
                  <c:v>0.83123000000000002</c:v>
                </c:pt>
                <c:pt idx="87">
                  <c:v>0.83123000000000002</c:v>
                </c:pt>
                <c:pt idx="88">
                  <c:v>0.83123000000000002</c:v>
                </c:pt>
                <c:pt idx="89">
                  <c:v>0.83123000000000002</c:v>
                </c:pt>
                <c:pt idx="90">
                  <c:v>0.83123000000000002</c:v>
                </c:pt>
                <c:pt idx="91">
                  <c:v>0.83123000000000002</c:v>
                </c:pt>
                <c:pt idx="92">
                  <c:v>0.83123000000000002</c:v>
                </c:pt>
                <c:pt idx="93">
                  <c:v>0.83123000000000002</c:v>
                </c:pt>
                <c:pt idx="94">
                  <c:v>0.83123000000000002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3FE4-445B-8EEB-D88489EA6296}"/>
            </c:ext>
          </c:extLst>
        </c:ser>
        <c:ser>
          <c:idx val="32"/>
          <c:order val="3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'99set'!$AH$10:$AH$104</c:f>
              <c:numCache>
                <c:formatCode>0.00000</c:formatCode>
                <c:ptCount val="95"/>
                <c:pt idx="0">
                  <c:v>4.2900000000000001E-2</c:v>
                </c:pt>
                <c:pt idx="1">
                  <c:v>4.2900000000000001E-2</c:v>
                </c:pt>
                <c:pt idx="2">
                  <c:v>4.2900000000000001E-2</c:v>
                </c:pt>
                <c:pt idx="3">
                  <c:v>4.2900000000000001E-2</c:v>
                </c:pt>
                <c:pt idx="4">
                  <c:v>4.2900000000000001E-2</c:v>
                </c:pt>
                <c:pt idx="5">
                  <c:v>4.2900000000000001E-2</c:v>
                </c:pt>
                <c:pt idx="6">
                  <c:v>4.2900000000000001E-2</c:v>
                </c:pt>
                <c:pt idx="7">
                  <c:v>4.2900000000000001E-2</c:v>
                </c:pt>
                <c:pt idx="8">
                  <c:v>4.2900000000000001E-2</c:v>
                </c:pt>
                <c:pt idx="9">
                  <c:v>4.206E-2</c:v>
                </c:pt>
                <c:pt idx="10">
                  <c:v>4.1099999999999998E-2</c:v>
                </c:pt>
                <c:pt idx="11">
                  <c:v>4.0689999999999997E-2</c:v>
                </c:pt>
                <c:pt idx="12">
                  <c:v>4.1000000000000002E-2</c:v>
                </c:pt>
                <c:pt idx="13">
                  <c:v>4.2090000000000002E-2</c:v>
                </c:pt>
                <c:pt idx="14">
                  <c:v>4.3999999999999997E-2</c:v>
                </c:pt>
                <c:pt idx="15">
                  <c:v>4.6789999999999998E-2</c:v>
                </c:pt>
                <c:pt idx="16">
                  <c:v>5.0500000000000003E-2</c:v>
                </c:pt>
                <c:pt idx="17">
                  <c:v>5.5219999999999998E-2</c:v>
                </c:pt>
                <c:pt idx="18">
                  <c:v>6.13E-2</c:v>
                </c:pt>
                <c:pt idx="19">
                  <c:v>6.9129999999999997E-2</c:v>
                </c:pt>
                <c:pt idx="20">
                  <c:v>7.8899999999999998E-2</c:v>
                </c:pt>
                <c:pt idx="21">
                  <c:v>9.0770000000000003E-2</c:v>
                </c:pt>
                <c:pt idx="22">
                  <c:v>0.105</c:v>
                </c:pt>
                <c:pt idx="23">
                  <c:v>0.12180000000000001</c:v>
                </c:pt>
                <c:pt idx="24">
                  <c:v>0.14119999999999999</c:v>
                </c:pt>
                <c:pt idx="25">
                  <c:v>0.16306999999999999</c:v>
                </c:pt>
                <c:pt idx="26">
                  <c:v>0.18690000000000001</c:v>
                </c:pt>
                <c:pt idx="27">
                  <c:v>0.21218000000000001</c:v>
                </c:pt>
                <c:pt idx="28">
                  <c:v>0.2387</c:v>
                </c:pt>
                <c:pt idx="29">
                  <c:v>0.26635999999999999</c:v>
                </c:pt>
                <c:pt idx="30">
                  <c:v>0.29520000000000002</c:v>
                </c:pt>
                <c:pt idx="31">
                  <c:v>0.32517000000000001</c:v>
                </c:pt>
                <c:pt idx="32">
                  <c:v>0.35580000000000001</c:v>
                </c:pt>
                <c:pt idx="33">
                  <c:v>0.38644000000000001</c:v>
                </c:pt>
                <c:pt idx="34">
                  <c:v>0.41620000000000001</c:v>
                </c:pt>
                <c:pt idx="35">
                  <c:v>0.44402000000000003</c:v>
                </c:pt>
                <c:pt idx="36">
                  <c:v>0.46829999999999999</c:v>
                </c:pt>
                <c:pt idx="37">
                  <c:v>0.48755999999999999</c:v>
                </c:pt>
                <c:pt idx="38">
                  <c:v>0.50129999999999997</c:v>
                </c:pt>
                <c:pt idx="39">
                  <c:v>0.50941000000000003</c:v>
                </c:pt>
                <c:pt idx="40">
                  <c:v>0.51239999999999997</c:v>
                </c:pt>
                <c:pt idx="41">
                  <c:v>0.51112999999999997</c:v>
                </c:pt>
                <c:pt idx="42">
                  <c:v>0.50719999999999998</c:v>
                </c:pt>
                <c:pt idx="43">
                  <c:v>0.50234999999999996</c:v>
                </c:pt>
                <c:pt idx="44">
                  <c:v>0.498</c:v>
                </c:pt>
                <c:pt idx="45">
                  <c:v>0.49512</c:v>
                </c:pt>
                <c:pt idx="46">
                  <c:v>0.49309999999999998</c:v>
                </c:pt>
                <c:pt idx="47">
                  <c:v>0.49092999999999998</c:v>
                </c:pt>
                <c:pt idx="48">
                  <c:v>0.48759999999999998</c:v>
                </c:pt>
                <c:pt idx="49">
                  <c:v>0.48248000000000002</c:v>
                </c:pt>
                <c:pt idx="50">
                  <c:v>0.4763</c:v>
                </c:pt>
                <c:pt idx="51">
                  <c:v>0.4703</c:v>
                </c:pt>
                <c:pt idx="52">
                  <c:v>0.46629999999999999</c:v>
                </c:pt>
                <c:pt idx="53">
                  <c:v>0.46622999999999998</c:v>
                </c:pt>
                <c:pt idx="54">
                  <c:v>0.47199999999999998</c:v>
                </c:pt>
                <c:pt idx="55">
                  <c:v>0.48518</c:v>
                </c:pt>
                <c:pt idx="56">
                  <c:v>0.50609999999999999</c:v>
                </c:pt>
                <c:pt idx="57">
                  <c:v>0.53447</c:v>
                </c:pt>
                <c:pt idx="58">
                  <c:v>0.56879999999999997</c:v>
                </c:pt>
                <c:pt idx="59">
                  <c:v>0.60699000000000003</c:v>
                </c:pt>
                <c:pt idx="60">
                  <c:v>0.64570000000000005</c:v>
                </c:pt>
                <c:pt idx="61">
                  <c:v>0.68172999999999995</c:v>
                </c:pt>
                <c:pt idx="62">
                  <c:v>0.71379999999999999</c:v>
                </c:pt>
                <c:pt idx="63">
                  <c:v>0.74151</c:v>
                </c:pt>
                <c:pt idx="64">
                  <c:v>0.76619999999999999</c:v>
                </c:pt>
                <c:pt idx="65">
                  <c:v>0.78956000000000004</c:v>
                </c:pt>
                <c:pt idx="66">
                  <c:v>0.81310000000000004</c:v>
                </c:pt>
                <c:pt idx="67">
                  <c:v>0.83652000000000004</c:v>
                </c:pt>
                <c:pt idx="68">
                  <c:v>0.85260000000000002</c:v>
                </c:pt>
                <c:pt idx="69">
                  <c:v>0.85260000000000002</c:v>
                </c:pt>
                <c:pt idx="70">
                  <c:v>0.85260000000000002</c:v>
                </c:pt>
                <c:pt idx="71">
                  <c:v>0.85260000000000002</c:v>
                </c:pt>
                <c:pt idx="72">
                  <c:v>0.85260000000000002</c:v>
                </c:pt>
                <c:pt idx="73">
                  <c:v>0.85260000000000002</c:v>
                </c:pt>
                <c:pt idx="74">
                  <c:v>0.85260000000000002</c:v>
                </c:pt>
                <c:pt idx="75">
                  <c:v>0.85260000000000002</c:v>
                </c:pt>
                <c:pt idx="76">
                  <c:v>0.85260000000000002</c:v>
                </c:pt>
                <c:pt idx="77">
                  <c:v>0.85260000000000002</c:v>
                </c:pt>
                <c:pt idx="78">
                  <c:v>0.85260000000000002</c:v>
                </c:pt>
                <c:pt idx="79">
                  <c:v>0.85260000000000002</c:v>
                </c:pt>
                <c:pt idx="80">
                  <c:v>0.85260000000000002</c:v>
                </c:pt>
                <c:pt idx="81">
                  <c:v>0.85260000000000002</c:v>
                </c:pt>
                <c:pt idx="82">
                  <c:v>0.85260000000000002</c:v>
                </c:pt>
                <c:pt idx="83">
                  <c:v>0.85260000000000002</c:v>
                </c:pt>
                <c:pt idx="84">
                  <c:v>0.85260000000000002</c:v>
                </c:pt>
                <c:pt idx="85">
                  <c:v>0.85260000000000002</c:v>
                </c:pt>
                <c:pt idx="86">
                  <c:v>0.85260000000000002</c:v>
                </c:pt>
                <c:pt idx="87">
                  <c:v>0.85260000000000002</c:v>
                </c:pt>
                <c:pt idx="88">
                  <c:v>0.85260000000000002</c:v>
                </c:pt>
                <c:pt idx="89">
                  <c:v>0.85260000000000002</c:v>
                </c:pt>
                <c:pt idx="90">
                  <c:v>0.85260000000000002</c:v>
                </c:pt>
                <c:pt idx="91">
                  <c:v>0.85260000000000002</c:v>
                </c:pt>
                <c:pt idx="92">
                  <c:v>0.85260000000000002</c:v>
                </c:pt>
                <c:pt idx="93">
                  <c:v>0.85260000000000002</c:v>
                </c:pt>
                <c:pt idx="94">
                  <c:v>0.85260000000000002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F-3FE4-445B-8EEB-D88489EA6296}"/>
            </c:ext>
          </c:extLst>
        </c:ser>
        <c:ser>
          <c:idx val="33"/>
          <c:order val="3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'99set'!$AI$10:$AI$104</c:f>
              <c:numCache>
                <c:formatCode>0.00000</c:formatCode>
                <c:ptCount val="95"/>
                <c:pt idx="0">
                  <c:v>0.17315</c:v>
                </c:pt>
                <c:pt idx="1">
                  <c:v>0.17315</c:v>
                </c:pt>
                <c:pt idx="2">
                  <c:v>0.17315</c:v>
                </c:pt>
                <c:pt idx="3">
                  <c:v>0.17315</c:v>
                </c:pt>
                <c:pt idx="4">
                  <c:v>0.17315</c:v>
                </c:pt>
                <c:pt idx="5">
                  <c:v>0.17954999999999999</c:v>
                </c:pt>
                <c:pt idx="6">
                  <c:v>0.18551000000000001</c:v>
                </c:pt>
                <c:pt idx="7">
                  <c:v>0.19147</c:v>
                </c:pt>
                <c:pt idx="8">
                  <c:v>0.19786999999999999</c:v>
                </c:pt>
                <c:pt idx="9">
                  <c:v>0.20469999999999999</c:v>
                </c:pt>
                <c:pt idx="10">
                  <c:v>0.21023</c:v>
                </c:pt>
                <c:pt idx="11">
                  <c:v>0.21321000000000001</c:v>
                </c:pt>
                <c:pt idx="12">
                  <c:v>0.21595</c:v>
                </c:pt>
                <c:pt idx="13">
                  <c:v>0.22112000000000001</c:v>
                </c:pt>
                <c:pt idx="14">
                  <c:v>0.22921</c:v>
                </c:pt>
                <c:pt idx="15">
                  <c:v>0.24063000000000001</c:v>
                </c:pt>
                <c:pt idx="16">
                  <c:v>0.25763999999999998</c:v>
                </c:pt>
                <c:pt idx="17">
                  <c:v>0.28283000000000003</c:v>
                </c:pt>
                <c:pt idx="18">
                  <c:v>0.31841000000000003</c:v>
                </c:pt>
                <c:pt idx="19">
                  <c:v>0.36487000000000003</c:v>
                </c:pt>
                <c:pt idx="20">
                  <c:v>0.41631000000000001</c:v>
                </c:pt>
                <c:pt idx="21">
                  <c:v>0.46632000000000001</c:v>
                </c:pt>
                <c:pt idx="22">
                  <c:v>0.51290000000000002</c:v>
                </c:pt>
                <c:pt idx="23">
                  <c:v>0.55466000000000004</c:v>
                </c:pt>
                <c:pt idx="24">
                  <c:v>0.58809</c:v>
                </c:pt>
                <c:pt idx="25">
                  <c:v>0.61048000000000002</c:v>
                </c:pt>
                <c:pt idx="26">
                  <c:v>0.62424000000000002</c:v>
                </c:pt>
                <c:pt idx="27">
                  <c:v>0.6331</c:v>
                </c:pt>
                <c:pt idx="28">
                  <c:v>0.64078999999999997</c:v>
                </c:pt>
                <c:pt idx="29">
                  <c:v>0.65017999999999998</c:v>
                </c:pt>
                <c:pt idx="30">
                  <c:v>0.66068000000000005</c:v>
                </c:pt>
                <c:pt idx="31">
                  <c:v>0.67101</c:v>
                </c:pt>
                <c:pt idx="32">
                  <c:v>0.68047999999999997</c:v>
                </c:pt>
                <c:pt idx="33">
                  <c:v>0.68881000000000003</c:v>
                </c:pt>
                <c:pt idx="34">
                  <c:v>0.69672000000000001</c:v>
                </c:pt>
                <c:pt idx="35">
                  <c:v>0.70489000000000002</c:v>
                </c:pt>
                <c:pt idx="36">
                  <c:v>0.71287</c:v>
                </c:pt>
                <c:pt idx="37">
                  <c:v>0.72001000000000004</c:v>
                </c:pt>
                <c:pt idx="38">
                  <c:v>0.72587999999999997</c:v>
                </c:pt>
                <c:pt idx="39">
                  <c:v>0.73048000000000002</c:v>
                </c:pt>
                <c:pt idx="40">
                  <c:v>0.73521999999999998</c:v>
                </c:pt>
                <c:pt idx="41">
                  <c:v>0.74123000000000006</c:v>
                </c:pt>
                <c:pt idx="42">
                  <c:v>0.74699000000000004</c:v>
                </c:pt>
                <c:pt idx="43">
                  <c:v>0.75090999999999997</c:v>
                </c:pt>
                <c:pt idx="44">
                  <c:v>0.75383</c:v>
                </c:pt>
                <c:pt idx="45">
                  <c:v>0.75692000000000004</c:v>
                </c:pt>
                <c:pt idx="46">
                  <c:v>0.76021000000000005</c:v>
                </c:pt>
                <c:pt idx="47">
                  <c:v>0.76361000000000001</c:v>
                </c:pt>
                <c:pt idx="48">
                  <c:v>0.76763000000000003</c:v>
                </c:pt>
                <c:pt idx="49">
                  <c:v>0.77264999999999995</c:v>
                </c:pt>
                <c:pt idx="50">
                  <c:v>0.77797000000000005</c:v>
                </c:pt>
                <c:pt idx="51">
                  <c:v>0.78271000000000002</c:v>
                </c:pt>
                <c:pt idx="52">
                  <c:v>0.78627000000000002</c:v>
                </c:pt>
                <c:pt idx="53">
                  <c:v>0.78844000000000003</c:v>
                </c:pt>
                <c:pt idx="54">
                  <c:v>0.79027999999999998</c:v>
                </c:pt>
                <c:pt idx="55">
                  <c:v>0.79278000000000004</c:v>
                </c:pt>
                <c:pt idx="56">
                  <c:v>0.79527999999999999</c:v>
                </c:pt>
                <c:pt idx="57">
                  <c:v>0.79705999999999999</c:v>
                </c:pt>
                <c:pt idx="58">
                  <c:v>0.79876999999999998</c:v>
                </c:pt>
                <c:pt idx="59">
                  <c:v>0.80118</c:v>
                </c:pt>
                <c:pt idx="60">
                  <c:v>0.80411999999999995</c:v>
                </c:pt>
                <c:pt idx="61">
                  <c:v>0.80718000000000001</c:v>
                </c:pt>
                <c:pt idx="62">
                  <c:v>0.80994999999999995</c:v>
                </c:pt>
                <c:pt idx="63">
                  <c:v>0.81215000000000004</c:v>
                </c:pt>
                <c:pt idx="64">
                  <c:v>0.81403000000000003</c:v>
                </c:pt>
                <c:pt idx="65">
                  <c:v>0.81593000000000004</c:v>
                </c:pt>
                <c:pt idx="66">
                  <c:v>0.81806999999999996</c:v>
                </c:pt>
                <c:pt idx="67">
                  <c:v>0.82055</c:v>
                </c:pt>
                <c:pt idx="68">
                  <c:v>0.82325999999999999</c:v>
                </c:pt>
                <c:pt idx="69">
                  <c:v>0.82593000000000005</c:v>
                </c:pt>
                <c:pt idx="70">
                  <c:v>0.82804</c:v>
                </c:pt>
                <c:pt idx="71">
                  <c:v>0.82923999999999998</c:v>
                </c:pt>
                <c:pt idx="72">
                  <c:v>0.83026999999999995</c:v>
                </c:pt>
                <c:pt idx="73">
                  <c:v>0.83213000000000004</c:v>
                </c:pt>
                <c:pt idx="74">
                  <c:v>0.83581000000000005</c:v>
                </c:pt>
                <c:pt idx="75">
                  <c:v>0.83692999999999995</c:v>
                </c:pt>
                <c:pt idx="76">
                  <c:v>0.83904000000000001</c:v>
                </c:pt>
                <c:pt idx="77">
                  <c:v>0.84114</c:v>
                </c:pt>
                <c:pt idx="78">
                  <c:v>0.84321000000000002</c:v>
                </c:pt>
                <c:pt idx="79">
                  <c:v>0.84524999999999995</c:v>
                </c:pt>
                <c:pt idx="80">
                  <c:v>0.84728000000000003</c:v>
                </c:pt>
                <c:pt idx="81">
                  <c:v>0.84928999999999999</c:v>
                </c:pt>
                <c:pt idx="82">
                  <c:v>0.85126999999999997</c:v>
                </c:pt>
                <c:pt idx="83">
                  <c:v>0.85323000000000004</c:v>
                </c:pt>
                <c:pt idx="84">
                  <c:v>0.85516999999999999</c:v>
                </c:pt>
                <c:pt idx="85">
                  <c:v>0.85516999999999999</c:v>
                </c:pt>
                <c:pt idx="86">
                  <c:v>0.85516999999999999</c:v>
                </c:pt>
                <c:pt idx="87">
                  <c:v>0.85516999999999999</c:v>
                </c:pt>
                <c:pt idx="88">
                  <c:v>0.85516999999999999</c:v>
                </c:pt>
                <c:pt idx="89">
                  <c:v>0.85516999999999999</c:v>
                </c:pt>
                <c:pt idx="90">
                  <c:v>0.85516999999999999</c:v>
                </c:pt>
                <c:pt idx="91">
                  <c:v>0.85516999999999999</c:v>
                </c:pt>
                <c:pt idx="92">
                  <c:v>0.85516999999999999</c:v>
                </c:pt>
                <c:pt idx="93">
                  <c:v>0.85516999999999999</c:v>
                </c:pt>
                <c:pt idx="94">
                  <c:v>0.85516999999999999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3FE4-445B-8EEB-D88489EA6296}"/>
            </c:ext>
          </c:extLst>
        </c:ser>
        <c:ser>
          <c:idx val="34"/>
          <c:order val="3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'99set'!$AJ$10:$AJ$104</c:f>
              <c:numCache>
                <c:formatCode>0.00000</c:formatCode>
                <c:ptCount val="95"/>
                <c:pt idx="0">
                  <c:v>4.3889999999999998E-2</c:v>
                </c:pt>
                <c:pt idx="1">
                  <c:v>4.3889999999999998E-2</c:v>
                </c:pt>
                <c:pt idx="2">
                  <c:v>4.3889999999999998E-2</c:v>
                </c:pt>
                <c:pt idx="3">
                  <c:v>4.3889999999999998E-2</c:v>
                </c:pt>
                <c:pt idx="4">
                  <c:v>4.3889999999999998E-2</c:v>
                </c:pt>
                <c:pt idx="5">
                  <c:v>4.3889999999999998E-2</c:v>
                </c:pt>
                <c:pt idx="6">
                  <c:v>4.3889999999999998E-2</c:v>
                </c:pt>
                <c:pt idx="7">
                  <c:v>4.3889999999999998E-2</c:v>
                </c:pt>
                <c:pt idx="8">
                  <c:v>4.3889999999999998E-2</c:v>
                </c:pt>
                <c:pt idx="9">
                  <c:v>4.3970000000000002E-2</c:v>
                </c:pt>
                <c:pt idx="10">
                  <c:v>4.4040000000000003E-2</c:v>
                </c:pt>
                <c:pt idx="11">
                  <c:v>4.4010000000000001E-2</c:v>
                </c:pt>
                <c:pt idx="12">
                  <c:v>4.3999999999999997E-2</c:v>
                </c:pt>
                <c:pt idx="13">
                  <c:v>4.4110000000000003E-2</c:v>
                </c:pt>
                <c:pt idx="14">
                  <c:v>4.4330000000000001E-2</c:v>
                </c:pt>
                <c:pt idx="15">
                  <c:v>4.4639999999999999E-2</c:v>
                </c:pt>
                <c:pt idx="16">
                  <c:v>4.5109999999999997E-2</c:v>
                </c:pt>
                <c:pt idx="17">
                  <c:v>4.589E-2</c:v>
                </c:pt>
                <c:pt idx="18">
                  <c:v>4.7210000000000002E-2</c:v>
                </c:pt>
                <c:pt idx="19">
                  <c:v>4.9230000000000003E-2</c:v>
                </c:pt>
                <c:pt idx="20">
                  <c:v>5.1639999999999998E-2</c:v>
                </c:pt>
                <c:pt idx="21">
                  <c:v>5.4269999999999999E-2</c:v>
                </c:pt>
                <c:pt idx="22">
                  <c:v>5.7959999999999998E-2</c:v>
                </c:pt>
                <c:pt idx="23">
                  <c:v>6.361E-2</c:v>
                </c:pt>
                <c:pt idx="24">
                  <c:v>7.1209999999999996E-2</c:v>
                </c:pt>
                <c:pt idx="25">
                  <c:v>8.0629999999999993E-2</c:v>
                </c:pt>
                <c:pt idx="26">
                  <c:v>9.2069999999999999E-2</c:v>
                </c:pt>
                <c:pt idx="27">
                  <c:v>0.10573</c:v>
                </c:pt>
                <c:pt idx="28">
                  <c:v>0.12138</c:v>
                </c:pt>
                <c:pt idx="29">
                  <c:v>0.13905999999999999</c:v>
                </c:pt>
                <c:pt idx="30">
                  <c:v>0.16048000000000001</c:v>
                </c:pt>
                <c:pt idx="31">
                  <c:v>0.18726999999999999</c:v>
                </c:pt>
                <c:pt idx="32">
                  <c:v>0.21931999999999999</c:v>
                </c:pt>
                <c:pt idx="33">
                  <c:v>0.25474000000000002</c:v>
                </c:pt>
                <c:pt idx="34">
                  <c:v>0.28642000000000001</c:v>
                </c:pt>
                <c:pt idx="35">
                  <c:v>0.30780000000000002</c:v>
                </c:pt>
                <c:pt idx="36">
                  <c:v>0.31974999999999998</c:v>
                </c:pt>
                <c:pt idx="37">
                  <c:v>0.32496999999999998</c:v>
                </c:pt>
                <c:pt idx="38">
                  <c:v>0.32621</c:v>
                </c:pt>
                <c:pt idx="39">
                  <c:v>0.32579000000000002</c:v>
                </c:pt>
                <c:pt idx="40">
                  <c:v>0.32446000000000003</c:v>
                </c:pt>
                <c:pt idx="41">
                  <c:v>0.32252999999999998</c:v>
                </c:pt>
                <c:pt idx="42">
                  <c:v>0.32019999999999998</c:v>
                </c:pt>
                <c:pt idx="43">
                  <c:v>0.31762000000000001</c:v>
                </c:pt>
                <c:pt idx="44">
                  <c:v>0.31485999999999997</c:v>
                </c:pt>
                <c:pt idx="45">
                  <c:v>0.31189</c:v>
                </c:pt>
                <c:pt idx="46">
                  <c:v>0.30848999999999999</c:v>
                </c:pt>
                <c:pt idx="47">
                  <c:v>0.30442999999999998</c:v>
                </c:pt>
                <c:pt idx="48">
                  <c:v>0.29970999999999998</c:v>
                </c:pt>
                <c:pt idx="49">
                  <c:v>0.29443000000000003</c:v>
                </c:pt>
                <c:pt idx="50">
                  <c:v>0.28916999999999998</c:v>
                </c:pt>
                <c:pt idx="51">
                  <c:v>0.28445999999999999</c:v>
                </c:pt>
                <c:pt idx="52">
                  <c:v>0.28043000000000001</c:v>
                </c:pt>
                <c:pt idx="53">
                  <c:v>0.27706999999999998</c:v>
                </c:pt>
                <c:pt idx="54">
                  <c:v>0.27413999999999999</c:v>
                </c:pt>
                <c:pt idx="55">
                  <c:v>0.27140999999999998</c:v>
                </c:pt>
                <c:pt idx="56">
                  <c:v>0.26884999999999998</c:v>
                </c:pt>
                <c:pt idx="57">
                  <c:v>0.26649</c:v>
                </c:pt>
                <c:pt idx="58">
                  <c:v>0.26449</c:v>
                </c:pt>
                <c:pt idx="59">
                  <c:v>0.26302999999999999</c:v>
                </c:pt>
                <c:pt idx="60">
                  <c:v>0.26212999999999997</c:v>
                </c:pt>
                <c:pt idx="61">
                  <c:v>0.26185999999999998</c:v>
                </c:pt>
                <c:pt idx="62">
                  <c:v>0.26247999999999999</c:v>
                </c:pt>
                <c:pt idx="63">
                  <c:v>0.2641</c:v>
                </c:pt>
                <c:pt idx="64">
                  <c:v>0.26608999999999999</c:v>
                </c:pt>
                <c:pt idx="65">
                  <c:v>0.26785999999999999</c:v>
                </c:pt>
                <c:pt idx="66">
                  <c:v>0.26980999999999999</c:v>
                </c:pt>
                <c:pt idx="67">
                  <c:v>0.27228000000000002</c:v>
                </c:pt>
                <c:pt idx="68">
                  <c:v>0.27417000000000002</c:v>
                </c:pt>
                <c:pt idx="69">
                  <c:v>0.27417000000000002</c:v>
                </c:pt>
                <c:pt idx="70">
                  <c:v>0.27417000000000002</c:v>
                </c:pt>
                <c:pt idx="71">
                  <c:v>0.27417000000000002</c:v>
                </c:pt>
                <c:pt idx="72">
                  <c:v>0.27417000000000002</c:v>
                </c:pt>
                <c:pt idx="73">
                  <c:v>0.27417000000000002</c:v>
                </c:pt>
                <c:pt idx="74">
                  <c:v>0.27417000000000002</c:v>
                </c:pt>
                <c:pt idx="75">
                  <c:v>0.27417000000000002</c:v>
                </c:pt>
                <c:pt idx="76">
                  <c:v>0.27417000000000002</c:v>
                </c:pt>
                <c:pt idx="77">
                  <c:v>0.27417000000000002</c:v>
                </c:pt>
                <c:pt idx="78">
                  <c:v>0.27417000000000002</c:v>
                </c:pt>
                <c:pt idx="79">
                  <c:v>0.27417000000000002</c:v>
                </c:pt>
                <c:pt idx="80">
                  <c:v>0.27417000000000002</c:v>
                </c:pt>
                <c:pt idx="81">
                  <c:v>0.27417000000000002</c:v>
                </c:pt>
                <c:pt idx="82">
                  <c:v>0.27417000000000002</c:v>
                </c:pt>
                <c:pt idx="83">
                  <c:v>0.27417000000000002</c:v>
                </c:pt>
                <c:pt idx="84">
                  <c:v>0.27417000000000002</c:v>
                </c:pt>
                <c:pt idx="85">
                  <c:v>0.27417000000000002</c:v>
                </c:pt>
                <c:pt idx="86">
                  <c:v>0.27417000000000002</c:v>
                </c:pt>
                <c:pt idx="87">
                  <c:v>0.27417000000000002</c:v>
                </c:pt>
                <c:pt idx="88">
                  <c:v>0.27417000000000002</c:v>
                </c:pt>
                <c:pt idx="89">
                  <c:v>0.27417000000000002</c:v>
                </c:pt>
                <c:pt idx="90">
                  <c:v>0.27417000000000002</c:v>
                </c:pt>
                <c:pt idx="91">
                  <c:v>0.27417000000000002</c:v>
                </c:pt>
                <c:pt idx="92">
                  <c:v>0.27417000000000002</c:v>
                </c:pt>
                <c:pt idx="93">
                  <c:v>0.27417000000000002</c:v>
                </c:pt>
                <c:pt idx="94">
                  <c:v>0.27417000000000002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1-3FE4-445B-8EEB-D88489EA6296}"/>
            </c:ext>
          </c:extLst>
        </c:ser>
        <c:ser>
          <c:idx val="35"/>
          <c:order val="3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'99set'!$AK$10:$AK$104</c:f>
              <c:numCache>
                <c:formatCode>0.00000</c:formatCode>
                <c:ptCount val="95"/>
                <c:pt idx="0">
                  <c:v>5.2449999999999997E-2</c:v>
                </c:pt>
                <c:pt idx="1">
                  <c:v>5.2449999999999997E-2</c:v>
                </c:pt>
                <c:pt idx="2">
                  <c:v>5.2449999999999997E-2</c:v>
                </c:pt>
                <c:pt idx="3">
                  <c:v>5.2449999999999997E-2</c:v>
                </c:pt>
                <c:pt idx="4">
                  <c:v>5.2449999999999997E-2</c:v>
                </c:pt>
                <c:pt idx="5">
                  <c:v>5.2449999999999997E-2</c:v>
                </c:pt>
                <c:pt idx="6">
                  <c:v>5.2449999999999997E-2</c:v>
                </c:pt>
                <c:pt idx="7">
                  <c:v>5.2449999999999997E-2</c:v>
                </c:pt>
                <c:pt idx="8">
                  <c:v>5.2449999999999997E-2</c:v>
                </c:pt>
                <c:pt idx="9">
                  <c:v>5.2389999999999999E-2</c:v>
                </c:pt>
                <c:pt idx="10">
                  <c:v>5.2170000000000001E-2</c:v>
                </c:pt>
                <c:pt idx="11">
                  <c:v>5.1700000000000003E-2</c:v>
                </c:pt>
                <c:pt idx="12">
                  <c:v>5.108E-2</c:v>
                </c:pt>
                <c:pt idx="13">
                  <c:v>5.042E-2</c:v>
                </c:pt>
                <c:pt idx="14">
                  <c:v>4.9799999999999997E-2</c:v>
                </c:pt>
                <c:pt idx="15">
                  <c:v>4.9320000000000003E-2</c:v>
                </c:pt>
                <c:pt idx="16">
                  <c:v>4.8989999999999999E-2</c:v>
                </c:pt>
                <c:pt idx="17">
                  <c:v>4.8829999999999998E-2</c:v>
                </c:pt>
                <c:pt idx="18">
                  <c:v>4.8849999999999998E-2</c:v>
                </c:pt>
                <c:pt idx="19">
                  <c:v>4.9029999999999997E-2</c:v>
                </c:pt>
                <c:pt idx="20">
                  <c:v>4.929E-2</c:v>
                </c:pt>
                <c:pt idx="21">
                  <c:v>4.9599999999999998E-2</c:v>
                </c:pt>
                <c:pt idx="22">
                  <c:v>5.0290000000000001E-2</c:v>
                </c:pt>
                <c:pt idx="23">
                  <c:v>5.178E-2</c:v>
                </c:pt>
                <c:pt idx="24">
                  <c:v>5.4399999999999997E-2</c:v>
                </c:pt>
                <c:pt idx="25">
                  <c:v>5.8409999999999997E-2</c:v>
                </c:pt>
                <c:pt idx="26">
                  <c:v>6.3710000000000003E-2</c:v>
                </c:pt>
                <c:pt idx="27">
                  <c:v>6.9989999999999997E-2</c:v>
                </c:pt>
                <c:pt idx="28">
                  <c:v>7.6480000000000006E-2</c:v>
                </c:pt>
                <c:pt idx="29">
                  <c:v>8.2439999999999999E-2</c:v>
                </c:pt>
                <c:pt idx="30">
                  <c:v>8.763E-2</c:v>
                </c:pt>
                <c:pt idx="31">
                  <c:v>9.2259999999999995E-2</c:v>
                </c:pt>
                <c:pt idx="32">
                  <c:v>9.7850000000000006E-2</c:v>
                </c:pt>
                <c:pt idx="33">
                  <c:v>0.1057</c:v>
                </c:pt>
                <c:pt idx="34">
                  <c:v>0.11484999999999999</c:v>
                </c:pt>
                <c:pt idx="35">
                  <c:v>0.12372</c:v>
                </c:pt>
                <c:pt idx="36">
                  <c:v>0.13045000000000001</c:v>
                </c:pt>
                <c:pt idx="37">
                  <c:v>0.13367999999999999</c:v>
                </c:pt>
                <c:pt idx="38">
                  <c:v>0.13428000000000001</c:v>
                </c:pt>
                <c:pt idx="39">
                  <c:v>0.13355</c:v>
                </c:pt>
                <c:pt idx="40">
                  <c:v>0.13216</c:v>
                </c:pt>
                <c:pt idx="41">
                  <c:v>0.13053999999999999</c:v>
                </c:pt>
                <c:pt idx="42">
                  <c:v>0.12886</c:v>
                </c:pt>
                <c:pt idx="43">
                  <c:v>0.12720000000000001</c:v>
                </c:pt>
                <c:pt idx="44">
                  <c:v>0.12554000000000001</c:v>
                </c:pt>
                <c:pt idx="45">
                  <c:v>0.12381</c:v>
                </c:pt>
                <c:pt idx="46">
                  <c:v>0.12196</c:v>
                </c:pt>
                <c:pt idx="47">
                  <c:v>0.11992</c:v>
                </c:pt>
                <c:pt idx="48">
                  <c:v>0.11767</c:v>
                </c:pt>
                <c:pt idx="49">
                  <c:v>0.11522</c:v>
                </c:pt>
                <c:pt idx="50">
                  <c:v>0.11283</c:v>
                </c:pt>
                <c:pt idx="51">
                  <c:v>0.11074000000000001</c:v>
                </c:pt>
                <c:pt idx="52">
                  <c:v>0.10894</c:v>
                </c:pt>
                <c:pt idx="53">
                  <c:v>0.10738</c:v>
                </c:pt>
                <c:pt idx="54">
                  <c:v>0.10598</c:v>
                </c:pt>
                <c:pt idx="55">
                  <c:v>0.10468</c:v>
                </c:pt>
                <c:pt idx="56">
                  <c:v>0.10349</c:v>
                </c:pt>
                <c:pt idx="57">
                  <c:v>0.10242</c:v>
                </c:pt>
                <c:pt idx="58">
                  <c:v>0.10154000000000001</c:v>
                </c:pt>
                <c:pt idx="59">
                  <c:v>0.10088</c:v>
                </c:pt>
                <c:pt idx="60">
                  <c:v>0.10041</c:v>
                </c:pt>
                <c:pt idx="61">
                  <c:v>0.10012</c:v>
                </c:pt>
                <c:pt idx="62">
                  <c:v>0.10019</c:v>
                </c:pt>
                <c:pt idx="63">
                  <c:v>0.10070999999999999</c:v>
                </c:pt>
                <c:pt idx="64">
                  <c:v>0.10131</c:v>
                </c:pt>
                <c:pt idx="65">
                  <c:v>0.10168000000000001</c:v>
                </c:pt>
                <c:pt idx="66">
                  <c:v>0.10213</c:v>
                </c:pt>
                <c:pt idx="67">
                  <c:v>0.10292999999999999</c:v>
                </c:pt>
                <c:pt idx="68">
                  <c:v>0.10364</c:v>
                </c:pt>
                <c:pt idx="69">
                  <c:v>0.10364</c:v>
                </c:pt>
                <c:pt idx="70">
                  <c:v>0.10364</c:v>
                </c:pt>
                <c:pt idx="71">
                  <c:v>0.10364</c:v>
                </c:pt>
                <c:pt idx="72">
                  <c:v>0.10364</c:v>
                </c:pt>
                <c:pt idx="73">
                  <c:v>0.10364</c:v>
                </c:pt>
                <c:pt idx="74">
                  <c:v>0.10364</c:v>
                </c:pt>
                <c:pt idx="75">
                  <c:v>0.10364</c:v>
                </c:pt>
                <c:pt idx="76">
                  <c:v>0.10364</c:v>
                </c:pt>
                <c:pt idx="77">
                  <c:v>0.10364</c:v>
                </c:pt>
                <c:pt idx="78">
                  <c:v>0.10364</c:v>
                </c:pt>
                <c:pt idx="79">
                  <c:v>0.10364</c:v>
                </c:pt>
                <c:pt idx="80">
                  <c:v>0.10364</c:v>
                </c:pt>
                <c:pt idx="81">
                  <c:v>0.10364</c:v>
                </c:pt>
                <c:pt idx="82">
                  <c:v>0.10364</c:v>
                </c:pt>
                <c:pt idx="83">
                  <c:v>0.10364</c:v>
                </c:pt>
                <c:pt idx="84">
                  <c:v>0.10364</c:v>
                </c:pt>
                <c:pt idx="85">
                  <c:v>0.10364</c:v>
                </c:pt>
                <c:pt idx="86">
                  <c:v>0.10364</c:v>
                </c:pt>
                <c:pt idx="87">
                  <c:v>0.10364</c:v>
                </c:pt>
                <c:pt idx="88">
                  <c:v>0.10364</c:v>
                </c:pt>
                <c:pt idx="89">
                  <c:v>0.10364</c:v>
                </c:pt>
                <c:pt idx="90">
                  <c:v>0.10364</c:v>
                </c:pt>
                <c:pt idx="91">
                  <c:v>0.10364</c:v>
                </c:pt>
                <c:pt idx="92">
                  <c:v>0.10364</c:v>
                </c:pt>
                <c:pt idx="93">
                  <c:v>0.10364</c:v>
                </c:pt>
                <c:pt idx="94">
                  <c:v>0.10364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3FE4-445B-8EEB-D88489EA6296}"/>
            </c:ext>
          </c:extLst>
        </c:ser>
        <c:ser>
          <c:idx val="36"/>
          <c:order val="3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'99set'!$AL$10:$AL$104</c:f>
              <c:numCache>
                <c:formatCode>0.00000</c:formatCode>
                <c:ptCount val="95"/>
                <c:pt idx="0">
                  <c:v>3.431E-2</c:v>
                </c:pt>
                <c:pt idx="1">
                  <c:v>3.431E-2</c:v>
                </c:pt>
                <c:pt idx="2">
                  <c:v>3.431E-2</c:v>
                </c:pt>
                <c:pt idx="3">
                  <c:v>3.431E-2</c:v>
                </c:pt>
                <c:pt idx="4">
                  <c:v>3.431E-2</c:v>
                </c:pt>
                <c:pt idx="5">
                  <c:v>3.7069999999999999E-2</c:v>
                </c:pt>
                <c:pt idx="6">
                  <c:v>4.283E-2</c:v>
                </c:pt>
                <c:pt idx="7">
                  <c:v>5.3580000000000003E-2</c:v>
                </c:pt>
                <c:pt idx="8">
                  <c:v>7.5060000000000002E-2</c:v>
                </c:pt>
                <c:pt idx="9">
                  <c:v>9.776E-2</c:v>
                </c:pt>
                <c:pt idx="10">
                  <c:v>0.12728999999999999</c:v>
                </c:pt>
                <c:pt idx="11">
                  <c:v>0.16370999999999999</c:v>
                </c:pt>
                <c:pt idx="12">
                  <c:v>0.20727000000000001</c:v>
                </c:pt>
                <c:pt idx="13">
                  <c:v>0.25618000000000002</c:v>
                </c:pt>
                <c:pt idx="14">
                  <c:v>0.30712</c:v>
                </c:pt>
                <c:pt idx="15">
                  <c:v>0.35738999999999999</c:v>
                </c:pt>
                <c:pt idx="16">
                  <c:v>0.40412999999999999</c:v>
                </c:pt>
                <c:pt idx="17">
                  <c:v>0.44396999999999998</c:v>
                </c:pt>
                <c:pt idx="18">
                  <c:v>0.47549000000000002</c:v>
                </c:pt>
                <c:pt idx="19">
                  <c:v>0.49917</c:v>
                </c:pt>
                <c:pt idx="20">
                  <c:v>0.51519000000000004</c:v>
                </c:pt>
                <c:pt idx="21">
                  <c:v>0.52400000000000002</c:v>
                </c:pt>
                <c:pt idx="22">
                  <c:v>0.52781</c:v>
                </c:pt>
                <c:pt idx="23">
                  <c:v>0.52869999999999995</c:v>
                </c:pt>
                <c:pt idx="24">
                  <c:v>0.52832000000000001</c:v>
                </c:pt>
                <c:pt idx="25">
                  <c:v>0.52853000000000006</c:v>
                </c:pt>
                <c:pt idx="26">
                  <c:v>0.52959000000000001</c:v>
                </c:pt>
                <c:pt idx="27">
                  <c:v>0.53054999999999997</c:v>
                </c:pt>
                <c:pt idx="28">
                  <c:v>0.53091999999999995</c:v>
                </c:pt>
                <c:pt idx="29">
                  <c:v>0.53193000000000001</c:v>
                </c:pt>
                <c:pt idx="30">
                  <c:v>0.53347</c:v>
                </c:pt>
                <c:pt idx="31">
                  <c:v>0.53402000000000005</c:v>
                </c:pt>
                <c:pt idx="32">
                  <c:v>0.53283000000000003</c:v>
                </c:pt>
                <c:pt idx="33">
                  <c:v>0.53039000000000003</c:v>
                </c:pt>
                <c:pt idx="34">
                  <c:v>0.52859999999999996</c:v>
                </c:pt>
                <c:pt idx="35">
                  <c:v>0.52847999999999995</c:v>
                </c:pt>
                <c:pt idx="36">
                  <c:v>0.52890000000000004</c:v>
                </c:pt>
                <c:pt idx="37">
                  <c:v>0.52837000000000001</c:v>
                </c:pt>
                <c:pt idx="38">
                  <c:v>0.52700000000000002</c:v>
                </c:pt>
                <c:pt idx="39">
                  <c:v>0.52649000000000001</c:v>
                </c:pt>
                <c:pt idx="40">
                  <c:v>0.52842999999999996</c:v>
                </c:pt>
                <c:pt idx="41">
                  <c:v>0.53210000000000002</c:v>
                </c:pt>
                <c:pt idx="42">
                  <c:v>0.53515999999999997</c:v>
                </c:pt>
                <c:pt idx="43">
                  <c:v>0.53669999999999995</c:v>
                </c:pt>
                <c:pt idx="44">
                  <c:v>0.53798000000000001</c:v>
                </c:pt>
                <c:pt idx="45">
                  <c:v>0.54007000000000005</c:v>
                </c:pt>
                <c:pt idx="46">
                  <c:v>0.54310000000000003</c:v>
                </c:pt>
                <c:pt idx="47">
                  <c:v>0.54623999999999995</c:v>
                </c:pt>
                <c:pt idx="48">
                  <c:v>0.54817000000000005</c:v>
                </c:pt>
                <c:pt idx="49">
                  <c:v>0.54898999999999998</c:v>
                </c:pt>
                <c:pt idx="50">
                  <c:v>0.55035000000000001</c:v>
                </c:pt>
                <c:pt idx="51">
                  <c:v>0.55266000000000004</c:v>
                </c:pt>
                <c:pt idx="52">
                  <c:v>0.55518000000000001</c:v>
                </c:pt>
                <c:pt idx="53">
                  <c:v>0.55745999999999996</c:v>
                </c:pt>
                <c:pt idx="54">
                  <c:v>0.55801000000000001</c:v>
                </c:pt>
                <c:pt idx="55">
                  <c:v>0.55701999999999996</c:v>
                </c:pt>
                <c:pt idx="56">
                  <c:v>0.55717000000000005</c:v>
                </c:pt>
                <c:pt idx="57">
                  <c:v>0.55869000000000002</c:v>
                </c:pt>
                <c:pt idx="58">
                  <c:v>0.55967</c:v>
                </c:pt>
                <c:pt idx="59">
                  <c:v>0.55989</c:v>
                </c:pt>
                <c:pt idx="60">
                  <c:v>0.56081999999999999</c:v>
                </c:pt>
                <c:pt idx="61">
                  <c:v>0.56191999999999998</c:v>
                </c:pt>
                <c:pt idx="62">
                  <c:v>0.56164999999999998</c:v>
                </c:pt>
                <c:pt idx="63">
                  <c:v>0.56040999999999996</c:v>
                </c:pt>
                <c:pt idx="64">
                  <c:v>0.55911999999999995</c:v>
                </c:pt>
                <c:pt idx="65">
                  <c:v>0.55486000000000002</c:v>
                </c:pt>
                <c:pt idx="66">
                  <c:v>0.54940999999999995</c:v>
                </c:pt>
                <c:pt idx="67">
                  <c:v>0.54330000000000001</c:v>
                </c:pt>
                <c:pt idx="68">
                  <c:v>0.53563000000000005</c:v>
                </c:pt>
                <c:pt idx="69">
                  <c:v>0.52629999999999999</c:v>
                </c:pt>
                <c:pt idx="70">
                  <c:v>0.51785999999999999</c:v>
                </c:pt>
                <c:pt idx="71">
                  <c:v>0.51115999999999995</c:v>
                </c:pt>
                <c:pt idx="72">
                  <c:v>0.50353000000000003</c:v>
                </c:pt>
                <c:pt idx="73">
                  <c:v>0.49575000000000002</c:v>
                </c:pt>
                <c:pt idx="74">
                  <c:v>0.48819000000000001</c:v>
                </c:pt>
                <c:pt idx="75">
                  <c:v>0.48065000000000002</c:v>
                </c:pt>
                <c:pt idx="76">
                  <c:v>0.47310999999999998</c:v>
                </c:pt>
                <c:pt idx="77">
                  <c:v>0.46557999999999999</c:v>
                </c:pt>
                <c:pt idx="78">
                  <c:v>0.45806000000000002</c:v>
                </c:pt>
                <c:pt idx="79">
                  <c:v>0.45057000000000003</c:v>
                </c:pt>
                <c:pt idx="80">
                  <c:v>0.44309999999999999</c:v>
                </c:pt>
                <c:pt idx="81">
                  <c:v>0.43562000000000001</c:v>
                </c:pt>
                <c:pt idx="82">
                  <c:v>0.42817</c:v>
                </c:pt>
                <c:pt idx="83">
                  <c:v>0.42076000000000002</c:v>
                </c:pt>
                <c:pt idx="84">
                  <c:v>0.41338999999999998</c:v>
                </c:pt>
                <c:pt idx="85">
                  <c:v>0.41338999999999998</c:v>
                </c:pt>
                <c:pt idx="86">
                  <c:v>0.41338999999999998</c:v>
                </c:pt>
                <c:pt idx="87">
                  <c:v>0.41338999999999998</c:v>
                </c:pt>
                <c:pt idx="88">
                  <c:v>0.41338999999999998</c:v>
                </c:pt>
                <c:pt idx="89">
                  <c:v>0.41338999999999998</c:v>
                </c:pt>
                <c:pt idx="90">
                  <c:v>0.41338999999999998</c:v>
                </c:pt>
                <c:pt idx="91">
                  <c:v>0.41338999999999998</c:v>
                </c:pt>
                <c:pt idx="92">
                  <c:v>0.41338999999999998</c:v>
                </c:pt>
                <c:pt idx="93">
                  <c:v>0.41338999999999998</c:v>
                </c:pt>
                <c:pt idx="94">
                  <c:v>0.41338999999999998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3-3FE4-445B-8EEB-D88489EA6296}"/>
            </c:ext>
          </c:extLst>
        </c:ser>
        <c:ser>
          <c:idx val="37"/>
          <c:order val="3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'99set'!$AM$10:$AM$104</c:f>
              <c:numCache>
                <c:formatCode>0.00000</c:formatCode>
                <c:ptCount val="95"/>
                <c:pt idx="0">
                  <c:v>5.0279999999999998E-2</c:v>
                </c:pt>
                <c:pt idx="1">
                  <c:v>5.0279999999999998E-2</c:v>
                </c:pt>
                <c:pt idx="2">
                  <c:v>5.0279999999999998E-2</c:v>
                </c:pt>
                <c:pt idx="3">
                  <c:v>5.0279999999999998E-2</c:v>
                </c:pt>
                <c:pt idx="4">
                  <c:v>5.0279999999999998E-2</c:v>
                </c:pt>
                <c:pt idx="5">
                  <c:v>5.0229999999999997E-2</c:v>
                </c:pt>
                <c:pt idx="6">
                  <c:v>5.0189999999999999E-2</c:v>
                </c:pt>
                <c:pt idx="7">
                  <c:v>5.0139999999999997E-2</c:v>
                </c:pt>
                <c:pt idx="8">
                  <c:v>0.05</c:v>
                </c:pt>
                <c:pt idx="9">
                  <c:v>5.0090000000000003E-2</c:v>
                </c:pt>
                <c:pt idx="10">
                  <c:v>0.05</c:v>
                </c:pt>
                <c:pt idx="11">
                  <c:v>4.9910000000000003E-2</c:v>
                </c:pt>
                <c:pt idx="12">
                  <c:v>0.05</c:v>
                </c:pt>
                <c:pt idx="13">
                  <c:v>5.0389999999999997E-2</c:v>
                </c:pt>
                <c:pt idx="14">
                  <c:v>5.0999999999999997E-2</c:v>
                </c:pt>
                <c:pt idx="15">
                  <c:v>5.1769999999999997E-2</c:v>
                </c:pt>
                <c:pt idx="16">
                  <c:v>5.2999999999999999E-2</c:v>
                </c:pt>
                <c:pt idx="17">
                  <c:v>5.4899999999999997E-2</c:v>
                </c:pt>
                <c:pt idx="18">
                  <c:v>5.7000000000000002E-2</c:v>
                </c:pt>
                <c:pt idx="19">
                  <c:v>5.8749999999999997E-2</c:v>
                </c:pt>
                <c:pt idx="20">
                  <c:v>0.06</c:v>
                </c:pt>
                <c:pt idx="21">
                  <c:v>6.0729999999999999E-2</c:v>
                </c:pt>
                <c:pt idx="22">
                  <c:v>6.0999999999999999E-2</c:v>
                </c:pt>
                <c:pt idx="23">
                  <c:v>6.1089999999999998E-2</c:v>
                </c:pt>
                <c:pt idx="24">
                  <c:v>6.2E-2</c:v>
                </c:pt>
                <c:pt idx="25">
                  <c:v>6.4530000000000004E-2</c:v>
                </c:pt>
                <c:pt idx="26">
                  <c:v>6.8000000000000005E-2</c:v>
                </c:pt>
                <c:pt idx="27">
                  <c:v>7.1150000000000005E-2</c:v>
                </c:pt>
                <c:pt idx="28">
                  <c:v>7.1999999999999995E-2</c:v>
                </c:pt>
                <c:pt idx="29">
                  <c:v>7.0379999999999998E-2</c:v>
                </c:pt>
                <c:pt idx="30">
                  <c:v>7.3999999999999996E-2</c:v>
                </c:pt>
                <c:pt idx="31">
                  <c:v>8.9940000000000006E-2</c:v>
                </c:pt>
                <c:pt idx="32">
                  <c:v>0.115</c:v>
                </c:pt>
                <c:pt idx="33">
                  <c:v>0.14308999999999999</c:v>
                </c:pt>
                <c:pt idx="34">
                  <c:v>0.16700000000000001</c:v>
                </c:pt>
                <c:pt idx="35">
                  <c:v>0.18168000000000001</c:v>
                </c:pt>
                <c:pt idx="36">
                  <c:v>0.192</c:v>
                </c:pt>
                <c:pt idx="37">
                  <c:v>0.20293</c:v>
                </c:pt>
                <c:pt idx="38">
                  <c:v>0.21</c:v>
                </c:pt>
                <c:pt idx="39">
                  <c:v>0.20810999999999999</c:v>
                </c:pt>
                <c:pt idx="40">
                  <c:v>0.19900000000000001</c:v>
                </c:pt>
                <c:pt idx="41">
                  <c:v>0.18615000000000001</c:v>
                </c:pt>
                <c:pt idx="42">
                  <c:v>0.17299999999999999</c:v>
                </c:pt>
                <c:pt idx="43">
                  <c:v>0.16242000000000001</c:v>
                </c:pt>
                <c:pt idx="44">
                  <c:v>0.155</c:v>
                </c:pt>
                <c:pt idx="45">
                  <c:v>0.15106</c:v>
                </c:pt>
                <c:pt idx="46">
                  <c:v>0.152</c:v>
                </c:pt>
                <c:pt idx="47">
                  <c:v>0.15770999999999999</c:v>
                </c:pt>
                <c:pt idx="48">
                  <c:v>0.161</c:v>
                </c:pt>
                <c:pt idx="49">
                  <c:v>0.15559000000000001</c:v>
                </c:pt>
                <c:pt idx="50">
                  <c:v>0.14599999999999999</c:v>
                </c:pt>
                <c:pt idx="51">
                  <c:v>0.13791999999999999</c:v>
                </c:pt>
                <c:pt idx="52">
                  <c:v>0.13100000000000001</c:v>
                </c:pt>
                <c:pt idx="53">
                  <c:v>0.12386</c:v>
                </c:pt>
                <c:pt idx="54">
                  <c:v>0.11700000000000001</c:v>
                </c:pt>
                <c:pt idx="55">
                  <c:v>0.11101</c:v>
                </c:pt>
                <c:pt idx="56">
                  <c:v>0.105</c:v>
                </c:pt>
                <c:pt idx="57">
                  <c:v>9.8479999999999998E-2</c:v>
                </c:pt>
                <c:pt idx="58">
                  <c:v>9.4E-2</c:v>
                </c:pt>
                <c:pt idx="59">
                  <c:v>9.4710000000000003E-2</c:v>
                </c:pt>
                <c:pt idx="60">
                  <c:v>0.1031</c:v>
                </c:pt>
                <c:pt idx="61">
                  <c:v>0.1208</c:v>
                </c:pt>
                <c:pt idx="62">
                  <c:v>0.14660000000000001</c:v>
                </c:pt>
                <c:pt idx="63">
                  <c:v>0.17877000000000001</c:v>
                </c:pt>
                <c:pt idx="64">
                  <c:v>0.21629999999999999</c:v>
                </c:pt>
                <c:pt idx="65">
                  <c:v>0.25833</c:v>
                </c:pt>
                <c:pt idx="66">
                  <c:v>0.30380000000000001</c:v>
                </c:pt>
                <c:pt idx="67">
                  <c:v>0.35161999999999999</c:v>
                </c:pt>
                <c:pt idx="68">
                  <c:v>0.4007</c:v>
                </c:pt>
                <c:pt idx="69">
                  <c:v>0.45484000000000002</c:v>
                </c:pt>
                <c:pt idx="70">
                  <c:v>0.50885999999999998</c:v>
                </c:pt>
                <c:pt idx="71">
                  <c:v>0.56267</c:v>
                </c:pt>
                <c:pt idx="72">
                  <c:v>0.61504999999999999</c:v>
                </c:pt>
                <c:pt idx="73">
                  <c:v>0.66488999999999998</c:v>
                </c:pt>
                <c:pt idx="74">
                  <c:v>0.71130000000000004</c:v>
                </c:pt>
                <c:pt idx="75">
                  <c:v>0.75366999999999995</c:v>
                </c:pt>
                <c:pt idx="76">
                  <c:v>0.79164000000000001</c:v>
                </c:pt>
                <c:pt idx="77">
                  <c:v>0.82511999999999996</c:v>
                </c:pt>
                <c:pt idx="78">
                  <c:v>0.85421000000000002</c:v>
                </c:pt>
                <c:pt idx="79">
                  <c:v>0.87917000000000001</c:v>
                </c:pt>
                <c:pt idx="80">
                  <c:v>0.90034999999999998</c:v>
                </c:pt>
                <c:pt idx="81">
                  <c:v>0.91817000000000004</c:v>
                </c:pt>
                <c:pt idx="82">
                  <c:v>0.93303000000000003</c:v>
                </c:pt>
                <c:pt idx="83">
                  <c:v>0.94535999999999998</c:v>
                </c:pt>
                <c:pt idx="84">
                  <c:v>0.95552999999999999</c:v>
                </c:pt>
                <c:pt idx="85">
                  <c:v>0.95552999999999999</c:v>
                </c:pt>
                <c:pt idx="86">
                  <c:v>0.95552999999999999</c:v>
                </c:pt>
                <c:pt idx="87">
                  <c:v>0.95552999999999999</c:v>
                </c:pt>
                <c:pt idx="88">
                  <c:v>0.95552999999999999</c:v>
                </c:pt>
                <c:pt idx="89">
                  <c:v>0.95552999999999999</c:v>
                </c:pt>
                <c:pt idx="90">
                  <c:v>0.95552999999999999</c:v>
                </c:pt>
                <c:pt idx="91">
                  <c:v>0.95552999999999999</c:v>
                </c:pt>
                <c:pt idx="92">
                  <c:v>0.95552999999999999</c:v>
                </c:pt>
                <c:pt idx="93">
                  <c:v>0.95552999999999999</c:v>
                </c:pt>
                <c:pt idx="94">
                  <c:v>0.95552999999999999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3FE4-445B-8EEB-D88489EA6296}"/>
            </c:ext>
          </c:extLst>
        </c:ser>
        <c:ser>
          <c:idx val="38"/>
          <c:order val="3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'99set'!$AN$10:$AN$104</c:f>
              <c:numCache>
                <c:formatCode>0.00000</c:formatCode>
                <c:ptCount val="95"/>
                <c:pt idx="0">
                  <c:v>0.11323</c:v>
                </c:pt>
                <c:pt idx="1">
                  <c:v>0.11323</c:v>
                </c:pt>
                <c:pt idx="2">
                  <c:v>0.11323</c:v>
                </c:pt>
                <c:pt idx="3">
                  <c:v>0.11323</c:v>
                </c:pt>
                <c:pt idx="4">
                  <c:v>0.11323</c:v>
                </c:pt>
                <c:pt idx="5">
                  <c:v>0.11525000000000001</c:v>
                </c:pt>
                <c:pt idx="6">
                  <c:v>0.10979</c:v>
                </c:pt>
                <c:pt idx="7">
                  <c:v>9.5409999999999995E-2</c:v>
                </c:pt>
                <c:pt idx="8">
                  <c:v>8.6889999999999995E-2</c:v>
                </c:pt>
                <c:pt idx="9">
                  <c:v>8.2239999999999994E-2</c:v>
                </c:pt>
                <c:pt idx="10">
                  <c:v>8.1420000000000006E-2</c:v>
                </c:pt>
                <c:pt idx="11">
                  <c:v>8.6809999999999998E-2</c:v>
                </c:pt>
                <c:pt idx="12">
                  <c:v>0.10151</c:v>
                </c:pt>
                <c:pt idx="13">
                  <c:v>0.12741</c:v>
                </c:pt>
                <c:pt idx="14">
                  <c:v>0.16431000000000001</c:v>
                </c:pt>
                <c:pt idx="15">
                  <c:v>0.21013999999999999</c:v>
                </c:pt>
                <c:pt idx="16">
                  <c:v>0.26264999999999999</c:v>
                </c:pt>
                <c:pt idx="17">
                  <c:v>0.31889000000000001</c:v>
                </c:pt>
                <c:pt idx="18">
                  <c:v>0.37622</c:v>
                </c:pt>
                <c:pt idx="19">
                  <c:v>0.43059999999999998</c:v>
                </c:pt>
                <c:pt idx="20">
                  <c:v>0.47843999999999998</c:v>
                </c:pt>
                <c:pt idx="21">
                  <c:v>0.51829000000000003</c:v>
                </c:pt>
                <c:pt idx="22">
                  <c:v>0.55028999999999995</c:v>
                </c:pt>
                <c:pt idx="23">
                  <c:v>0.57599</c:v>
                </c:pt>
                <c:pt idx="24">
                  <c:v>0.59562000000000004</c:v>
                </c:pt>
                <c:pt idx="25">
                  <c:v>0.61048999999999998</c:v>
                </c:pt>
                <c:pt idx="26">
                  <c:v>0.62077000000000004</c:v>
                </c:pt>
                <c:pt idx="27">
                  <c:v>0.62697999999999998</c:v>
                </c:pt>
                <c:pt idx="28">
                  <c:v>0.63270000000000004</c:v>
                </c:pt>
                <c:pt idx="29">
                  <c:v>0.64010999999999996</c:v>
                </c:pt>
                <c:pt idx="30">
                  <c:v>0.64719000000000004</c:v>
                </c:pt>
                <c:pt idx="31">
                  <c:v>0.65171000000000001</c:v>
                </c:pt>
                <c:pt idx="32">
                  <c:v>0.65373000000000003</c:v>
                </c:pt>
                <c:pt idx="33">
                  <c:v>0.65447</c:v>
                </c:pt>
                <c:pt idx="34">
                  <c:v>0.65537999999999996</c:v>
                </c:pt>
                <c:pt idx="35">
                  <c:v>0.65739000000000003</c:v>
                </c:pt>
                <c:pt idx="36">
                  <c:v>0.65954000000000002</c:v>
                </c:pt>
                <c:pt idx="37">
                  <c:v>0.66027000000000002</c:v>
                </c:pt>
                <c:pt idx="38">
                  <c:v>0.65922999999999998</c:v>
                </c:pt>
                <c:pt idx="39">
                  <c:v>0.65778999999999999</c:v>
                </c:pt>
                <c:pt idx="40">
                  <c:v>0.65798999999999996</c:v>
                </c:pt>
                <c:pt idx="41">
                  <c:v>0.65939999999999999</c:v>
                </c:pt>
                <c:pt idx="42">
                  <c:v>0.66049000000000002</c:v>
                </c:pt>
                <c:pt idx="43">
                  <c:v>0.66093999999999997</c:v>
                </c:pt>
                <c:pt idx="44">
                  <c:v>0.66122000000000003</c:v>
                </c:pt>
                <c:pt idx="45">
                  <c:v>0.66190000000000004</c:v>
                </c:pt>
                <c:pt idx="46">
                  <c:v>0.66315000000000002</c:v>
                </c:pt>
                <c:pt idx="47">
                  <c:v>0.66457999999999995</c:v>
                </c:pt>
                <c:pt idx="48">
                  <c:v>0.66544000000000003</c:v>
                </c:pt>
                <c:pt idx="49">
                  <c:v>0.66585000000000005</c:v>
                </c:pt>
                <c:pt idx="50">
                  <c:v>0.66683999999999999</c:v>
                </c:pt>
                <c:pt idx="51">
                  <c:v>0.66881000000000002</c:v>
                </c:pt>
                <c:pt idx="52">
                  <c:v>0.67059999999999997</c:v>
                </c:pt>
                <c:pt idx="53">
                  <c:v>0.67137999999999998</c:v>
                </c:pt>
                <c:pt idx="54">
                  <c:v>0.67118999999999995</c:v>
                </c:pt>
                <c:pt idx="55">
                  <c:v>0.67049000000000003</c:v>
                </c:pt>
                <c:pt idx="56">
                  <c:v>0.67040999999999995</c:v>
                </c:pt>
                <c:pt idx="57">
                  <c:v>0.67108000000000001</c:v>
                </c:pt>
                <c:pt idx="58">
                  <c:v>0.67105999999999999</c:v>
                </c:pt>
                <c:pt idx="59">
                  <c:v>0.67023999999999995</c:v>
                </c:pt>
                <c:pt idx="60">
                  <c:v>0.66944000000000004</c:v>
                </c:pt>
                <c:pt idx="61">
                  <c:v>0.66846000000000005</c:v>
                </c:pt>
                <c:pt idx="62">
                  <c:v>0.66851000000000005</c:v>
                </c:pt>
                <c:pt idx="63">
                  <c:v>0.67027999999999999</c:v>
                </c:pt>
                <c:pt idx="64">
                  <c:v>0.67149000000000003</c:v>
                </c:pt>
                <c:pt idx="65">
                  <c:v>0.67257999999999996</c:v>
                </c:pt>
                <c:pt idx="66">
                  <c:v>0.67427999999999999</c:v>
                </c:pt>
                <c:pt idx="67">
                  <c:v>0.67637999999999998</c:v>
                </c:pt>
                <c:pt idx="68">
                  <c:v>0.67857000000000001</c:v>
                </c:pt>
                <c:pt idx="69">
                  <c:v>0.68189999999999995</c:v>
                </c:pt>
                <c:pt idx="70">
                  <c:v>0.68591999999999997</c:v>
                </c:pt>
                <c:pt idx="71">
                  <c:v>0.68952000000000002</c:v>
                </c:pt>
                <c:pt idx="72">
                  <c:v>0.69328000000000001</c:v>
                </c:pt>
                <c:pt idx="73">
                  <c:v>0.69711000000000001</c:v>
                </c:pt>
                <c:pt idx="74">
                  <c:v>0.70082999999999995</c:v>
                </c:pt>
                <c:pt idx="75">
                  <c:v>0.70452000000000004</c:v>
                </c:pt>
                <c:pt idx="76">
                  <c:v>0.70818999999999999</c:v>
                </c:pt>
                <c:pt idx="77">
                  <c:v>0.71182999999999996</c:v>
                </c:pt>
                <c:pt idx="78">
                  <c:v>0.71543999999999996</c:v>
                </c:pt>
                <c:pt idx="79">
                  <c:v>0.71902999999999995</c:v>
                </c:pt>
                <c:pt idx="80">
                  <c:v>0.72258</c:v>
                </c:pt>
                <c:pt idx="81">
                  <c:v>0.72614999999999996</c:v>
                </c:pt>
                <c:pt idx="82">
                  <c:v>0.72967000000000004</c:v>
                </c:pt>
                <c:pt idx="83">
                  <c:v>0.73316000000000003</c:v>
                </c:pt>
                <c:pt idx="84">
                  <c:v>0.73660999999999999</c:v>
                </c:pt>
                <c:pt idx="85">
                  <c:v>0.73660999999999999</c:v>
                </c:pt>
                <c:pt idx="86">
                  <c:v>0.73660999999999999</c:v>
                </c:pt>
                <c:pt idx="87">
                  <c:v>0.73660999999999999</c:v>
                </c:pt>
                <c:pt idx="88">
                  <c:v>0.73660999999999999</c:v>
                </c:pt>
                <c:pt idx="89">
                  <c:v>0.73660999999999999</c:v>
                </c:pt>
                <c:pt idx="90">
                  <c:v>0.73660999999999999</c:v>
                </c:pt>
                <c:pt idx="91">
                  <c:v>0.73660999999999999</c:v>
                </c:pt>
                <c:pt idx="92">
                  <c:v>0.73660999999999999</c:v>
                </c:pt>
                <c:pt idx="93">
                  <c:v>0.73660999999999999</c:v>
                </c:pt>
                <c:pt idx="94">
                  <c:v>0.73660999999999999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5-3FE4-445B-8EEB-D88489EA6296}"/>
            </c:ext>
          </c:extLst>
        </c:ser>
        <c:ser>
          <c:idx val="39"/>
          <c:order val="3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'99set'!$AO$10:$AO$104</c:f>
              <c:numCache>
                <c:formatCode>0.00000</c:formatCode>
                <c:ptCount val="95"/>
                <c:pt idx="0">
                  <c:v>4.5659999999999999E-2</c:v>
                </c:pt>
                <c:pt idx="1">
                  <c:v>4.5659999999999999E-2</c:v>
                </c:pt>
                <c:pt idx="2">
                  <c:v>4.5659999999999999E-2</c:v>
                </c:pt>
                <c:pt idx="3">
                  <c:v>4.5659999999999999E-2</c:v>
                </c:pt>
                <c:pt idx="4">
                  <c:v>4.5659999999999999E-2</c:v>
                </c:pt>
                <c:pt idx="5">
                  <c:v>4.573E-2</c:v>
                </c:pt>
                <c:pt idx="6">
                  <c:v>4.58E-2</c:v>
                </c:pt>
                <c:pt idx="7">
                  <c:v>4.5879999999999997E-2</c:v>
                </c:pt>
                <c:pt idx="8">
                  <c:v>4.6059999999999997E-2</c:v>
                </c:pt>
                <c:pt idx="9">
                  <c:v>4.5969999999999997E-2</c:v>
                </c:pt>
                <c:pt idx="10">
                  <c:v>4.6059999999999997E-2</c:v>
                </c:pt>
                <c:pt idx="11">
                  <c:v>4.6339999999999999E-2</c:v>
                </c:pt>
                <c:pt idx="12">
                  <c:v>4.6780000000000002E-2</c:v>
                </c:pt>
                <c:pt idx="13">
                  <c:v>4.7410000000000001E-2</c:v>
                </c:pt>
                <c:pt idx="14">
                  <c:v>4.8230000000000002E-2</c:v>
                </c:pt>
                <c:pt idx="15">
                  <c:v>4.9250000000000002E-2</c:v>
                </c:pt>
                <c:pt idx="16">
                  <c:v>5.0389999999999997E-2</c:v>
                </c:pt>
                <c:pt idx="17">
                  <c:v>5.16E-2</c:v>
                </c:pt>
                <c:pt idx="18">
                  <c:v>5.2970000000000003E-2</c:v>
                </c:pt>
                <c:pt idx="19">
                  <c:v>5.4530000000000002E-2</c:v>
                </c:pt>
                <c:pt idx="20">
                  <c:v>5.595E-2</c:v>
                </c:pt>
                <c:pt idx="21">
                  <c:v>5.6980000000000003E-2</c:v>
                </c:pt>
                <c:pt idx="22">
                  <c:v>5.7910000000000003E-2</c:v>
                </c:pt>
                <c:pt idx="23">
                  <c:v>5.9319999999999998E-2</c:v>
                </c:pt>
                <c:pt idx="24">
                  <c:v>6.2239999999999997E-2</c:v>
                </c:pt>
                <c:pt idx="25">
                  <c:v>6.7419999999999994E-2</c:v>
                </c:pt>
                <c:pt idx="26">
                  <c:v>7.3889999999999997E-2</c:v>
                </c:pt>
                <c:pt idx="27">
                  <c:v>8.0310000000000006E-2</c:v>
                </c:pt>
                <c:pt idx="28">
                  <c:v>8.5629999999999998E-2</c:v>
                </c:pt>
                <c:pt idx="29">
                  <c:v>8.9160000000000003E-2</c:v>
                </c:pt>
                <c:pt idx="30">
                  <c:v>9.1300000000000006E-2</c:v>
                </c:pt>
                <c:pt idx="31">
                  <c:v>9.2560000000000003E-2</c:v>
                </c:pt>
                <c:pt idx="32">
                  <c:v>9.2539999999999997E-2</c:v>
                </c:pt>
                <c:pt idx="33">
                  <c:v>9.0859999999999996E-2</c:v>
                </c:pt>
                <c:pt idx="34">
                  <c:v>8.7999999999999995E-2</c:v>
                </c:pt>
                <c:pt idx="35">
                  <c:v>8.4610000000000005E-2</c:v>
                </c:pt>
                <c:pt idx="36">
                  <c:v>8.1100000000000005E-2</c:v>
                </c:pt>
                <c:pt idx="37">
                  <c:v>7.7770000000000006E-2</c:v>
                </c:pt>
                <c:pt idx="38">
                  <c:v>7.4609999999999996E-2</c:v>
                </c:pt>
                <c:pt idx="39">
                  <c:v>7.1650000000000005E-2</c:v>
                </c:pt>
                <c:pt idx="40">
                  <c:v>6.9349999999999995E-2</c:v>
                </c:pt>
                <c:pt idx="41">
                  <c:v>6.8110000000000004E-2</c:v>
                </c:pt>
                <c:pt idx="42">
                  <c:v>6.7699999999999996E-2</c:v>
                </c:pt>
                <c:pt idx="43">
                  <c:v>6.7839999999999998E-2</c:v>
                </c:pt>
                <c:pt idx="44">
                  <c:v>6.8629999999999997E-2</c:v>
                </c:pt>
                <c:pt idx="45">
                  <c:v>7.0180000000000006E-2</c:v>
                </c:pt>
                <c:pt idx="46">
                  <c:v>7.2239999999999999E-2</c:v>
                </c:pt>
                <c:pt idx="47">
                  <c:v>7.4440000000000006E-2</c:v>
                </c:pt>
                <c:pt idx="48">
                  <c:v>7.646E-2</c:v>
                </c:pt>
                <c:pt idx="49">
                  <c:v>7.8049999999999994E-2</c:v>
                </c:pt>
                <c:pt idx="50">
                  <c:v>7.9240000000000005E-2</c:v>
                </c:pt>
                <c:pt idx="51">
                  <c:v>8.0170000000000005E-2</c:v>
                </c:pt>
                <c:pt idx="52">
                  <c:v>8.0890000000000004E-2</c:v>
                </c:pt>
                <c:pt idx="53">
                  <c:v>8.1470000000000001E-2</c:v>
                </c:pt>
                <c:pt idx="54">
                  <c:v>8.1920000000000007E-2</c:v>
                </c:pt>
                <c:pt idx="55">
                  <c:v>8.233E-2</c:v>
                </c:pt>
                <c:pt idx="56">
                  <c:v>8.2949999999999996E-2</c:v>
                </c:pt>
                <c:pt idx="57">
                  <c:v>8.4010000000000001E-2</c:v>
                </c:pt>
                <c:pt idx="58">
                  <c:v>8.5319999999999993E-2</c:v>
                </c:pt>
                <c:pt idx="59">
                  <c:v>8.6610000000000006E-2</c:v>
                </c:pt>
                <c:pt idx="60">
                  <c:v>8.7590000000000001E-2</c:v>
                </c:pt>
                <c:pt idx="61">
                  <c:v>8.8069999999999996E-2</c:v>
                </c:pt>
                <c:pt idx="62">
                  <c:v>8.8209999999999997E-2</c:v>
                </c:pt>
                <c:pt idx="63">
                  <c:v>8.8230000000000003E-2</c:v>
                </c:pt>
                <c:pt idx="64">
                  <c:v>8.8209999999999997E-2</c:v>
                </c:pt>
                <c:pt idx="65">
                  <c:v>8.8179999999999994E-2</c:v>
                </c:pt>
                <c:pt idx="66">
                  <c:v>8.8109999999999994E-2</c:v>
                </c:pt>
                <c:pt idx="67">
                  <c:v>8.7959999999999997E-2</c:v>
                </c:pt>
                <c:pt idx="68">
                  <c:v>8.7690000000000004E-2</c:v>
                </c:pt>
                <c:pt idx="69">
                  <c:v>8.7599999999999997E-2</c:v>
                </c:pt>
                <c:pt idx="70">
                  <c:v>8.7429999999999994E-2</c:v>
                </c:pt>
                <c:pt idx="71">
                  <c:v>8.727E-2</c:v>
                </c:pt>
                <c:pt idx="72">
                  <c:v>8.7110000000000007E-2</c:v>
                </c:pt>
                <c:pt idx="73">
                  <c:v>8.6940000000000003E-2</c:v>
                </c:pt>
                <c:pt idx="74">
                  <c:v>8.6779999999999996E-2</c:v>
                </c:pt>
                <c:pt idx="75">
                  <c:v>8.6620000000000003E-2</c:v>
                </c:pt>
                <c:pt idx="76">
                  <c:v>8.6449999999999999E-2</c:v>
                </c:pt>
                <c:pt idx="77">
                  <c:v>8.6290000000000006E-2</c:v>
                </c:pt>
                <c:pt idx="78">
                  <c:v>8.6129999999999998E-2</c:v>
                </c:pt>
                <c:pt idx="79">
                  <c:v>8.5970000000000005E-2</c:v>
                </c:pt>
                <c:pt idx="80">
                  <c:v>8.5809999999999997E-2</c:v>
                </c:pt>
                <c:pt idx="81">
                  <c:v>8.5650000000000004E-2</c:v>
                </c:pt>
                <c:pt idx="82">
                  <c:v>8.5489999999999997E-2</c:v>
                </c:pt>
                <c:pt idx="83">
                  <c:v>8.5330000000000003E-2</c:v>
                </c:pt>
                <c:pt idx="84">
                  <c:v>8.5169999999999996E-2</c:v>
                </c:pt>
                <c:pt idx="85">
                  <c:v>8.5169999999999996E-2</c:v>
                </c:pt>
                <c:pt idx="86">
                  <c:v>8.5169999999999996E-2</c:v>
                </c:pt>
                <c:pt idx="87">
                  <c:v>8.5169999999999996E-2</c:v>
                </c:pt>
                <c:pt idx="88">
                  <c:v>8.5169999999999996E-2</c:v>
                </c:pt>
                <c:pt idx="89">
                  <c:v>8.5169999999999996E-2</c:v>
                </c:pt>
                <c:pt idx="90">
                  <c:v>8.5169999999999996E-2</c:v>
                </c:pt>
                <c:pt idx="91">
                  <c:v>8.5169999999999996E-2</c:v>
                </c:pt>
                <c:pt idx="92">
                  <c:v>8.5169999999999996E-2</c:v>
                </c:pt>
                <c:pt idx="93">
                  <c:v>8.5169999999999996E-2</c:v>
                </c:pt>
                <c:pt idx="94">
                  <c:v>8.5169999999999996E-2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3FE4-445B-8EEB-D88489EA6296}"/>
            </c:ext>
          </c:extLst>
        </c:ser>
        <c:ser>
          <c:idx val="40"/>
          <c:order val="3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'99set'!$AP$10:$AP$104</c:f>
              <c:numCache>
                <c:formatCode>0.00000</c:formatCode>
                <c:ptCount val="95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7.5020000000000003E-2</c:v>
                </c:pt>
                <c:pt idx="6">
                  <c:v>7.5029999999999999E-2</c:v>
                </c:pt>
                <c:pt idx="7">
                  <c:v>7.5039999999999996E-2</c:v>
                </c:pt>
                <c:pt idx="8">
                  <c:v>7.5219999999999995E-2</c:v>
                </c:pt>
                <c:pt idx="9">
                  <c:v>7.4980000000000005E-2</c:v>
                </c:pt>
                <c:pt idx="10">
                  <c:v>7.5020000000000003E-2</c:v>
                </c:pt>
                <c:pt idx="11">
                  <c:v>7.5340000000000004E-2</c:v>
                </c:pt>
                <c:pt idx="12">
                  <c:v>7.5950000000000004E-2</c:v>
                </c:pt>
                <c:pt idx="13">
                  <c:v>7.6829999999999996E-2</c:v>
                </c:pt>
                <c:pt idx="14">
                  <c:v>7.8009999999999996E-2</c:v>
                </c:pt>
                <c:pt idx="15">
                  <c:v>7.9500000000000001E-2</c:v>
                </c:pt>
                <c:pt idx="16">
                  <c:v>8.1299999999999997E-2</c:v>
                </c:pt>
                <c:pt idx="17">
                  <c:v>8.3470000000000003E-2</c:v>
                </c:pt>
                <c:pt idx="18">
                  <c:v>8.6249999999999993E-2</c:v>
                </c:pt>
                <c:pt idx="19">
                  <c:v>8.9639999999999997E-2</c:v>
                </c:pt>
                <c:pt idx="20">
                  <c:v>9.2429999999999998E-2</c:v>
                </c:pt>
                <c:pt idx="21">
                  <c:v>9.3710000000000002E-2</c:v>
                </c:pt>
                <c:pt idx="22">
                  <c:v>9.4799999999999995E-2</c:v>
                </c:pt>
                <c:pt idx="23">
                  <c:v>9.7939999999999999E-2</c:v>
                </c:pt>
                <c:pt idx="24">
                  <c:v>0.10655000000000001</c:v>
                </c:pt>
                <c:pt idx="25">
                  <c:v>0.12302</c:v>
                </c:pt>
                <c:pt idx="26">
                  <c:v>0.14427000000000001</c:v>
                </c:pt>
                <c:pt idx="27">
                  <c:v>0.16617000000000001</c:v>
                </c:pt>
                <c:pt idx="28">
                  <c:v>0.186</c:v>
                </c:pt>
                <c:pt idx="29">
                  <c:v>0.20197999999999999</c:v>
                </c:pt>
                <c:pt idx="30">
                  <c:v>0.21465000000000001</c:v>
                </c:pt>
                <c:pt idx="31">
                  <c:v>0.22434999999999999</c:v>
                </c:pt>
                <c:pt idx="32">
                  <c:v>0.22825000000000001</c:v>
                </c:pt>
                <c:pt idx="33">
                  <c:v>0.22392999999999999</c:v>
                </c:pt>
                <c:pt idx="34">
                  <c:v>0.21393000000000001</c:v>
                </c:pt>
                <c:pt idx="35">
                  <c:v>0.20158000000000001</c:v>
                </c:pt>
                <c:pt idx="36">
                  <c:v>0.18858</c:v>
                </c:pt>
                <c:pt idx="37">
                  <c:v>0.17596000000000001</c:v>
                </c:pt>
                <c:pt idx="38">
                  <c:v>0.16384000000000001</c:v>
                </c:pt>
                <c:pt idx="39">
                  <c:v>0.15243999999999999</c:v>
                </c:pt>
                <c:pt idx="40">
                  <c:v>0.14313000000000001</c:v>
                </c:pt>
                <c:pt idx="41">
                  <c:v>0.13716</c:v>
                </c:pt>
                <c:pt idx="42">
                  <c:v>0.13396</c:v>
                </c:pt>
                <c:pt idx="43">
                  <c:v>0.13286000000000001</c:v>
                </c:pt>
                <c:pt idx="44">
                  <c:v>0.13458000000000001</c:v>
                </c:pt>
                <c:pt idx="45">
                  <c:v>0.13977999999999999</c:v>
                </c:pt>
                <c:pt idx="46">
                  <c:v>0.14735999999999999</c:v>
                </c:pt>
                <c:pt idx="47">
                  <c:v>0.15579000000000001</c:v>
                </c:pt>
                <c:pt idx="48">
                  <c:v>0.16364000000000001</c:v>
                </c:pt>
                <c:pt idx="49">
                  <c:v>0.16980000000000001</c:v>
                </c:pt>
                <c:pt idx="50">
                  <c:v>0.17455999999999999</c:v>
                </c:pt>
                <c:pt idx="51">
                  <c:v>0.17846000000000001</c:v>
                </c:pt>
                <c:pt idx="52">
                  <c:v>0.18157000000000001</c:v>
                </c:pt>
                <c:pt idx="53">
                  <c:v>0.18390999999999999</c:v>
                </c:pt>
                <c:pt idx="54">
                  <c:v>0.18568999999999999</c:v>
                </c:pt>
                <c:pt idx="55">
                  <c:v>0.18725</c:v>
                </c:pt>
                <c:pt idx="56">
                  <c:v>0.1893</c:v>
                </c:pt>
                <c:pt idx="57">
                  <c:v>0.19238</c:v>
                </c:pt>
                <c:pt idx="58">
                  <c:v>0.1961</c:v>
                </c:pt>
                <c:pt idx="59">
                  <c:v>0.19975999999999999</c:v>
                </c:pt>
                <c:pt idx="60">
                  <c:v>0.20258999999999999</c:v>
                </c:pt>
                <c:pt idx="61">
                  <c:v>0.20399999999999999</c:v>
                </c:pt>
                <c:pt idx="62">
                  <c:v>0.20433999999999999</c:v>
                </c:pt>
                <c:pt idx="63">
                  <c:v>0.20413000000000001</c:v>
                </c:pt>
                <c:pt idx="64">
                  <c:v>0.20352000000000001</c:v>
                </c:pt>
                <c:pt idx="65">
                  <c:v>0.20254</c:v>
                </c:pt>
                <c:pt idx="66">
                  <c:v>0.20115</c:v>
                </c:pt>
                <c:pt idx="67">
                  <c:v>0.19927</c:v>
                </c:pt>
                <c:pt idx="68">
                  <c:v>0.19681999999999999</c:v>
                </c:pt>
                <c:pt idx="69">
                  <c:v>0.19524</c:v>
                </c:pt>
                <c:pt idx="70">
                  <c:v>0.19333</c:v>
                </c:pt>
                <c:pt idx="71">
                  <c:v>0.19144</c:v>
                </c:pt>
                <c:pt idx="72">
                  <c:v>0.18956000000000001</c:v>
                </c:pt>
                <c:pt idx="73">
                  <c:v>0.18769</c:v>
                </c:pt>
                <c:pt idx="74">
                  <c:v>0.18584000000000001</c:v>
                </c:pt>
                <c:pt idx="75">
                  <c:v>0.184</c:v>
                </c:pt>
                <c:pt idx="76">
                  <c:v>0.18218000000000001</c:v>
                </c:pt>
                <c:pt idx="77">
                  <c:v>0.18037</c:v>
                </c:pt>
                <c:pt idx="78">
                  <c:v>0.17857000000000001</c:v>
                </c:pt>
                <c:pt idx="79">
                  <c:v>0.17679</c:v>
                </c:pt>
                <c:pt idx="80">
                  <c:v>0.17502000000000001</c:v>
                </c:pt>
                <c:pt idx="81">
                  <c:v>0.17327000000000001</c:v>
                </c:pt>
                <c:pt idx="82">
                  <c:v>0.17152999999999999</c:v>
                </c:pt>
                <c:pt idx="83">
                  <c:v>0.16980999999999999</c:v>
                </c:pt>
                <c:pt idx="84">
                  <c:v>0.16808999999999999</c:v>
                </c:pt>
                <c:pt idx="85">
                  <c:v>0.16808999999999999</c:v>
                </c:pt>
                <c:pt idx="86">
                  <c:v>0.16808999999999999</c:v>
                </c:pt>
                <c:pt idx="87">
                  <c:v>0.16808999999999999</c:v>
                </c:pt>
                <c:pt idx="88">
                  <c:v>0.16808999999999999</c:v>
                </c:pt>
                <c:pt idx="89">
                  <c:v>0.16808999999999999</c:v>
                </c:pt>
                <c:pt idx="90">
                  <c:v>0.16808999999999999</c:v>
                </c:pt>
                <c:pt idx="91">
                  <c:v>0.16808999999999999</c:v>
                </c:pt>
                <c:pt idx="92">
                  <c:v>0.16808999999999999</c:v>
                </c:pt>
                <c:pt idx="93">
                  <c:v>0.16808999999999999</c:v>
                </c:pt>
                <c:pt idx="94">
                  <c:v>0.16808999999999999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7-3FE4-445B-8EEB-D88489EA6296}"/>
            </c:ext>
          </c:extLst>
        </c:ser>
        <c:ser>
          <c:idx val="41"/>
          <c:order val="4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'99set'!$AQ$10:$AQ$104</c:f>
              <c:numCache>
                <c:formatCode>0.00000</c:formatCode>
                <c:ptCount val="95"/>
                <c:pt idx="0">
                  <c:v>0.4098</c:v>
                </c:pt>
                <c:pt idx="1">
                  <c:v>0.4098</c:v>
                </c:pt>
                <c:pt idx="2">
                  <c:v>0.4098</c:v>
                </c:pt>
                <c:pt idx="3">
                  <c:v>0.4098</c:v>
                </c:pt>
                <c:pt idx="4">
                  <c:v>0.4098</c:v>
                </c:pt>
                <c:pt idx="5">
                  <c:v>0.4098</c:v>
                </c:pt>
                <c:pt idx="6">
                  <c:v>0.4098</c:v>
                </c:pt>
                <c:pt idx="7">
                  <c:v>0.4098</c:v>
                </c:pt>
                <c:pt idx="8">
                  <c:v>0.4098</c:v>
                </c:pt>
                <c:pt idx="9">
                  <c:v>0.41775000000000001</c:v>
                </c:pt>
                <c:pt idx="10">
                  <c:v>0.4269</c:v>
                </c:pt>
                <c:pt idx="11">
                  <c:v>0.43208999999999997</c:v>
                </c:pt>
                <c:pt idx="12">
                  <c:v>0.43680000000000002</c:v>
                </c:pt>
                <c:pt idx="13">
                  <c:v>0.44546000000000002</c:v>
                </c:pt>
                <c:pt idx="14">
                  <c:v>0.4577</c:v>
                </c:pt>
                <c:pt idx="15">
                  <c:v>0.47231000000000001</c:v>
                </c:pt>
                <c:pt idx="16">
                  <c:v>0.48949999999999999</c:v>
                </c:pt>
                <c:pt idx="17">
                  <c:v>0.50976999999999995</c:v>
                </c:pt>
                <c:pt idx="18">
                  <c:v>0.5333</c:v>
                </c:pt>
                <c:pt idx="19">
                  <c:v>0.55996000000000001</c:v>
                </c:pt>
                <c:pt idx="20">
                  <c:v>0.58879999999999999</c:v>
                </c:pt>
                <c:pt idx="21">
                  <c:v>0.61853999999999998</c:v>
                </c:pt>
                <c:pt idx="22">
                  <c:v>0.64749999999999996</c:v>
                </c:pt>
                <c:pt idx="23">
                  <c:v>0.67396</c:v>
                </c:pt>
                <c:pt idx="24">
                  <c:v>0.69650000000000001</c:v>
                </c:pt>
                <c:pt idx="25">
                  <c:v>0.71397999999999995</c:v>
                </c:pt>
                <c:pt idx="26">
                  <c:v>0.72619999999999996</c:v>
                </c:pt>
                <c:pt idx="27">
                  <c:v>0.73336000000000001</c:v>
                </c:pt>
                <c:pt idx="28">
                  <c:v>0.73640000000000005</c:v>
                </c:pt>
                <c:pt idx="29">
                  <c:v>0.73638000000000003</c:v>
                </c:pt>
                <c:pt idx="30">
                  <c:v>0.73419999999999996</c:v>
                </c:pt>
                <c:pt idx="31">
                  <c:v>0.73060999999999998</c:v>
                </c:pt>
                <c:pt idx="32">
                  <c:v>0.72609999999999997</c:v>
                </c:pt>
                <c:pt idx="33">
                  <c:v>0.72101999999999999</c:v>
                </c:pt>
                <c:pt idx="34">
                  <c:v>0.71550000000000002</c:v>
                </c:pt>
                <c:pt idx="35">
                  <c:v>0.70967000000000002</c:v>
                </c:pt>
                <c:pt idx="36">
                  <c:v>0.70389999999999997</c:v>
                </c:pt>
                <c:pt idx="37">
                  <c:v>0.6986</c:v>
                </c:pt>
                <c:pt idx="38">
                  <c:v>0.69410000000000005</c:v>
                </c:pt>
                <c:pt idx="39">
                  <c:v>0.69062000000000001</c:v>
                </c:pt>
                <c:pt idx="40">
                  <c:v>0.68810000000000004</c:v>
                </c:pt>
                <c:pt idx="41">
                  <c:v>0.68630000000000002</c:v>
                </c:pt>
                <c:pt idx="42">
                  <c:v>0.68459999999999999</c:v>
                </c:pt>
                <c:pt idx="43">
                  <c:v>0.68242999999999998</c:v>
                </c:pt>
                <c:pt idx="44">
                  <c:v>0.67989999999999995</c:v>
                </c:pt>
                <c:pt idx="45">
                  <c:v>0.67728999999999995</c:v>
                </c:pt>
                <c:pt idx="46">
                  <c:v>0.67490000000000006</c:v>
                </c:pt>
                <c:pt idx="47">
                  <c:v>0.67300000000000004</c:v>
                </c:pt>
                <c:pt idx="48">
                  <c:v>0.67179999999999995</c:v>
                </c:pt>
                <c:pt idx="49">
                  <c:v>0.67137000000000002</c:v>
                </c:pt>
                <c:pt idx="50">
                  <c:v>0.6714</c:v>
                </c:pt>
                <c:pt idx="51">
                  <c:v>0.67164000000000001</c:v>
                </c:pt>
                <c:pt idx="52">
                  <c:v>0.67249999999999999</c:v>
                </c:pt>
                <c:pt idx="53">
                  <c:v>0.67464000000000002</c:v>
                </c:pt>
                <c:pt idx="54">
                  <c:v>0.67889999999999995</c:v>
                </c:pt>
                <c:pt idx="55">
                  <c:v>0.68615999999999999</c:v>
                </c:pt>
                <c:pt idx="56">
                  <c:v>0.69710000000000005</c:v>
                </c:pt>
                <c:pt idx="57">
                  <c:v>0.71218000000000004</c:v>
                </c:pt>
                <c:pt idx="58">
                  <c:v>0.73099999999999998</c:v>
                </c:pt>
                <c:pt idx="59">
                  <c:v>0.75283999999999995</c:v>
                </c:pt>
                <c:pt idx="60">
                  <c:v>0.77639999999999998</c:v>
                </c:pt>
                <c:pt idx="61">
                  <c:v>0.80025000000000002</c:v>
                </c:pt>
                <c:pt idx="62">
                  <c:v>0.82299999999999995</c:v>
                </c:pt>
                <c:pt idx="63">
                  <c:v>0.84343000000000001</c:v>
                </c:pt>
                <c:pt idx="64">
                  <c:v>0.8609</c:v>
                </c:pt>
                <c:pt idx="65">
                  <c:v>0.87517999999999996</c:v>
                </c:pt>
                <c:pt idx="66">
                  <c:v>0.88719999999999999</c:v>
                </c:pt>
                <c:pt idx="67">
                  <c:v>0.89754</c:v>
                </c:pt>
                <c:pt idx="68">
                  <c:v>0.90410000000000001</c:v>
                </c:pt>
                <c:pt idx="69">
                  <c:v>0.90410000000000001</c:v>
                </c:pt>
                <c:pt idx="70">
                  <c:v>0.90410000000000001</c:v>
                </c:pt>
                <c:pt idx="71">
                  <c:v>0.90410000000000001</c:v>
                </c:pt>
                <c:pt idx="72">
                  <c:v>0.90410000000000001</c:v>
                </c:pt>
                <c:pt idx="73">
                  <c:v>0.90410000000000001</c:v>
                </c:pt>
                <c:pt idx="74">
                  <c:v>0.90410000000000001</c:v>
                </c:pt>
                <c:pt idx="75">
                  <c:v>0.90410000000000001</c:v>
                </c:pt>
                <c:pt idx="76">
                  <c:v>0.90410000000000001</c:v>
                </c:pt>
                <c:pt idx="77">
                  <c:v>0.90410000000000001</c:v>
                </c:pt>
                <c:pt idx="78">
                  <c:v>0.90410000000000001</c:v>
                </c:pt>
                <c:pt idx="79">
                  <c:v>0.90410000000000001</c:v>
                </c:pt>
                <c:pt idx="80">
                  <c:v>0.90410000000000001</c:v>
                </c:pt>
                <c:pt idx="81">
                  <c:v>0.90410000000000001</c:v>
                </c:pt>
                <c:pt idx="82">
                  <c:v>0.90410000000000001</c:v>
                </c:pt>
                <c:pt idx="83">
                  <c:v>0.90410000000000001</c:v>
                </c:pt>
                <c:pt idx="84">
                  <c:v>0.90410000000000001</c:v>
                </c:pt>
                <c:pt idx="85">
                  <c:v>0.90410000000000001</c:v>
                </c:pt>
                <c:pt idx="86">
                  <c:v>0.90410000000000001</c:v>
                </c:pt>
                <c:pt idx="87">
                  <c:v>0.90410000000000001</c:v>
                </c:pt>
                <c:pt idx="88">
                  <c:v>0.90410000000000001</c:v>
                </c:pt>
                <c:pt idx="89">
                  <c:v>0.90410000000000001</c:v>
                </c:pt>
                <c:pt idx="90">
                  <c:v>0.90410000000000001</c:v>
                </c:pt>
                <c:pt idx="91">
                  <c:v>0.90410000000000001</c:v>
                </c:pt>
                <c:pt idx="92">
                  <c:v>0.90410000000000001</c:v>
                </c:pt>
                <c:pt idx="93">
                  <c:v>0.90410000000000001</c:v>
                </c:pt>
                <c:pt idx="94">
                  <c:v>0.90410000000000001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8-3FE4-445B-8EEB-D88489EA6296}"/>
            </c:ext>
          </c:extLst>
        </c:ser>
        <c:ser>
          <c:idx val="42"/>
          <c:order val="4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'99set'!$AR$10:$AR$104</c:f>
              <c:numCache>
                <c:formatCode>0.00000</c:formatCode>
                <c:ptCount val="95"/>
                <c:pt idx="0">
                  <c:v>6.5979999999999997E-2</c:v>
                </c:pt>
                <c:pt idx="1">
                  <c:v>6.5979999999999997E-2</c:v>
                </c:pt>
                <c:pt idx="2">
                  <c:v>6.5979999999999997E-2</c:v>
                </c:pt>
                <c:pt idx="3">
                  <c:v>6.5979999999999997E-2</c:v>
                </c:pt>
                <c:pt idx="4">
                  <c:v>6.5979999999999997E-2</c:v>
                </c:pt>
                <c:pt idx="5">
                  <c:v>6.5369999999999998E-2</c:v>
                </c:pt>
                <c:pt idx="6">
                  <c:v>6.4769999999999994E-2</c:v>
                </c:pt>
                <c:pt idx="7">
                  <c:v>6.4180000000000001E-2</c:v>
                </c:pt>
                <c:pt idx="8">
                  <c:v>6.3740000000000005E-2</c:v>
                </c:pt>
                <c:pt idx="9">
                  <c:v>6.2920000000000004E-2</c:v>
                </c:pt>
                <c:pt idx="10">
                  <c:v>6.2350000000000003E-2</c:v>
                </c:pt>
                <c:pt idx="11">
                  <c:v>6.2129999999999998E-2</c:v>
                </c:pt>
                <c:pt idx="12">
                  <c:v>6.2350000000000003E-2</c:v>
                </c:pt>
                <c:pt idx="13">
                  <c:v>6.3070000000000001E-2</c:v>
                </c:pt>
                <c:pt idx="14">
                  <c:v>6.4140000000000003E-2</c:v>
                </c:pt>
                <c:pt idx="15">
                  <c:v>6.54E-2</c:v>
                </c:pt>
                <c:pt idx="16">
                  <c:v>6.6820000000000004E-2</c:v>
                </c:pt>
                <c:pt idx="17">
                  <c:v>6.8449999999999997E-2</c:v>
                </c:pt>
                <c:pt idx="18">
                  <c:v>7.0499999999999993E-2</c:v>
                </c:pt>
                <c:pt idx="19">
                  <c:v>7.3279999999999998E-2</c:v>
                </c:pt>
                <c:pt idx="20">
                  <c:v>7.7249999999999999E-2</c:v>
                </c:pt>
                <c:pt idx="21">
                  <c:v>8.2750000000000004E-2</c:v>
                </c:pt>
                <c:pt idx="22">
                  <c:v>8.9660000000000004E-2</c:v>
                </c:pt>
                <c:pt idx="23">
                  <c:v>9.7860000000000003E-2</c:v>
                </c:pt>
                <c:pt idx="24">
                  <c:v>0.10793</c:v>
                </c:pt>
                <c:pt idx="25">
                  <c:v>0.12099</c:v>
                </c:pt>
                <c:pt idx="26">
                  <c:v>0.13980000000000001</c:v>
                </c:pt>
                <c:pt idx="27">
                  <c:v>0.16761000000000001</c:v>
                </c:pt>
                <c:pt idx="28">
                  <c:v>0.20821000000000001</c:v>
                </c:pt>
                <c:pt idx="29">
                  <c:v>0.26399</c:v>
                </c:pt>
                <c:pt idx="30">
                  <c:v>0.33133000000000001</c:v>
                </c:pt>
                <c:pt idx="31">
                  <c:v>0.40351999999999999</c:v>
                </c:pt>
                <c:pt idx="32">
                  <c:v>0.46745999999999999</c:v>
                </c:pt>
                <c:pt idx="33">
                  <c:v>0.51124000000000003</c:v>
                </c:pt>
                <c:pt idx="34">
                  <c:v>0.53408</c:v>
                </c:pt>
                <c:pt idx="35">
                  <c:v>0.53861000000000003</c:v>
                </c:pt>
                <c:pt idx="36">
                  <c:v>0.52990999999999999</c:v>
                </c:pt>
                <c:pt idx="37">
                  <c:v>0.51304000000000005</c:v>
                </c:pt>
                <c:pt idx="38">
                  <c:v>0.49059000000000003</c:v>
                </c:pt>
                <c:pt idx="39">
                  <c:v>0.46466000000000002</c:v>
                </c:pt>
                <c:pt idx="40">
                  <c:v>0.43776999999999999</c:v>
                </c:pt>
                <c:pt idx="41">
                  <c:v>0.41210999999999998</c:v>
                </c:pt>
                <c:pt idx="42">
                  <c:v>0.38793</c:v>
                </c:pt>
                <c:pt idx="43">
                  <c:v>0.36526999999999998</c:v>
                </c:pt>
                <c:pt idx="44">
                  <c:v>0.34522999999999998</c:v>
                </c:pt>
                <c:pt idx="45">
                  <c:v>0.32877000000000001</c:v>
                </c:pt>
                <c:pt idx="46">
                  <c:v>0.31534000000000001</c:v>
                </c:pt>
                <c:pt idx="47">
                  <c:v>0.30403999999999998</c:v>
                </c:pt>
                <c:pt idx="48">
                  <c:v>0.29409999999999997</c:v>
                </c:pt>
                <c:pt idx="49">
                  <c:v>0.2848</c:v>
                </c:pt>
                <c:pt idx="50">
                  <c:v>0.27562999999999999</c:v>
                </c:pt>
                <c:pt idx="51">
                  <c:v>0.26624999999999999</c:v>
                </c:pt>
                <c:pt idx="52">
                  <c:v>0.25696000000000002</c:v>
                </c:pt>
                <c:pt idx="53">
                  <c:v>0.24839</c:v>
                </c:pt>
                <c:pt idx="54">
                  <c:v>0.24177000000000001</c:v>
                </c:pt>
                <c:pt idx="55">
                  <c:v>0.2384</c:v>
                </c:pt>
                <c:pt idx="56">
                  <c:v>0.23909</c:v>
                </c:pt>
                <c:pt idx="57">
                  <c:v>0.24435999999999999</c:v>
                </c:pt>
                <c:pt idx="58">
                  <c:v>0.25397999999999998</c:v>
                </c:pt>
                <c:pt idx="59">
                  <c:v>0.26708999999999999</c:v>
                </c:pt>
                <c:pt idx="60">
                  <c:v>0.28088999999999997</c:v>
                </c:pt>
                <c:pt idx="61">
                  <c:v>0.29266999999999999</c:v>
                </c:pt>
                <c:pt idx="62">
                  <c:v>0.30193999999999999</c:v>
                </c:pt>
                <c:pt idx="63">
                  <c:v>0.30939</c:v>
                </c:pt>
                <c:pt idx="64">
                  <c:v>0.31802999999999998</c:v>
                </c:pt>
                <c:pt idx="65">
                  <c:v>0.33102999999999999</c:v>
                </c:pt>
                <c:pt idx="66">
                  <c:v>0.3498</c:v>
                </c:pt>
                <c:pt idx="67">
                  <c:v>0.37529000000000001</c:v>
                </c:pt>
                <c:pt idx="68">
                  <c:v>0.40848000000000001</c:v>
                </c:pt>
                <c:pt idx="69">
                  <c:v>0.43191000000000002</c:v>
                </c:pt>
                <c:pt idx="70">
                  <c:v>0.45995999999999998</c:v>
                </c:pt>
                <c:pt idx="71">
                  <c:v>0.48826000000000003</c:v>
                </c:pt>
                <c:pt idx="72">
                  <c:v>0.51663999999999999</c:v>
                </c:pt>
                <c:pt idx="73">
                  <c:v>0.54491000000000001</c:v>
                </c:pt>
                <c:pt idx="74">
                  <c:v>0.57289999999999996</c:v>
                </c:pt>
                <c:pt idx="75">
                  <c:v>0.60041999999999995</c:v>
                </c:pt>
                <c:pt idx="76">
                  <c:v>0.62733000000000005</c:v>
                </c:pt>
                <c:pt idx="77">
                  <c:v>0.65347</c:v>
                </c:pt>
                <c:pt idx="78">
                  <c:v>0.67871999999999999</c:v>
                </c:pt>
                <c:pt idx="79">
                  <c:v>0.70296000000000003</c:v>
                </c:pt>
                <c:pt idx="80">
                  <c:v>0.72611000000000003</c:v>
                </c:pt>
                <c:pt idx="81">
                  <c:v>0.74809999999999999</c:v>
                </c:pt>
                <c:pt idx="82">
                  <c:v>0.76888999999999996</c:v>
                </c:pt>
                <c:pt idx="83">
                  <c:v>0.78844999999999998</c:v>
                </c:pt>
                <c:pt idx="84">
                  <c:v>0.80676999999999999</c:v>
                </c:pt>
                <c:pt idx="85">
                  <c:v>0.80676999999999999</c:v>
                </c:pt>
                <c:pt idx="86">
                  <c:v>0.80676999999999999</c:v>
                </c:pt>
                <c:pt idx="87">
                  <c:v>0.80676999999999999</c:v>
                </c:pt>
                <c:pt idx="88">
                  <c:v>0.80676999999999999</c:v>
                </c:pt>
                <c:pt idx="89">
                  <c:v>0.80676999999999999</c:v>
                </c:pt>
                <c:pt idx="90">
                  <c:v>0.80676999999999999</c:v>
                </c:pt>
                <c:pt idx="91">
                  <c:v>0.80676999999999999</c:v>
                </c:pt>
                <c:pt idx="92">
                  <c:v>0.80676999999999999</c:v>
                </c:pt>
                <c:pt idx="93">
                  <c:v>0.80676999999999999</c:v>
                </c:pt>
                <c:pt idx="94">
                  <c:v>0.80676999999999999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9-3FE4-445B-8EEB-D88489EA6296}"/>
            </c:ext>
          </c:extLst>
        </c:ser>
        <c:ser>
          <c:idx val="43"/>
          <c:order val="4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'99set'!$AS$10:$AS$104</c:f>
              <c:numCache>
                <c:formatCode>0.00000</c:formatCode>
                <c:ptCount val="95"/>
                <c:pt idx="0">
                  <c:v>6.7100000000000007E-2</c:v>
                </c:pt>
                <c:pt idx="1">
                  <c:v>6.7100000000000007E-2</c:v>
                </c:pt>
                <c:pt idx="2">
                  <c:v>6.7100000000000007E-2</c:v>
                </c:pt>
                <c:pt idx="3">
                  <c:v>6.7100000000000007E-2</c:v>
                </c:pt>
                <c:pt idx="4">
                  <c:v>6.7100000000000007E-2</c:v>
                </c:pt>
                <c:pt idx="5">
                  <c:v>6.7100000000000007E-2</c:v>
                </c:pt>
                <c:pt idx="6">
                  <c:v>6.7100000000000007E-2</c:v>
                </c:pt>
                <c:pt idx="7">
                  <c:v>6.7100000000000007E-2</c:v>
                </c:pt>
                <c:pt idx="8">
                  <c:v>6.7100000000000007E-2</c:v>
                </c:pt>
                <c:pt idx="9">
                  <c:v>6.2280000000000002E-2</c:v>
                </c:pt>
                <c:pt idx="10">
                  <c:v>5.62E-2</c:v>
                </c:pt>
                <c:pt idx="11">
                  <c:v>5.1959999999999999E-2</c:v>
                </c:pt>
                <c:pt idx="12">
                  <c:v>4.9700000000000001E-2</c:v>
                </c:pt>
                <c:pt idx="13">
                  <c:v>4.8849999999999998E-2</c:v>
                </c:pt>
                <c:pt idx="14">
                  <c:v>4.8899999999999999E-2</c:v>
                </c:pt>
                <c:pt idx="15">
                  <c:v>4.9500000000000002E-2</c:v>
                </c:pt>
                <c:pt idx="16">
                  <c:v>5.0900000000000001E-2</c:v>
                </c:pt>
                <c:pt idx="17">
                  <c:v>5.3560000000000003E-2</c:v>
                </c:pt>
                <c:pt idx="18">
                  <c:v>5.8200000000000002E-2</c:v>
                </c:pt>
                <c:pt idx="19">
                  <c:v>6.5439999999999998E-2</c:v>
                </c:pt>
                <c:pt idx="20">
                  <c:v>7.51E-2</c:v>
                </c:pt>
                <c:pt idx="21">
                  <c:v>8.7609999999999993E-2</c:v>
                </c:pt>
                <c:pt idx="22">
                  <c:v>0.1066</c:v>
                </c:pt>
                <c:pt idx="23">
                  <c:v>0.13514999999999999</c:v>
                </c:pt>
                <c:pt idx="24">
                  <c:v>0.17100000000000001</c:v>
                </c:pt>
                <c:pt idx="25">
                  <c:v>0.21203</c:v>
                </c:pt>
                <c:pt idx="26">
                  <c:v>0.26190000000000002</c:v>
                </c:pt>
                <c:pt idx="27">
                  <c:v>0.32329999999999998</c:v>
                </c:pt>
                <c:pt idx="28">
                  <c:v>0.3891</c:v>
                </c:pt>
                <c:pt idx="29">
                  <c:v>0.45023999999999997</c:v>
                </c:pt>
                <c:pt idx="30">
                  <c:v>0.49969999999999998</c:v>
                </c:pt>
                <c:pt idx="31">
                  <c:v>0.53263000000000005</c:v>
                </c:pt>
                <c:pt idx="32">
                  <c:v>0.55069999999999997</c:v>
                </c:pt>
                <c:pt idx="33">
                  <c:v>0.55722000000000005</c:v>
                </c:pt>
                <c:pt idx="34">
                  <c:v>0.55549999999999999</c:v>
                </c:pt>
                <c:pt idx="35">
                  <c:v>0.54854000000000003</c:v>
                </c:pt>
                <c:pt idx="36">
                  <c:v>0.53800000000000003</c:v>
                </c:pt>
                <c:pt idx="37">
                  <c:v>0.52505999999999997</c:v>
                </c:pt>
                <c:pt idx="38">
                  <c:v>0.51019999999999999</c:v>
                </c:pt>
                <c:pt idx="39">
                  <c:v>0.49381999999999998</c:v>
                </c:pt>
                <c:pt idx="40">
                  <c:v>0.4768</c:v>
                </c:pt>
                <c:pt idx="41">
                  <c:v>0.46001999999999998</c:v>
                </c:pt>
                <c:pt idx="42">
                  <c:v>0.44390000000000002</c:v>
                </c:pt>
                <c:pt idx="43">
                  <c:v>0.42860999999999999</c:v>
                </c:pt>
                <c:pt idx="44">
                  <c:v>0.41389999999999999</c:v>
                </c:pt>
                <c:pt idx="45">
                  <c:v>0.39905000000000002</c:v>
                </c:pt>
                <c:pt idx="46">
                  <c:v>0.38200000000000001</c:v>
                </c:pt>
                <c:pt idx="47">
                  <c:v>0.36163000000000001</c:v>
                </c:pt>
                <c:pt idx="48">
                  <c:v>0.34189999999999998</c:v>
                </c:pt>
                <c:pt idx="49">
                  <c:v>0.32717000000000002</c:v>
                </c:pt>
                <c:pt idx="50">
                  <c:v>0.31840000000000002</c:v>
                </c:pt>
                <c:pt idx="51">
                  <c:v>0.31512000000000001</c:v>
                </c:pt>
                <c:pt idx="52">
                  <c:v>0.31440000000000001</c:v>
                </c:pt>
                <c:pt idx="53">
                  <c:v>0.31336000000000003</c:v>
                </c:pt>
                <c:pt idx="54">
                  <c:v>0.31169999999999998</c:v>
                </c:pt>
                <c:pt idx="55">
                  <c:v>0.30968000000000001</c:v>
                </c:pt>
                <c:pt idx="56">
                  <c:v>0.30730000000000002</c:v>
                </c:pt>
                <c:pt idx="57">
                  <c:v>0.30348999999999998</c:v>
                </c:pt>
                <c:pt idx="58">
                  <c:v>0.29310000000000003</c:v>
                </c:pt>
                <c:pt idx="59">
                  <c:v>0.27207999999999999</c:v>
                </c:pt>
                <c:pt idx="60">
                  <c:v>0.24479999999999999</c:v>
                </c:pt>
                <c:pt idx="61">
                  <c:v>0.21776999999999999</c:v>
                </c:pt>
                <c:pt idx="62">
                  <c:v>0.1976</c:v>
                </c:pt>
                <c:pt idx="63">
                  <c:v>0.18894</c:v>
                </c:pt>
                <c:pt idx="64">
                  <c:v>0.1885</c:v>
                </c:pt>
                <c:pt idx="65">
                  <c:v>0.19436999999999999</c:v>
                </c:pt>
                <c:pt idx="66">
                  <c:v>0.21809999999999999</c:v>
                </c:pt>
                <c:pt idx="67">
                  <c:v>0.26567000000000002</c:v>
                </c:pt>
                <c:pt idx="68">
                  <c:v>0.30730000000000002</c:v>
                </c:pt>
                <c:pt idx="69">
                  <c:v>0.30730000000000002</c:v>
                </c:pt>
                <c:pt idx="70">
                  <c:v>0.30730000000000002</c:v>
                </c:pt>
                <c:pt idx="71">
                  <c:v>0.30730000000000002</c:v>
                </c:pt>
                <c:pt idx="72">
                  <c:v>0.30730000000000002</c:v>
                </c:pt>
                <c:pt idx="73">
                  <c:v>0.30730000000000002</c:v>
                </c:pt>
                <c:pt idx="74">
                  <c:v>0.30730000000000002</c:v>
                </c:pt>
                <c:pt idx="75">
                  <c:v>0.30730000000000002</c:v>
                </c:pt>
                <c:pt idx="76">
                  <c:v>0.30730000000000002</c:v>
                </c:pt>
                <c:pt idx="77">
                  <c:v>0.30730000000000002</c:v>
                </c:pt>
                <c:pt idx="78">
                  <c:v>0.30730000000000002</c:v>
                </c:pt>
                <c:pt idx="79">
                  <c:v>0.30730000000000002</c:v>
                </c:pt>
                <c:pt idx="80">
                  <c:v>0.30730000000000002</c:v>
                </c:pt>
                <c:pt idx="81">
                  <c:v>0.30730000000000002</c:v>
                </c:pt>
                <c:pt idx="82">
                  <c:v>0.30730000000000002</c:v>
                </c:pt>
                <c:pt idx="83">
                  <c:v>0.30730000000000002</c:v>
                </c:pt>
                <c:pt idx="84">
                  <c:v>0.30730000000000002</c:v>
                </c:pt>
                <c:pt idx="85">
                  <c:v>0.30730000000000002</c:v>
                </c:pt>
                <c:pt idx="86">
                  <c:v>0.30730000000000002</c:v>
                </c:pt>
                <c:pt idx="87">
                  <c:v>0.30730000000000002</c:v>
                </c:pt>
                <c:pt idx="88">
                  <c:v>0.30730000000000002</c:v>
                </c:pt>
                <c:pt idx="89">
                  <c:v>0.30730000000000002</c:v>
                </c:pt>
                <c:pt idx="90">
                  <c:v>0.30730000000000002</c:v>
                </c:pt>
                <c:pt idx="91">
                  <c:v>0.30730000000000002</c:v>
                </c:pt>
                <c:pt idx="92">
                  <c:v>0.30730000000000002</c:v>
                </c:pt>
                <c:pt idx="93">
                  <c:v>0.30730000000000002</c:v>
                </c:pt>
                <c:pt idx="94">
                  <c:v>0.30730000000000002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A-3FE4-445B-8EEB-D88489EA6296}"/>
            </c:ext>
          </c:extLst>
        </c:ser>
        <c:ser>
          <c:idx val="44"/>
          <c:order val="4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'99set'!$AT$10:$AT$104</c:f>
              <c:numCache>
                <c:formatCode>0.00000</c:formatCode>
                <c:ptCount val="95"/>
                <c:pt idx="0">
                  <c:v>4.3900000000000002E-2</c:v>
                </c:pt>
                <c:pt idx="1">
                  <c:v>4.3900000000000002E-2</c:v>
                </c:pt>
                <c:pt idx="2">
                  <c:v>4.3900000000000002E-2</c:v>
                </c:pt>
                <c:pt idx="3">
                  <c:v>4.3900000000000002E-2</c:v>
                </c:pt>
                <c:pt idx="4">
                  <c:v>4.3900000000000002E-2</c:v>
                </c:pt>
                <c:pt idx="5">
                  <c:v>4.3900000000000002E-2</c:v>
                </c:pt>
                <c:pt idx="6">
                  <c:v>4.3900000000000002E-2</c:v>
                </c:pt>
                <c:pt idx="7">
                  <c:v>4.3900000000000002E-2</c:v>
                </c:pt>
                <c:pt idx="8">
                  <c:v>4.3900000000000002E-2</c:v>
                </c:pt>
                <c:pt idx="9">
                  <c:v>4.4510000000000001E-2</c:v>
                </c:pt>
                <c:pt idx="10">
                  <c:v>4.5199999999999997E-2</c:v>
                </c:pt>
                <c:pt idx="11">
                  <c:v>4.555E-2</c:v>
                </c:pt>
                <c:pt idx="12">
                  <c:v>4.5699999999999998E-2</c:v>
                </c:pt>
                <c:pt idx="13">
                  <c:v>4.589E-2</c:v>
                </c:pt>
                <c:pt idx="14">
                  <c:v>4.6100000000000002E-2</c:v>
                </c:pt>
                <c:pt idx="15">
                  <c:v>4.6289999999999998E-2</c:v>
                </c:pt>
                <c:pt idx="16">
                  <c:v>4.65E-2</c:v>
                </c:pt>
                <c:pt idx="17">
                  <c:v>4.6760000000000003E-2</c:v>
                </c:pt>
                <c:pt idx="18">
                  <c:v>4.7E-2</c:v>
                </c:pt>
                <c:pt idx="19">
                  <c:v>4.7140000000000001E-2</c:v>
                </c:pt>
                <c:pt idx="20">
                  <c:v>4.7199999999999999E-2</c:v>
                </c:pt>
                <c:pt idx="21">
                  <c:v>4.7239999999999997E-2</c:v>
                </c:pt>
                <c:pt idx="22">
                  <c:v>4.7399999999999998E-2</c:v>
                </c:pt>
                <c:pt idx="23">
                  <c:v>4.7789999999999999E-2</c:v>
                </c:pt>
                <c:pt idx="24">
                  <c:v>4.8300000000000003E-2</c:v>
                </c:pt>
                <c:pt idx="25">
                  <c:v>4.879E-2</c:v>
                </c:pt>
                <c:pt idx="26">
                  <c:v>4.9299999999999997E-2</c:v>
                </c:pt>
                <c:pt idx="27">
                  <c:v>4.9860000000000002E-2</c:v>
                </c:pt>
                <c:pt idx="28">
                  <c:v>5.04E-2</c:v>
                </c:pt>
                <c:pt idx="29">
                  <c:v>5.0819999999999997E-2</c:v>
                </c:pt>
                <c:pt idx="30">
                  <c:v>5.11E-2</c:v>
                </c:pt>
                <c:pt idx="31">
                  <c:v>5.1220000000000002E-2</c:v>
                </c:pt>
                <c:pt idx="32">
                  <c:v>5.1200000000000002E-2</c:v>
                </c:pt>
                <c:pt idx="33">
                  <c:v>5.1069999999999997E-2</c:v>
                </c:pt>
                <c:pt idx="34">
                  <c:v>5.0900000000000001E-2</c:v>
                </c:pt>
                <c:pt idx="35">
                  <c:v>5.076E-2</c:v>
                </c:pt>
                <c:pt idx="36">
                  <c:v>5.0599999999999999E-2</c:v>
                </c:pt>
                <c:pt idx="37">
                  <c:v>5.0360000000000002E-2</c:v>
                </c:pt>
                <c:pt idx="38">
                  <c:v>5.0099999999999999E-2</c:v>
                </c:pt>
                <c:pt idx="39">
                  <c:v>4.9869999999999998E-2</c:v>
                </c:pt>
                <c:pt idx="40">
                  <c:v>4.9599999999999998E-2</c:v>
                </c:pt>
                <c:pt idx="41">
                  <c:v>4.922E-2</c:v>
                </c:pt>
                <c:pt idx="42">
                  <c:v>4.8899999999999999E-2</c:v>
                </c:pt>
                <c:pt idx="43">
                  <c:v>4.879E-2</c:v>
                </c:pt>
                <c:pt idx="44">
                  <c:v>4.8800000000000003E-2</c:v>
                </c:pt>
                <c:pt idx="45">
                  <c:v>4.8800000000000003E-2</c:v>
                </c:pt>
                <c:pt idx="46">
                  <c:v>4.8800000000000003E-2</c:v>
                </c:pt>
                <c:pt idx="47">
                  <c:v>4.8820000000000002E-2</c:v>
                </c:pt>
                <c:pt idx="48">
                  <c:v>4.8800000000000003E-2</c:v>
                </c:pt>
                <c:pt idx="49">
                  <c:v>4.8680000000000001E-2</c:v>
                </c:pt>
                <c:pt idx="50">
                  <c:v>4.8599999999999997E-2</c:v>
                </c:pt>
                <c:pt idx="51">
                  <c:v>4.8680000000000001E-2</c:v>
                </c:pt>
                <c:pt idx="52">
                  <c:v>4.8899999999999999E-2</c:v>
                </c:pt>
                <c:pt idx="53">
                  <c:v>4.9180000000000001E-2</c:v>
                </c:pt>
                <c:pt idx="54">
                  <c:v>4.9500000000000002E-2</c:v>
                </c:pt>
                <c:pt idx="55">
                  <c:v>4.9840000000000002E-2</c:v>
                </c:pt>
                <c:pt idx="56">
                  <c:v>5.0200000000000002E-2</c:v>
                </c:pt>
                <c:pt idx="57">
                  <c:v>5.0569999999999997E-2</c:v>
                </c:pt>
                <c:pt idx="58">
                  <c:v>5.0999999999999997E-2</c:v>
                </c:pt>
                <c:pt idx="59">
                  <c:v>5.1499999999999997E-2</c:v>
                </c:pt>
                <c:pt idx="60">
                  <c:v>5.1999999999999998E-2</c:v>
                </c:pt>
                <c:pt idx="61">
                  <c:v>5.2420000000000001E-2</c:v>
                </c:pt>
                <c:pt idx="62">
                  <c:v>5.2699999999999997E-2</c:v>
                </c:pt>
                <c:pt idx="63">
                  <c:v>5.2780000000000001E-2</c:v>
                </c:pt>
                <c:pt idx="64">
                  <c:v>5.2699999999999997E-2</c:v>
                </c:pt>
                <c:pt idx="65">
                  <c:v>5.2519999999999997E-2</c:v>
                </c:pt>
                <c:pt idx="66">
                  <c:v>5.2299999999999999E-2</c:v>
                </c:pt>
                <c:pt idx="67">
                  <c:v>5.2109999999999997E-2</c:v>
                </c:pt>
                <c:pt idx="68">
                  <c:v>5.1999999999999998E-2</c:v>
                </c:pt>
                <c:pt idx="69">
                  <c:v>5.1999999999999998E-2</c:v>
                </c:pt>
                <c:pt idx="70">
                  <c:v>5.1999999999999998E-2</c:v>
                </c:pt>
                <c:pt idx="71">
                  <c:v>5.1999999999999998E-2</c:v>
                </c:pt>
                <c:pt idx="72">
                  <c:v>5.1999999999999998E-2</c:v>
                </c:pt>
                <c:pt idx="73">
                  <c:v>5.1999999999999998E-2</c:v>
                </c:pt>
                <c:pt idx="74">
                  <c:v>5.1999999999999998E-2</c:v>
                </c:pt>
                <c:pt idx="75">
                  <c:v>5.1999999999999998E-2</c:v>
                </c:pt>
                <c:pt idx="76">
                  <c:v>5.1999999999999998E-2</c:v>
                </c:pt>
                <c:pt idx="77">
                  <c:v>5.1999999999999998E-2</c:v>
                </c:pt>
                <c:pt idx="78">
                  <c:v>5.1999999999999998E-2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5.1999999999999998E-2</c:v>
                </c:pt>
                <c:pt idx="85">
                  <c:v>5.1999999999999998E-2</c:v>
                </c:pt>
                <c:pt idx="86">
                  <c:v>5.1999999999999998E-2</c:v>
                </c:pt>
                <c:pt idx="87">
                  <c:v>5.1999999999999998E-2</c:v>
                </c:pt>
                <c:pt idx="88">
                  <c:v>5.1999999999999998E-2</c:v>
                </c:pt>
                <c:pt idx="89">
                  <c:v>5.1999999999999998E-2</c:v>
                </c:pt>
                <c:pt idx="90">
                  <c:v>5.1999999999999998E-2</c:v>
                </c:pt>
                <c:pt idx="91">
                  <c:v>5.1999999999999998E-2</c:v>
                </c:pt>
                <c:pt idx="92">
                  <c:v>5.1999999999999998E-2</c:v>
                </c:pt>
                <c:pt idx="93">
                  <c:v>5.1999999999999998E-2</c:v>
                </c:pt>
                <c:pt idx="94">
                  <c:v>5.1999999999999998E-2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3FE4-445B-8EEB-D88489EA6296}"/>
            </c:ext>
          </c:extLst>
        </c:ser>
        <c:ser>
          <c:idx val="45"/>
          <c:order val="4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'99set'!$AU$10:$AU$104</c:f>
              <c:numCache>
                <c:formatCode>0.00000</c:formatCode>
                <c:ptCount val="95"/>
                <c:pt idx="0">
                  <c:v>5.5399999999999998E-2</c:v>
                </c:pt>
                <c:pt idx="1">
                  <c:v>5.5399999999999998E-2</c:v>
                </c:pt>
                <c:pt idx="2">
                  <c:v>5.5399999999999998E-2</c:v>
                </c:pt>
                <c:pt idx="3">
                  <c:v>5.5399999999999998E-2</c:v>
                </c:pt>
                <c:pt idx="4">
                  <c:v>5.5399999999999998E-2</c:v>
                </c:pt>
                <c:pt idx="5">
                  <c:v>5.5190000000000003E-2</c:v>
                </c:pt>
                <c:pt idx="6">
                  <c:v>5.6090000000000001E-2</c:v>
                </c:pt>
                <c:pt idx="7">
                  <c:v>5.7230000000000003E-2</c:v>
                </c:pt>
                <c:pt idx="8">
                  <c:v>5.7599999999999998E-2</c:v>
                </c:pt>
                <c:pt idx="9">
                  <c:v>5.7729999999999997E-2</c:v>
                </c:pt>
                <c:pt idx="10">
                  <c:v>5.8409999999999997E-2</c:v>
                </c:pt>
                <c:pt idx="11">
                  <c:v>5.8999999999999997E-2</c:v>
                </c:pt>
                <c:pt idx="12">
                  <c:v>6.0760000000000002E-2</c:v>
                </c:pt>
                <c:pt idx="13">
                  <c:v>6.1809999999999997E-2</c:v>
                </c:pt>
                <c:pt idx="14">
                  <c:v>6.3640000000000002E-2</c:v>
                </c:pt>
                <c:pt idx="15">
                  <c:v>6.5360000000000001E-2</c:v>
                </c:pt>
                <c:pt idx="16">
                  <c:v>6.8409999999999999E-2</c:v>
                </c:pt>
                <c:pt idx="17">
                  <c:v>7.0629999999999998E-2</c:v>
                </c:pt>
                <c:pt idx="18">
                  <c:v>7.3330000000000006E-2</c:v>
                </c:pt>
                <c:pt idx="19">
                  <c:v>7.8310000000000005E-2</c:v>
                </c:pt>
                <c:pt idx="20">
                  <c:v>8.4699999999999998E-2</c:v>
                </c:pt>
                <c:pt idx="21">
                  <c:v>9.3109999999999998E-2</c:v>
                </c:pt>
                <c:pt idx="22">
                  <c:v>0.10313</c:v>
                </c:pt>
                <c:pt idx="23">
                  <c:v>0.11523</c:v>
                </c:pt>
                <c:pt idx="24">
                  <c:v>0.13064000000000001</c:v>
                </c:pt>
                <c:pt idx="25">
                  <c:v>0.14960999999999999</c:v>
                </c:pt>
                <c:pt idx="26">
                  <c:v>0.17358999999999999</c:v>
                </c:pt>
                <c:pt idx="27">
                  <c:v>0.20369000000000001</c:v>
                </c:pt>
                <c:pt idx="28">
                  <c:v>0.23996000000000001</c:v>
                </c:pt>
                <c:pt idx="29">
                  <c:v>0.27413999999999999</c:v>
                </c:pt>
                <c:pt idx="30">
                  <c:v>0.30442999999999998</c:v>
                </c:pt>
                <c:pt idx="31">
                  <c:v>0.32536999999999999</c:v>
                </c:pt>
                <c:pt idx="32">
                  <c:v>0.33756000000000003</c:v>
                </c:pt>
                <c:pt idx="33">
                  <c:v>0.34253</c:v>
                </c:pt>
                <c:pt idx="34">
                  <c:v>0.34239000000000003</c:v>
                </c:pt>
                <c:pt idx="35">
                  <c:v>0.33796999999999999</c:v>
                </c:pt>
                <c:pt idx="36">
                  <c:v>0.33044000000000001</c:v>
                </c:pt>
                <c:pt idx="37">
                  <c:v>0.32146999999999998</c:v>
                </c:pt>
                <c:pt idx="38">
                  <c:v>0.31229000000000001</c:v>
                </c:pt>
                <c:pt idx="39">
                  <c:v>0.29914000000000002</c:v>
                </c:pt>
                <c:pt idx="40">
                  <c:v>0.28478999999999999</c:v>
                </c:pt>
                <c:pt idx="41">
                  <c:v>0.27639000000000002</c:v>
                </c:pt>
                <c:pt idx="42">
                  <c:v>0.26307000000000003</c:v>
                </c:pt>
                <c:pt idx="43">
                  <c:v>0.24861</c:v>
                </c:pt>
                <c:pt idx="44">
                  <c:v>0.23426</c:v>
                </c:pt>
                <c:pt idx="45">
                  <c:v>0.21942999999999999</c:v>
                </c:pt>
                <c:pt idx="46">
                  <c:v>0.20576</c:v>
                </c:pt>
                <c:pt idx="47">
                  <c:v>0.19114</c:v>
                </c:pt>
                <c:pt idx="48">
                  <c:v>0.1799</c:v>
                </c:pt>
                <c:pt idx="49">
                  <c:v>0.17158999999999999</c:v>
                </c:pt>
                <c:pt idx="50">
                  <c:v>0.16571</c:v>
                </c:pt>
                <c:pt idx="51">
                  <c:v>0.16047</c:v>
                </c:pt>
                <c:pt idx="52">
                  <c:v>0.15739</c:v>
                </c:pt>
                <c:pt idx="53">
                  <c:v>0.15454000000000001</c:v>
                </c:pt>
                <c:pt idx="54">
                  <c:v>0.15364</c:v>
                </c:pt>
                <c:pt idx="55">
                  <c:v>0.15204000000000001</c:v>
                </c:pt>
                <c:pt idx="56">
                  <c:v>0.15024000000000001</c:v>
                </c:pt>
                <c:pt idx="57">
                  <c:v>0.15039</c:v>
                </c:pt>
                <c:pt idx="58">
                  <c:v>0.15037</c:v>
                </c:pt>
                <c:pt idx="59">
                  <c:v>0.15040999999999999</c:v>
                </c:pt>
                <c:pt idx="60">
                  <c:v>0.15234</c:v>
                </c:pt>
                <c:pt idx="61">
                  <c:v>0.15367</c:v>
                </c:pt>
                <c:pt idx="62">
                  <c:v>0.15923999999999999</c:v>
                </c:pt>
                <c:pt idx="63">
                  <c:v>0.16394</c:v>
                </c:pt>
                <c:pt idx="64">
                  <c:v>0.16736999999999999</c:v>
                </c:pt>
                <c:pt idx="65">
                  <c:v>0.16914000000000001</c:v>
                </c:pt>
                <c:pt idx="66">
                  <c:v>0.17330000000000001</c:v>
                </c:pt>
                <c:pt idx="67">
                  <c:v>0.17773</c:v>
                </c:pt>
                <c:pt idx="68">
                  <c:v>0.17987</c:v>
                </c:pt>
                <c:pt idx="69">
                  <c:v>0.1802</c:v>
                </c:pt>
                <c:pt idx="70">
                  <c:v>0.18</c:v>
                </c:pt>
                <c:pt idx="71">
                  <c:v>0.17773</c:v>
                </c:pt>
                <c:pt idx="72">
                  <c:v>0.17585999999999999</c:v>
                </c:pt>
                <c:pt idx="73">
                  <c:v>0.17644000000000001</c:v>
                </c:pt>
                <c:pt idx="74">
                  <c:v>0.17846999999999999</c:v>
                </c:pt>
                <c:pt idx="75">
                  <c:v>0.18115999999999999</c:v>
                </c:pt>
                <c:pt idx="76">
                  <c:v>0.18747</c:v>
                </c:pt>
                <c:pt idx="77">
                  <c:v>0.19525999999999999</c:v>
                </c:pt>
                <c:pt idx="78">
                  <c:v>0.20319000000000001</c:v>
                </c:pt>
                <c:pt idx="79">
                  <c:v>0.20930000000000001</c:v>
                </c:pt>
                <c:pt idx="80">
                  <c:v>0.21407000000000001</c:v>
                </c:pt>
                <c:pt idx="81">
                  <c:v>0.21864</c:v>
                </c:pt>
                <c:pt idx="82">
                  <c:v>0.21997</c:v>
                </c:pt>
                <c:pt idx="83">
                  <c:v>0.21784000000000001</c:v>
                </c:pt>
                <c:pt idx="84">
                  <c:v>0.21926000000000001</c:v>
                </c:pt>
                <c:pt idx="85">
                  <c:v>0.21926000000000001</c:v>
                </c:pt>
                <c:pt idx="86">
                  <c:v>0.21926000000000001</c:v>
                </c:pt>
                <c:pt idx="87">
                  <c:v>0.21926000000000001</c:v>
                </c:pt>
                <c:pt idx="88">
                  <c:v>0.21926000000000001</c:v>
                </c:pt>
                <c:pt idx="89">
                  <c:v>0.21926000000000001</c:v>
                </c:pt>
                <c:pt idx="90">
                  <c:v>0.21926000000000001</c:v>
                </c:pt>
                <c:pt idx="91">
                  <c:v>0.21926000000000001</c:v>
                </c:pt>
                <c:pt idx="92">
                  <c:v>0.21926000000000001</c:v>
                </c:pt>
                <c:pt idx="93">
                  <c:v>0.21926000000000001</c:v>
                </c:pt>
                <c:pt idx="94">
                  <c:v>0.21926000000000001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C-3FE4-445B-8EEB-D88489EA6296}"/>
            </c:ext>
          </c:extLst>
        </c:ser>
        <c:ser>
          <c:idx val="46"/>
          <c:order val="4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'99set'!$AV$10:$AV$104</c:f>
              <c:numCache>
                <c:formatCode>0.00000</c:formatCode>
                <c:ptCount val="95"/>
                <c:pt idx="0">
                  <c:v>0.11260000000000001</c:v>
                </c:pt>
                <c:pt idx="1">
                  <c:v>0.11260000000000001</c:v>
                </c:pt>
                <c:pt idx="2">
                  <c:v>0.11260000000000001</c:v>
                </c:pt>
                <c:pt idx="3">
                  <c:v>0.11260000000000001</c:v>
                </c:pt>
                <c:pt idx="4">
                  <c:v>0.11260000000000001</c:v>
                </c:pt>
                <c:pt idx="5">
                  <c:v>0.11260000000000001</c:v>
                </c:pt>
                <c:pt idx="6">
                  <c:v>0.11260000000000001</c:v>
                </c:pt>
                <c:pt idx="7">
                  <c:v>0.11260000000000001</c:v>
                </c:pt>
                <c:pt idx="8">
                  <c:v>0.11260000000000001</c:v>
                </c:pt>
                <c:pt idx="9">
                  <c:v>0.11615</c:v>
                </c:pt>
                <c:pt idx="10">
                  <c:v>0.1202</c:v>
                </c:pt>
                <c:pt idx="11">
                  <c:v>0.12231</c:v>
                </c:pt>
                <c:pt idx="12">
                  <c:v>0.1235</c:v>
                </c:pt>
                <c:pt idx="13">
                  <c:v>0.12531999999999999</c:v>
                </c:pt>
                <c:pt idx="14">
                  <c:v>0.128</c:v>
                </c:pt>
                <c:pt idx="15">
                  <c:v>0.13152</c:v>
                </c:pt>
                <c:pt idx="16">
                  <c:v>0.13619999999999999</c:v>
                </c:pt>
                <c:pt idx="17">
                  <c:v>0.14244999999999999</c:v>
                </c:pt>
                <c:pt idx="18">
                  <c:v>0.1507</c:v>
                </c:pt>
                <c:pt idx="19">
                  <c:v>0.16141</c:v>
                </c:pt>
                <c:pt idx="20">
                  <c:v>0.17519999999999999</c:v>
                </c:pt>
                <c:pt idx="21">
                  <c:v>0.19261</c:v>
                </c:pt>
                <c:pt idx="22">
                  <c:v>0.2137</c:v>
                </c:pt>
                <c:pt idx="23">
                  <c:v>0.23821999999999999</c:v>
                </c:pt>
                <c:pt idx="24">
                  <c:v>0.2651</c:v>
                </c:pt>
                <c:pt idx="25">
                  <c:v>0.29288999999999998</c:v>
                </c:pt>
                <c:pt idx="26">
                  <c:v>0.31950000000000001</c:v>
                </c:pt>
                <c:pt idx="27">
                  <c:v>0.34297</c:v>
                </c:pt>
                <c:pt idx="28">
                  <c:v>0.3624</c:v>
                </c:pt>
                <c:pt idx="29">
                  <c:v>0.37735000000000002</c:v>
                </c:pt>
                <c:pt idx="30">
                  <c:v>0.38800000000000001</c:v>
                </c:pt>
                <c:pt idx="31">
                  <c:v>0.39477000000000001</c:v>
                </c:pt>
                <c:pt idx="32">
                  <c:v>0.39829999999999999</c:v>
                </c:pt>
                <c:pt idx="33">
                  <c:v>0.39931</c:v>
                </c:pt>
                <c:pt idx="34">
                  <c:v>0.39860000000000001</c:v>
                </c:pt>
                <c:pt idx="35">
                  <c:v>0.39682000000000001</c:v>
                </c:pt>
                <c:pt idx="36">
                  <c:v>0.39400000000000002</c:v>
                </c:pt>
                <c:pt idx="37">
                  <c:v>0.39002999999999999</c:v>
                </c:pt>
                <c:pt idx="38">
                  <c:v>0.38490000000000002</c:v>
                </c:pt>
                <c:pt idx="39">
                  <c:v>0.37869999999999998</c:v>
                </c:pt>
                <c:pt idx="40">
                  <c:v>0.37190000000000001</c:v>
                </c:pt>
                <c:pt idx="41">
                  <c:v>0.3649</c:v>
                </c:pt>
                <c:pt idx="42">
                  <c:v>0.35749999999999998</c:v>
                </c:pt>
                <c:pt idx="43">
                  <c:v>0.34938000000000002</c:v>
                </c:pt>
                <c:pt idx="44">
                  <c:v>0.34029999999999999</c:v>
                </c:pt>
                <c:pt idx="45">
                  <c:v>0.33</c:v>
                </c:pt>
                <c:pt idx="46">
                  <c:v>0.31809999999999999</c:v>
                </c:pt>
                <c:pt idx="47">
                  <c:v>0.30447000000000002</c:v>
                </c:pt>
                <c:pt idx="48">
                  <c:v>0.29020000000000001</c:v>
                </c:pt>
                <c:pt idx="49">
                  <c:v>0.27655999999999997</c:v>
                </c:pt>
                <c:pt idx="50">
                  <c:v>0.26440000000000002</c:v>
                </c:pt>
                <c:pt idx="51">
                  <c:v>0.25433</c:v>
                </c:pt>
                <c:pt idx="52">
                  <c:v>0.24629999999999999</c:v>
                </c:pt>
                <c:pt idx="53">
                  <c:v>0.24004</c:v>
                </c:pt>
                <c:pt idx="54">
                  <c:v>0.2349</c:v>
                </c:pt>
                <c:pt idx="55">
                  <c:v>0.23025000000000001</c:v>
                </c:pt>
                <c:pt idx="56">
                  <c:v>0.22600000000000001</c:v>
                </c:pt>
                <c:pt idx="57">
                  <c:v>0.22217999999999999</c:v>
                </c:pt>
                <c:pt idx="58">
                  <c:v>0.21890000000000001</c:v>
                </c:pt>
                <c:pt idx="59">
                  <c:v>0.21632999999999999</c:v>
                </c:pt>
                <c:pt idx="60">
                  <c:v>0.2147</c:v>
                </c:pt>
                <c:pt idx="61">
                  <c:v>0.21421999999999999</c:v>
                </c:pt>
                <c:pt idx="62">
                  <c:v>0.21479999999999999</c:v>
                </c:pt>
                <c:pt idx="63">
                  <c:v>0.21628</c:v>
                </c:pt>
                <c:pt idx="64">
                  <c:v>0.21840000000000001</c:v>
                </c:pt>
                <c:pt idx="65">
                  <c:v>0.22098000000000001</c:v>
                </c:pt>
                <c:pt idx="66">
                  <c:v>0.22420000000000001</c:v>
                </c:pt>
                <c:pt idx="67">
                  <c:v>0.22799</c:v>
                </c:pt>
                <c:pt idx="68">
                  <c:v>0.23080000000000001</c:v>
                </c:pt>
                <c:pt idx="69">
                  <c:v>0.23080000000000001</c:v>
                </c:pt>
                <c:pt idx="70">
                  <c:v>0.23080000000000001</c:v>
                </c:pt>
                <c:pt idx="71">
                  <c:v>0.23080000000000001</c:v>
                </c:pt>
                <c:pt idx="72">
                  <c:v>0.23080000000000001</c:v>
                </c:pt>
                <c:pt idx="73">
                  <c:v>0.23080000000000001</c:v>
                </c:pt>
                <c:pt idx="74">
                  <c:v>0.23080000000000001</c:v>
                </c:pt>
                <c:pt idx="75">
                  <c:v>0.23080000000000001</c:v>
                </c:pt>
                <c:pt idx="76">
                  <c:v>0.23080000000000001</c:v>
                </c:pt>
                <c:pt idx="77">
                  <c:v>0.23080000000000001</c:v>
                </c:pt>
                <c:pt idx="78">
                  <c:v>0.23080000000000001</c:v>
                </c:pt>
                <c:pt idx="79">
                  <c:v>0.23080000000000001</c:v>
                </c:pt>
                <c:pt idx="80">
                  <c:v>0.23080000000000001</c:v>
                </c:pt>
                <c:pt idx="81">
                  <c:v>0.23080000000000001</c:v>
                </c:pt>
                <c:pt idx="82">
                  <c:v>0.23080000000000001</c:v>
                </c:pt>
                <c:pt idx="83">
                  <c:v>0.23080000000000001</c:v>
                </c:pt>
                <c:pt idx="84">
                  <c:v>0.23080000000000001</c:v>
                </c:pt>
                <c:pt idx="85">
                  <c:v>0.23080000000000001</c:v>
                </c:pt>
                <c:pt idx="86">
                  <c:v>0.23080000000000001</c:v>
                </c:pt>
                <c:pt idx="87">
                  <c:v>0.23080000000000001</c:v>
                </c:pt>
                <c:pt idx="88">
                  <c:v>0.23080000000000001</c:v>
                </c:pt>
                <c:pt idx="89">
                  <c:v>0.23080000000000001</c:v>
                </c:pt>
                <c:pt idx="90">
                  <c:v>0.23080000000000001</c:v>
                </c:pt>
                <c:pt idx="91">
                  <c:v>0.23080000000000001</c:v>
                </c:pt>
                <c:pt idx="92">
                  <c:v>0.23080000000000001</c:v>
                </c:pt>
                <c:pt idx="93">
                  <c:v>0.23080000000000001</c:v>
                </c:pt>
                <c:pt idx="94">
                  <c:v>0.23080000000000001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D-3FE4-445B-8EEB-D88489EA6296}"/>
            </c:ext>
          </c:extLst>
        </c:ser>
        <c:ser>
          <c:idx val="47"/>
          <c:order val="4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'99set'!$AW$10:$AW$104</c:f>
              <c:numCache>
                <c:formatCode>0.00000</c:formatCode>
                <c:ptCount val="95"/>
                <c:pt idx="0">
                  <c:v>0.14460000000000001</c:v>
                </c:pt>
                <c:pt idx="1">
                  <c:v>0.14460000000000001</c:v>
                </c:pt>
                <c:pt idx="2">
                  <c:v>0.14460000000000001</c:v>
                </c:pt>
                <c:pt idx="3">
                  <c:v>0.14460000000000001</c:v>
                </c:pt>
                <c:pt idx="4">
                  <c:v>0.14460000000000001</c:v>
                </c:pt>
                <c:pt idx="5">
                  <c:v>0.14460000000000001</c:v>
                </c:pt>
                <c:pt idx="6">
                  <c:v>0.14460000000000001</c:v>
                </c:pt>
                <c:pt idx="7">
                  <c:v>0.14460000000000001</c:v>
                </c:pt>
                <c:pt idx="8">
                  <c:v>0.14460000000000001</c:v>
                </c:pt>
                <c:pt idx="9">
                  <c:v>0.14513999999999999</c:v>
                </c:pt>
                <c:pt idx="10">
                  <c:v>0.14580000000000001</c:v>
                </c:pt>
                <c:pt idx="11">
                  <c:v>0.14646000000000001</c:v>
                </c:pt>
                <c:pt idx="12">
                  <c:v>0.1484</c:v>
                </c:pt>
                <c:pt idx="13">
                  <c:v>0.15293999999999999</c:v>
                </c:pt>
                <c:pt idx="14">
                  <c:v>0.16009999999999999</c:v>
                </c:pt>
                <c:pt idx="15">
                  <c:v>0.16969999999999999</c:v>
                </c:pt>
                <c:pt idx="16">
                  <c:v>0.182</c:v>
                </c:pt>
                <c:pt idx="17">
                  <c:v>0.19736999999999999</c:v>
                </c:pt>
                <c:pt idx="18">
                  <c:v>0.2162</c:v>
                </c:pt>
                <c:pt idx="19">
                  <c:v>0.23885999999999999</c:v>
                </c:pt>
                <c:pt idx="20">
                  <c:v>0.2656</c:v>
                </c:pt>
                <c:pt idx="21">
                  <c:v>0.29649999999999999</c:v>
                </c:pt>
                <c:pt idx="22">
                  <c:v>0.33100000000000002</c:v>
                </c:pt>
                <c:pt idx="23">
                  <c:v>0.36799999999999999</c:v>
                </c:pt>
                <c:pt idx="24">
                  <c:v>0.40479999999999999</c:v>
                </c:pt>
                <c:pt idx="25">
                  <c:v>0.43811</c:v>
                </c:pt>
                <c:pt idx="26">
                  <c:v>0.46400000000000002</c:v>
                </c:pt>
                <c:pt idx="27">
                  <c:v>0.47932999999999998</c:v>
                </c:pt>
                <c:pt idx="28">
                  <c:v>0.48480000000000001</c:v>
                </c:pt>
                <c:pt idx="29">
                  <c:v>0.48229</c:v>
                </c:pt>
                <c:pt idx="30">
                  <c:v>0.47449999999999998</c:v>
                </c:pt>
                <c:pt idx="31">
                  <c:v>0.46401999999999999</c:v>
                </c:pt>
                <c:pt idx="32">
                  <c:v>0.45219999999999999</c:v>
                </c:pt>
                <c:pt idx="33">
                  <c:v>0.43995000000000001</c:v>
                </c:pt>
                <c:pt idx="34">
                  <c:v>0.42770000000000002</c:v>
                </c:pt>
                <c:pt idx="35">
                  <c:v>0.41576999999999997</c:v>
                </c:pt>
                <c:pt idx="36">
                  <c:v>0.40450000000000003</c:v>
                </c:pt>
                <c:pt idx="37">
                  <c:v>0.39412000000000003</c:v>
                </c:pt>
                <c:pt idx="38">
                  <c:v>0.38450000000000001</c:v>
                </c:pt>
                <c:pt idx="39">
                  <c:v>0.37542999999999999</c:v>
                </c:pt>
                <c:pt idx="40">
                  <c:v>0.3669</c:v>
                </c:pt>
                <c:pt idx="41">
                  <c:v>0.35894999999999999</c:v>
                </c:pt>
                <c:pt idx="42">
                  <c:v>0.3518</c:v>
                </c:pt>
                <c:pt idx="43">
                  <c:v>0.34575</c:v>
                </c:pt>
                <c:pt idx="44">
                  <c:v>0.34129999999999999</c:v>
                </c:pt>
                <c:pt idx="45">
                  <c:v>0.3387</c:v>
                </c:pt>
                <c:pt idx="46">
                  <c:v>0.33700000000000002</c:v>
                </c:pt>
                <c:pt idx="47">
                  <c:v>0.33506000000000002</c:v>
                </c:pt>
                <c:pt idx="48">
                  <c:v>0.3322</c:v>
                </c:pt>
                <c:pt idx="49">
                  <c:v>0.32807999999999998</c:v>
                </c:pt>
                <c:pt idx="50">
                  <c:v>0.32319999999999999</c:v>
                </c:pt>
                <c:pt idx="51">
                  <c:v>0.31847999999999999</c:v>
                </c:pt>
                <c:pt idx="52">
                  <c:v>0.31559999999999999</c:v>
                </c:pt>
                <c:pt idx="53">
                  <c:v>0.31635999999999997</c:v>
                </c:pt>
                <c:pt idx="54">
                  <c:v>0.3221</c:v>
                </c:pt>
                <c:pt idx="55">
                  <c:v>0.33395000000000002</c:v>
                </c:pt>
                <c:pt idx="56">
                  <c:v>0.35249999999999998</c:v>
                </c:pt>
                <c:pt idx="57">
                  <c:v>0.37808999999999998</c:v>
                </c:pt>
                <c:pt idx="58">
                  <c:v>0.41039999999999999</c:v>
                </c:pt>
                <c:pt idx="59">
                  <c:v>0.44884000000000002</c:v>
                </c:pt>
                <c:pt idx="60">
                  <c:v>0.49220000000000003</c:v>
                </c:pt>
                <c:pt idx="61">
                  <c:v>0.53896999999999995</c:v>
                </c:pt>
                <c:pt idx="62">
                  <c:v>0.58689999999999998</c:v>
                </c:pt>
                <c:pt idx="63">
                  <c:v>0.63375000000000004</c:v>
                </c:pt>
                <c:pt idx="64">
                  <c:v>0.67789999999999995</c:v>
                </c:pt>
                <c:pt idx="65">
                  <c:v>0.71833999999999998</c:v>
                </c:pt>
                <c:pt idx="66">
                  <c:v>0.75580000000000003</c:v>
                </c:pt>
                <c:pt idx="67">
                  <c:v>0.78957999999999995</c:v>
                </c:pt>
                <c:pt idx="68">
                  <c:v>0.8115</c:v>
                </c:pt>
                <c:pt idx="69">
                  <c:v>0.8115</c:v>
                </c:pt>
                <c:pt idx="70">
                  <c:v>0.8115</c:v>
                </c:pt>
                <c:pt idx="71">
                  <c:v>0.8115</c:v>
                </c:pt>
                <c:pt idx="72">
                  <c:v>0.8115</c:v>
                </c:pt>
                <c:pt idx="73">
                  <c:v>0.8115</c:v>
                </c:pt>
                <c:pt idx="74">
                  <c:v>0.8115</c:v>
                </c:pt>
                <c:pt idx="75">
                  <c:v>0.8115</c:v>
                </c:pt>
                <c:pt idx="76">
                  <c:v>0.8115</c:v>
                </c:pt>
                <c:pt idx="77">
                  <c:v>0.8115</c:v>
                </c:pt>
                <c:pt idx="78">
                  <c:v>0.8115</c:v>
                </c:pt>
                <c:pt idx="79">
                  <c:v>0.8115</c:v>
                </c:pt>
                <c:pt idx="80">
                  <c:v>0.8115</c:v>
                </c:pt>
                <c:pt idx="81">
                  <c:v>0.8115</c:v>
                </c:pt>
                <c:pt idx="82">
                  <c:v>0.8115</c:v>
                </c:pt>
                <c:pt idx="83">
                  <c:v>0.8115</c:v>
                </c:pt>
                <c:pt idx="84">
                  <c:v>0.8115</c:v>
                </c:pt>
                <c:pt idx="85">
                  <c:v>0.8115</c:v>
                </c:pt>
                <c:pt idx="86">
                  <c:v>0.8115</c:v>
                </c:pt>
                <c:pt idx="87">
                  <c:v>0.8115</c:v>
                </c:pt>
                <c:pt idx="88">
                  <c:v>0.8115</c:v>
                </c:pt>
                <c:pt idx="89">
                  <c:v>0.8115</c:v>
                </c:pt>
                <c:pt idx="90">
                  <c:v>0.8115</c:v>
                </c:pt>
                <c:pt idx="91">
                  <c:v>0.8115</c:v>
                </c:pt>
                <c:pt idx="92">
                  <c:v>0.8115</c:v>
                </c:pt>
                <c:pt idx="93">
                  <c:v>0.8115</c:v>
                </c:pt>
                <c:pt idx="94">
                  <c:v>0.8115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E-3FE4-445B-8EEB-D88489EA6296}"/>
            </c:ext>
          </c:extLst>
        </c:ser>
        <c:ser>
          <c:idx val="48"/>
          <c:order val="4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'99set'!$AX$10:$AX$104</c:f>
              <c:numCache>
                <c:formatCode>0.00000</c:formatCode>
                <c:ptCount val="95"/>
                <c:pt idx="0">
                  <c:v>8.7760000000000005E-2</c:v>
                </c:pt>
                <c:pt idx="1">
                  <c:v>8.7760000000000005E-2</c:v>
                </c:pt>
                <c:pt idx="2">
                  <c:v>8.7760000000000005E-2</c:v>
                </c:pt>
                <c:pt idx="3">
                  <c:v>8.7760000000000005E-2</c:v>
                </c:pt>
                <c:pt idx="4">
                  <c:v>8.7760000000000005E-2</c:v>
                </c:pt>
                <c:pt idx="5">
                  <c:v>8.8429999999999995E-2</c:v>
                </c:pt>
                <c:pt idx="6">
                  <c:v>8.9330000000000007E-2</c:v>
                </c:pt>
                <c:pt idx="7">
                  <c:v>9.0219999999999995E-2</c:v>
                </c:pt>
                <c:pt idx="8">
                  <c:v>9.0889999999999999E-2</c:v>
                </c:pt>
                <c:pt idx="9">
                  <c:v>9.1340000000000005E-2</c:v>
                </c:pt>
                <c:pt idx="10">
                  <c:v>9.2450000000000004E-2</c:v>
                </c:pt>
                <c:pt idx="11">
                  <c:v>9.5780000000000004E-2</c:v>
                </c:pt>
                <c:pt idx="12">
                  <c:v>0.10460999999999999</c:v>
                </c:pt>
                <c:pt idx="13">
                  <c:v>0.12154</c:v>
                </c:pt>
                <c:pt idx="14">
                  <c:v>0.14474000000000001</c:v>
                </c:pt>
                <c:pt idx="15">
                  <c:v>0.17179</c:v>
                </c:pt>
                <c:pt idx="16">
                  <c:v>0.20227000000000001</c:v>
                </c:pt>
                <c:pt idx="17">
                  <c:v>0.23616000000000001</c:v>
                </c:pt>
                <c:pt idx="18">
                  <c:v>0.27292</c:v>
                </c:pt>
                <c:pt idx="19">
                  <c:v>0.31152999999999997</c:v>
                </c:pt>
                <c:pt idx="20">
                  <c:v>0.34939999999999999</c:v>
                </c:pt>
                <c:pt idx="21">
                  <c:v>0.38407999999999998</c:v>
                </c:pt>
                <c:pt idx="22">
                  <c:v>0.41515999999999997</c:v>
                </c:pt>
                <c:pt idx="23">
                  <c:v>0.44281999999999999</c:v>
                </c:pt>
                <c:pt idx="24">
                  <c:v>0.46753</c:v>
                </c:pt>
                <c:pt idx="25">
                  <c:v>0.48970999999999998</c:v>
                </c:pt>
                <c:pt idx="26">
                  <c:v>0.50917999999999997</c:v>
                </c:pt>
                <c:pt idx="27">
                  <c:v>0.52583000000000002</c:v>
                </c:pt>
                <c:pt idx="28">
                  <c:v>0.54042000000000001</c:v>
                </c:pt>
                <c:pt idx="29">
                  <c:v>0.55383000000000004</c:v>
                </c:pt>
                <c:pt idx="30">
                  <c:v>0.56645999999999996</c:v>
                </c:pt>
                <c:pt idx="31">
                  <c:v>0.57838000000000001</c:v>
                </c:pt>
                <c:pt idx="32">
                  <c:v>0.58865999999999996</c:v>
                </c:pt>
                <c:pt idx="33">
                  <c:v>0.59648000000000001</c:v>
                </c:pt>
                <c:pt idx="34">
                  <c:v>0.60236000000000001</c:v>
                </c:pt>
                <c:pt idx="35">
                  <c:v>0.60682999999999998</c:v>
                </c:pt>
                <c:pt idx="36">
                  <c:v>0.60921000000000003</c:v>
                </c:pt>
                <c:pt idx="37">
                  <c:v>0.60857000000000006</c:v>
                </c:pt>
                <c:pt idx="38">
                  <c:v>0.60426999999999997</c:v>
                </c:pt>
                <c:pt idx="39">
                  <c:v>0.59606999999999999</c:v>
                </c:pt>
                <c:pt idx="40">
                  <c:v>0.58489999999999998</c:v>
                </c:pt>
                <c:pt idx="41">
                  <c:v>0.57159000000000004</c:v>
                </c:pt>
                <c:pt idx="42">
                  <c:v>0.55520999999999998</c:v>
                </c:pt>
                <c:pt idx="43">
                  <c:v>0.53495000000000004</c:v>
                </c:pt>
                <c:pt idx="44">
                  <c:v>0.51210999999999995</c:v>
                </c:pt>
                <c:pt idx="45">
                  <c:v>0.48820999999999998</c:v>
                </c:pt>
                <c:pt idx="46">
                  <c:v>0.46354000000000001</c:v>
                </c:pt>
                <c:pt idx="47">
                  <c:v>0.43824000000000002</c:v>
                </c:pt>
                <c:pt idx="48">
                  <c:v>0.41298000000000001</c:v>
                </c:pt>
                <c:pt idx="49">
                  <c:v>0.38846000000000003</c:v>
                </c:pt>
                <c:pt idx="50">
                  <c:v>0.36486000000000002</c:v>
                </c:pt>
                <c:pt idx="51">
                  <c:v>0.34231</c:v>
                </c:pt>
                <c:pt idx="52">
                  <c:v>0.32117000000000001</c:v>
                </c:pt>
                <c:pt idx="53">
                  <c:v>0.30176999999999998</c:v>
                </c:pt>
                <c:pt idx="54">
                  <c:v>0.28420000000000001</c:v>
                </c:pt>
                <c:pt idx="55">
                  <c:v>0.26844000000000001</c:v>
                </c:pt>
                <c:pt idx="56">
                  <c:v>0.25429000000000002</c:v>
                </c:pt>
                <c:pt idx="57">
                  <c:v>0.24157999999999999</c:v>
                </c:pt>
                <c:pt idx="58">
                  <c:v>0.23039999999999999</c:v>
                </c:pt>
                <c:pt idx="59">
                  <c:v>0.2208</c:v>
                </c:pt>
                <c:pt idx="60">
                  <c:v>0.21248</c:v>
                </c:pt>
                <c:pt idx="61">
                  <c:v>0.20510999999999999</c:v>
                </c:pt>
                <c:pt idx="62">
                  <c:v>0.19861999999999999</c:v>
                </c:pt>
                <c:pt idx="63">
                  <c:v>0.193</c:v>
                </c:pt>
                <c:pt idx="64">
                  <c:v>0.18826999999999999</c:v>
                </c:pt>
                <c:pt idx="65">
                  <c:v>0.18443999999999999</c:v>
                </c:pt>
                <c:pt idx="66">
                  <c:v>0.18137</c:v>
                </c:pt>
                <c:pt idx="67">
                  <c:v>0.17893000000000001</c:v>
                </c:pt>
                <c:pt idx="68">
                  <c:v>0.17713000000000001</c:v>
                </c:pt>
                <c:pt idx="69">
                  <c:v>0.17599000000000001</c:v>
                </c:pt>
                <c:pt idx="70">
                  <c:v>0.17549999999999999</c:v>
                </c:pt>
                <c:pt idx="71">
                  <c:v>0.17563999999999999</c:v>
                </c:pt>
                <c:pt idx="72">
                  <c:v>0.17652000000000001</c:v>
                </c:pt>
                <c:pt idx="73">
                  <c:v>0.17829999999999999</c:v>
                </c:pt>
                <c:pt idx="74">
                  <c:v>0.18110999999999999</c:v>
                </c:pt>
                <c:pt idx="75">
                  <c:v>0.18243000000000001</c:v>
                </c:pt>
                <c:pt idx="76">
                  <c:v>0.18437000000000001</c:v>
                </c:pt>
                <c:pt idx="77">
                  <c:v>0.18633</c:v>
                </c:pt>
                <c:pt idx="78">
                  <c:v>0.18831000000000001</c:v>
                </c:pt>
                <c:pt idx="79">
                  <c:v>0.1903</c:v>
                </c:pt>
                <c:pt idx="80">
                  <c:v>0.1923</c:v>
                </c:pt>
                <c:pt idx="81">
                  <c:v>0.19433</c:v>
                </c:pt>
                <c:pt idx="82">
                  <c:v>0.19636999999999999</c:v>
                </c:pt>
                <c:pt idx="83">
                  <c:v>0.19842000000000001</c:v>
                </c:pt>
                <c:pt idx="84">
                  <c:v>0.20049</c:v>
                </c:pt>
                <c:pt idx="85">
                  <c:v>0.20049</c:v>
                </c:pt>
                <c:pt idx="86">
                  <c:v>0.20049</c:v>
                </c:pt>
                <c:pt idx="87">
                  <c:v>0.20049</c:v>
                </c:pt>
                <c:pt idx="88">
                  <c:v>0.20049</c:v>
                </c:pt>
                <c:pt idx="89">
                  <c:v>0.20049</c:v>
                </c:pt>
                <c:pt idx="90">
                  <c:v>0.20049</c:v>
                </c:pt>
                <c:pt idx="91">
                  <c:v>0.20049</c:v>
                </c:pt>
                <c:pt idx="92">
                  <c:v>0.20049</c:v>
                </c:pt>
                <c:pt idx="93">
                  <c:v>0.20049</c:v>
                </c:pt>
                <c:pt idx="94">
                  <c:v>0.20049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F-3FE4-445B-8EEB-D88489EA6296}"/>
            </c:ext>
          </c:extLst>
        </c:ser>
        <c:ser>
          <c:idx val="49"/>
          <c:order val="4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'99set'!$AY$10:$AY$104</c:f>
              <c:numCache>
                <c:formatCode>0.00000</c:formatCode>
                <c:ptCount val="95"/>
                <c:pt idx="0">
                  <c:v>5.6999999999999998E-4</c:v>
                </c:pt>
                <c:pt idx="1">
                  <c:v>5.6999999999999998E-4</c:v>
                </c:pt>
                <c:pt idx="2">
                  <c:v>5.6999999999999998E-4</c:v>
                </c:pt>
                <c:pt idx="3">
                  <c:v>5.6999999999999998E-4</c:v>
                </c:pt>
                <c:pt idx="4">
                  <c:v>5.6999999999999998E-4</c:v>
                </c:pt>
                <c:pt idx="5">
                  <c:v>7.3899999999999999E-3</c:v>
                </c:pt>
                <c:pt idx="6">
                  <c:v>1.389E-2</c:v>
                </c:pt>
                <c:pt idx="7">
                  <c:v>2.0379999999999999E-2</c:v>
                </c:pt>
                <c:pt idx="8">
                  <c:v>2.7199999999999998E-2</c:v>
                </c:pt>
                <c:pt idx="9">
                  <c:v>3.4340000000000002E-2</c:v>
                </c:pt>
                <c:pt idx="10">
                  <c:v>4.0509999999999997E-2</c:v>
                </c:pt>
                <c:pt idx="11">
                  <c:v>4.446E-2</c:v>
                </c:pt>
                <c:pt idx="12">
                  <c:v>4.6330000000000003E-2</c:v>
                </c:pt>
                <c:pt idx="13">
                  <c:v>4.675E-2</c:v>
                </c:pt>
                <c:pt idx="14">
                  <c:v>4.6809999999999997E-2</c:v>
                </c:pt>
                <c:pt idx="15">
                  <c:v>4.7480000000000001E-2</c:v>
                </c:pt>
                <c:pt idx="16">
                  <c:v>4.8890000000000003E-2</c:v>
                </c:pt>
                <c:pt idx="17">
                  <c:v>5.1029999999999999E-2</c:v>
                </c:pt>
                <c:pt idx="18">
                  <c:v>5.4179999999999999E-2</c:v>
                </c:pt>
                <c:pt idx="19">
                  <c:v>5.8790000000000002E-2</c:v>
                </c:pt>
                <c:pt idx="20">
                  <c:v>6.5589999999999996E-2</c:v>
                </c:pt>
                <c:pt idx="21">
                  <c:v>7.5240000000000001E-2</c:v>
                </c:pt>
                <c:pt idx="22">
                  <c:v>8.795E-2</c:v>
                </c:pt>
                <c:pt idx="23">
                  <c:v>0.10363</c:v>
                </c:pt>
                <c:pt idx="24">
                  <c:v>0.12163</c:v>
                </c:pt>
                <c:pt idx="25">
                  <c:v>0.14087</c:v>
                </c:pt>
                <c:pt idx="26">
                  <c:v>0.15920999999999999</c:v>
                </c:pt>
                <c:pt idx="27">
                  <c:v>0.17469000000000001</c:v>
                </c:pt>
                <c:pt idx="28">
                  <c:v>0.18701000000000001</c:v>
                </c:pt>
                <c:pt idx="29">
                  <c:v>0.19627</c:v>
                </c:pt>
                <c:pt idx="30">
                  <c:v>0.20241000000000001</c:v>
                </c:pt>
                <c:pt idx="31">
                  <c:v>0.20541999999999999</c:v>
                </c:pt>
                <c:pt idx="32">
                  <c:v>0.20552999999999999</c:v>
                </c:pt>
                <c:pt idx="33">
                  <c:v>0.20313000000000001</c:v>
                </c:pt>
                <c:pt idx="34">
                  <c:v>0.19894999999999999</c:v>
                </c:pt>
                <c:pt idx="35">
                  <c:v>0.19369</c:v>
                </c:pt>
                <c:pt idx="36">
                  <c:v>0.18754000000000001</c:v>
                </c:pt>
                <c:pt idx="37">
                  <c:v>0.18056</c:v>
                </c:pt>
                <c:pt idx="38">
                  <c:v>0.17279</c:v>
                </c:pt>
                <c:pt idx="39">
                  <c:v>0.16436000000000001</c:v>
                </c:pt>
                <c:pt idx="40">
                  <c:v>0.15573999999999999</c:v>
                </c:pt>
                <c:pt idx="41">
                  <c:v>0.14741000000000001</c:v>
                </c:pt>
                <c:pt idx="42">
                  <c:v>0.13947000000000001</c:v>
                </c:pt>
                <c:pt idx="43">
                  <c:v>0.13197</c:v>
                </c:pt>
                <c:pt idx="44">
                  <c:v>0.12523000000000001</c:v>
                </c:pt>
                <c:pt idx="45">
                  <c:v>0.11951000000000001</c:v>
                </c:pt>
                <c:pt idx="46">
                  <c:v>0.11448999999999999</c:v>
                </c:pt>
                <c:pt idx="47">
                  <c:v>0.10977000000000001</c:v>
                </c:pt>
                <c:pt idx="48">
                  <c:v>0.10532</c:v>
                </c:pt>
                <c:pt idx="49">
                  <c:v>0.1012</c:v>
                </c:pt>
                <c:pt idx="50">
                  <c:v>9.7500000000000003E-2</c:v>
                </c:pt>
                <c:pt idx="51">
                  <c:v>9.4359999999999999E-2</c:v>
                </c:pt>
                <c:pt idx="52">
                  <c:v>9.1899999999999996E-2</c:v>
                </c:pt>
                <c:pt idx="53">
                  <c:v>9.0279999999999999E-2</c:v>
                </c:pt>
                <c:pt idx="54">
                  <c:v>8.9499999999999996E-2</c:v>
                </c:pt>
                <c:pt idx="55">
                  <c:v>8.9510000000000006E-2</c:v>
                </c:pt>
                <c:pt idx="56">
                  <c:v>9.0039999999999995E-2</c:v>
                </c:pt>
                <c:pt idx="57">
                  <c:v>9.0840000000000004E-2</c:v>
                </c:pt>
                <c:pt idx="58">
                  <c:v>9.1880000000000003E-2</c:v>
                </c:pt>
                <c:pt idx="59">
                  <c:v>9.3189999999999995E-2</c:v>
                </c:pt>
                <c:pt idx="60">
                  <c:v>9.4649999999999998E-2</c:v>
                </c:pt>
                <c:pt idx="61">
                  <c:v>9.6140000000000003E-2</c:v>
                </c:pt>
                <c:pt idx="62">
                  <c:v>9.758E-2</c:v>
                </c:pt>
                <c:pt idx="63">
                  <c:v>9.8919999999999994E-2</c:v>
                </c:pt>
                <c:pt idx="64">
                  <c:v>0.10023</c:v>
                </c:pt>
                <c:pt idx="65">
                  <c:v>0.10163999999999999</c:v>
                </c:pt>
                <c:pt idx="66">
                  <c:v>0.10335999999999999</c:v>
                </c:pt>
                <c:pt idx="67">
                  <c:v>0.10553</c:v>
                </c:pt>
                <c:pt idx="68">
                  <c:v>0.10789</c:v>
                </c:pt>
                <c:pt idx="69">
                  <c:v>0.11019</c:v>
                </c:pt>
                <c:pt idx="70">
                  <c:v>0.11246</c:v>
                </c:pt>
                <c:pt idx="71">
                  <c:v>0.11484</c:v>
                </c:pt>
                <c:pt idx="72">
                  <c:v>0.11756999999999999</c:v>
                </c:pt>
                <c:pt idx="73">
                  <c:v>0.12089999999999999</c:v>
                </c:pt>
                <c:pt idx="74">
                  <c:v>0.12509000000000001</c:v>
                </c:pt>
                <c:pt idx="75">
                  <c:v>0.12825</c:v>
                </c:pt>
                <c:pt idx="76">
                  <c:v>0.13195000000000001</c:v>
                </c:pt>
                <c:pt idx="77">
                  <c:v>0.13574</c:v>
                </c:pt>
                <c:pt idx="78">
                  <c:v>0.13961999999999999</c:v>
                </c:pt>
                <c:pt idx="79">
                  <c:v>0.14359</c:v>
                </c:pt>
                <c:pt idx="80">
                  <c:v>0.14766000000000001</c:v>
                </c:pt>
                <c:pt idx="81">
                  <c:v>0.15182000000000001</c:v>
                </c:pt>
                <c:pt idx="82">
                  <c:v>0.15608</c:v>
                </c:pt>
                <c:pt idx="83">
                  <c:v>0.16044</c:v>
                </c:pt>
                <c:pt idx="84">
                  <c:v>0.16489000000000001</c:v>
                </c:pt>
                <c:pt idx="85">
                  <c:v>0.16489000000000001</c:v>
                </c:pt>
                <c:pt idx="86">
                  <c:v>0.16489000000000001</c:v>
                </c:pt>
                <c:pt idx="87">
                  <c:v>0.16489000000000001</c:v>
                </c:pt>
                <c:pt idx="88">
                  <c:v>0.16489000000000001</c:v>
                </c:pt>
                <c:pt idx="89">
                  <c:v>0.16489000000000001</c:v>
                </c:pt>
                <c:pt idx="90">
                  <c:v>0.16489000000000001</c:v>
                </c:pt>
                <c:pt idx="91">
                  <c:v>0.16489000000000001</c:v>
                </c:pt>
                <c:pt idx="92">
                  <c:v>0.16489000000000001</c:v>
                </c:pt>
                <c:pt idx="93">
                  <c:v>0.16489000000000001</c:v>
                </c:pt>
                <c:pt idx="94">
                  <c:v>0.16489000000000001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0-3FE4-445B-8EEB-D88489EA6296}"/>
            </c:ext>
          </c:extLst>
        </c:ser>
        <c:ser>
          <c:idx val="50"/>
          <c:order val="4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'99set'!$AZ$10:$AZ$104</c:f>
              <c:numCache>
                <c:formatCode>0.00000</c:formatCode>
                <c:ptCount val="95"/>
                <c:pt idx="0">
                  <c:v>7.8829999999999997E-2</c:v>
                </c:pt>
                <c:pt idx="1">
                  <c:v>7.8829999999999997E-2</c:v>
                </c:pt>
                <c:pt idx="2">
                  <c:v>7.8829999999999997E-2</c:v>
                </c:pt>
                <c:pt idx="3">
                  <c:v>7.8829999999999997E-2</c:v>
                </c:pt>
                <c:pt idx="4">
                  <c:v>7.8829999999999997E-2</c:v>
                </c:pt>
                <c:pt idx="5">
                  <c:v>8.2250000000000004E-2</c:v>
                </c:pt>
                <c:pt idx="6">
                  <c:v>8.5800000000000001E-2</c:v>
                </c:pt>
                <c:pt idx="7">
                  <c:v>8.949E-2</c:v>
                </c:pt>
                <c:pt idx="8">
                  <c:v>9.3390000000000001E-2</c:v>
                </c:pt>
                <c:pt idx="9">
                  <c:v>9.7269999999999995E-2</c:v>
                </c:pt>
                <c:pt idx="10">
                  <c:v>0.10142</c:v>
                </c:pt>
                <c:pt idx="11">
                  <c:v>0.10575</c:v>
                </c:pt>
                <c:pt idx="12">
                  <c:v>0.11015999999999999</c:v>
                </c:pt>
                <c:pt idx="13">
                  <c:v>0.11458</c:v>
                </c:pt>
                <c:pt idx="14">
                  <c:v>0.11919</c:v>
                </c:pt>
                <c:pt idx="15">
                  <c:v>0.12413</c:v>
                </c:pt>
                <c:pt idx="16">
                  <c:v>0.12931000000000001</c:v>
                </c:pt>
                <c:pt idx="17">
                  <c:v>0.13467000000000001</c:v>
                </c:pt>
                <c:pt idx="18">
                  <c:v>0.14052000000000001</c:v>
                </c:pt>
                <c:pt idx="19">
                  <c:v>0.14713999999999999</c:v>
                </c:pt>
                <c:pt idx="20">
                  <c:v>0.15412000000000001</c:v>
                </c:pt>
                <c:pt idx="21">
                  <c:v>0.16117999999999999</c:v>
                </c:pt>
                <c:pt idx="22">
                  <c:v>0.16930000000000001</c:v>
                </c:pt>
                <c:pt idx="23">
                  <c:v>0.18</c:v>
                </c:pt>
                <c:pt idx="24">
                  <c:v>0.1958</c:v>
                </c:pt>
                <c:pt idx="25">
                  <c:v>0.21831999999999999</c:v>
                </c:pt>
                <c:pt idx="26">
                  <c:v>0.24453</c:v>
                </c:pt>
                <c:pt idx="27">
                  <c:v>0.27018999999999999</c:v>
                </c:pt>
                <c:pt idx="28">
                  <c:v>0.29107</c:v>
                </c:pt>
                <c:pt idx="29">
                  <c:v>0.30412</c:v>
                </c:pt>
                <c:pt idx="30">
                  <c:v>0.31122</c:v>
                </c:pt>
                <c:pt idx="31">
                  <c:v>0.31476999999999999</c:v>
                </c:pt>
                <c:pt idx="32">
                  <c:v>0.31448999999999999</c:v>
                </c:pt>
                <c:pt idx="33">
                  <c:v>0.30979000000000001</c:v>
                </c:pt>
                <c:pt idx="34">
                  <c:v>0.30148999999999998</c:v>
                </c:pt>
                <c:pt idx="35">
                  <c:v>0.29047000000000001</c:v>
                </c:pt>
                <c:pt idx="36">
                  <c:v>0.27638000000000001</c:v>
                </c:pt>
                <c:pt idx="37">
                  <c:v>0.25896000000000002</c:v>
                </c:pt>
                <c:pt idx="38">
                  <c:v>0.23937</c:v>
                </c:pt>
                <c:pt idx="39">
                  <c:v>0.21933</c:v>
                </c:pt>
                <c:pt idx="40">
                  <c:v>0.20136000000000001</c:v>
                </c:pt>
                <c:pt idx="41">
                  <c:v>0.18742</c:v>
                </c:pt>
                <c:pt idx="42">
                  <c:v>0.17665</c:v>
                </c:pt>
                <c:pt idx="43">
                  <c:v>0.1678</c:v>
                </c:pt>
                <c:pt idx="44">
                  <c:v>0.16106999999999999</c:v>
                </c:pt>
                <c:pt idx="45">
                  <c:v>0.15676000000000001</c:v>
                </c:pt>
                <c:pt idx="46">
                  <c:v>0.15442</c:v>
                </c:pt>
                <c:pt idx="47">
                  <c:v>0.15328</c:v>
                </c:pt>
                <c:pt idx="48">
                  <c:v>0.15223</c:v>
                </c:pt>
                <c:pt idx="49">
                  <c:v>0.15040000000000001</c:v>
                </c:pt>
                <c:pt idx="50">
                  <c:v>0.14826</c:v>
                </c:pt>
                <c:pt idx="51">
                  <c:v>0.14662</c:v>
                </c:pt>
                <c:pt idx="52">
                  <c:v>0.14618</c:v>
                </c:pt>
                <c:pt idx="53">
                  <c:v>0.14745</c:v>
                </c:pt>
                <c:pt idx="54">
                  <c:v>0.15004999999999999</c:v>
                </c:pt>
                <c:pt idx="55">
                  <c:v>0.15357999999999999</c:v>
                </c:pt>
                <c:pt idx="56">
                  <c:v>0.15828999999999999</c:v>
                </c:pt>
                <c:pt idx="57">
                  <c:v>0.16436000000000001</c:v>
                </c:pt>
                <c:pt idx="58">
                  <c:v>0.17108999999999999</c:v>
                </c:pt>
                <c:pt idx="59">
                  <c:v>0.17743</c:v>
                </c:pt>
                <c:pt idx="60">
                  <c:v>0.18201000000000001</c:v>
                </c:pt>
                <c:pt idx="61">
                  <c:v>0.18381</c:v>
                </c:pt>
                <c:pt idx="62">
                  <c:v>0.18359</c:v>
                </c:pt>
                <c:pt idx="63">
                  <c:v>0.18240000000000001</c:v>
                </c:pt>
                <c:pt idx="64">
                  <c:v>0.18052000000000001</c:v>
                </c:pt>
                <c:pt idx="65">
                  <c:v>0.17802999999999999</c:v>
                </c:pt>
                <c:pt idx="66">
                  <c:v>0.17485999999999999</c:v>
                </c:pt>
                <c:pt idx="67">
                  <c:v>0.17093</c:v>
                </c:pt>
                <c:pt idx="68">
                  <c:v>0.16613</c:v>
                </c:pt>
                <c:pt idx="69">
                  <c:v>0.16278999999999999</c:v>
                </c:pt>
                <c:pt idx="70">
                  <c:v>0.15895999999999999</c:v>
                </c:pt>
                <c:pt idx="71">
                  <c:v>0.15520999999999999</c:v>
                </c:pt>
                <c:pt idx="72">
                  <c:v>0.15154000000000001</c:v>
                </c:pt>
                <c:pt idx="73">
                  <c:v>0.14793000000000001</c:v>
                </c:pt>
                <c:pt idx="74">
                  <c:v>0.1444</c:v>
                </c:pt>
                <c:pt idx="75">
                  <c:v>0.14093</c:v>
                </c:pt>
                <c:pt idx="76">
                  <c:v>0.13754</c:v>
                </c:pt>
                <c:pt idx="77">
                  <c:v>0.13421</c:v>
                </c:pt>
                <c:pt idx="78">
                  <c:v>0.13095999999999999</c:v>
                </c:pt>
                <c:pt idx="79">
                  <c:v>0.12776999999999999</c:v>
                </c:pt>
                <c:pt idx="80">
                  <c:v>0.12464</c:v>
                </c:pt>
                <c:pt idx="81">
                  <c:v>0.12159</c:v>
                </c:pt>
                <c:pt idx="82">
                  <c:v>0.11859</c:v>
                </c:pt>
                <c:pt idx="83">
                  <c:v>0.11566</c:v>
                </c:pt>
                <c:pt idx="84">
                  <c:v>0.1128</c:v>
                </c:pt>
                <c:pt idx="85">
                  <c:v>0.1128</c:v>
                </c:pt>
                <c:pt idx="86">
                  <c:v>0.1128</c:v>
                </c:pt>
                <c:pt idx="87">
                  <c:v>0.1128</c:v>
                </c:pt>
                <c:pt idx="88">
                  <c:v>0.1128</c:v>
                </c:pt>
                <c:pt idx="89">
                  <c:v>0.1128</c:v>
                </c:pt>
                <c:pt idx="90">
                  <c:v>0.1128</c:v>
                </c:pt>
                <c:pt idx="91">
                  <c:v>0.1128</c:v>
                </c:pt>
                <c:pt idx="92">
                  <c:v>0.1128</c:v>
                </c:pt>
                <c:pt idx="93">
                  <c:v>0.1128</c:v>
                </c:pt>
                <c:pt idx="94">
                  <c:v>0.1128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1-3FE4-445B-8EEB-D88489EA6296}"/>
            </c:ext>
          </c:extLst>
        </c:ser>
        <c:ser>
          <c:idx val="51"/>
          <c:order val="5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'99set'!$BA$10:$BA$104</c:f>
              <c:numCache>
                <c:formatCode>0.00000</c:formatCode>
                <c:ptCount val="95"/>
                <c:pt idx="0">
                  <c:v>9.9500000000000005E-2</c:v>
                </c:pt>
                <c:pt idx="1">
                  <c:v>9.9500000000000005E-2</c:v>
                </c:pt>
                <c:pt idx="2">
                  <c:v>9.9500000000000005E-2</c:v>
                </c:pt>
                <c:pt idx="3">
                  <c:v>9.9500000000000005E-2</c:v>
                </c:pt>
                <c:pt idx="4">
                  <c:v>9.9500000000000005E-2</c:v>
                </c:pt>
                <c:pt idx="5">
                  <c:v>0.10406</c:v>
                </c:pt>
                <c:pt idx="6">
                  <c:v>0.10879999999999999</c:v>
                </c:pt>
                <c:pt idx="7">
                  <c:v>0.11373</c:v>
                </c:pt>
                <c:pt idx="8">
                  <c:v>0.11889</c:v>
                </c:pt>
                <c:pt idx="9">
                  <c:v>0.12416000000000001</c:v>
                </c:pt>
                <c:pt idx="10">
                  <c:v>0.12970999999999999</c:v>
                </c:pt>
                <c:pt idx="11">
                  <c:v>0.13542999999999999</c:v>
                </c:pt>
                <c:pt idx="12">
                  <c:v>0.14122000000000001</c:v>
                </c:pt>
                <c:pt idx="13">
                  <c:v>0.14702999999999999</c:v>
                </c:pt>
                <c:pt idx="14">
                  <c:v>0.15303</c:v>
                </c:pt>
                <c:pt idx="15">
                  <c:v>0.15937000000000001</c:v>
                </c:pt>
                <c:pt idx="16">
                  <c:v>0.16583000000000001</c:v>
                </c:pt>
                <c:pt idx="17">
                  <c:v>0.17226</c:v>
                </c:pt>
                <c:pt idx="18">
                  <c:v>0.17913000000000001</c:v>
                </c:pt>
                <c:pt idx="19">
                  <c:v>0.18679999999999999</c:v>
                </c:pt>
                <c:pt idx="20">
                  <c:v>0.19470999999999999</c:v>
                </c:pt>
                <c:pt idx="21">
                  <c:v>0.20244000000000001</c:v>
                </c:pt>
                <c:pt idx="22">
                  <c:v>0.21118000000000001</c:v>
                </c:pt>
                <c:pt idx="23">
                  <c:v>0.22283</c:v>
                </c:pt>
                <c:pt idx="24">
                  <c:v>0.24056</c:v>
                </c:pt>
                <c:pt idx="25">
                  <c:v>0.26640000000000003</c:v>
                </c:pt>
                <c:pt idx="26">
                  <c:v>0.29663</c:v>
                </c:pt>
                <c:pt idx="27">
                  <c:v>0.32596999999999998</c:v>
                </c:pt>
                <c:pt idx="28">
                  <c:v>0.34882999999999997</c:v>
                </c:pt>
                <c:pt idx="29">
                  <c:v>0.36119000000000001</c:v>
                </c:pt>
                <c:pt idx="30">
                  <c:v>0.36570000000000003</c:v>
                </c:pt>
                <c:pt idx="31">
                  <c:v>0.36586000000000002</c:v>
                </c:pt>
                <c:pt idx="32">
                  <c:v>0.36203000000000002</c:v>
                </c:pt>
                <c:pt idx="33">
                  <c:v>0.35400999999999999</c:v>
                </c:pt>
                <c:pt idx="34">
                  <c:v>0.34248000000000001</c:v>
                </c:pt>
                <c:pt idx="35">
                  <c:v>0.32800000000000001</c:v>
                </c:pt>
                <c:pt idx="36">
                  <c:v>0.30982999999999999</c:v>
                </c:pt>
                <c:pt idx="37">
                  <c:v>0.28742000000000001</c:v>
                </c:pt>
                <c:pt idx="38">
                  <c:v>0.26249</c:v>
                </c:pt>
                <c:pt idx="39">
                  <c:v>0.23757</c:v>
                </c:pt>
                <c:pt idx="40">
                  <c:v>0.21634</c:v>
                </c:pt>
                <c:pt idx="41">
                  <c:v>0.20166999999999999</c:v>
                </c:pt>
                <c:pt idx="42">
                  <c:v>0.19213</c:v>
                </c:pt>
                <c:pt idx="43">
                  <c:v>0.18575</c:v>
                </c:pt>
                <c:pt idx="44">
                  <c:v>0.18279999999999999</c:v>
                </c:pt>
                <c:pt idx="45">
                  <c:v>0.18373</c:v>
                </c:pt>
                <c:pt idx="46">
                  <c:v>0.18765999999999999</c:v>
                </c:pt>
                <c:pt idx="47">
                  <c:v>0.19303999999999999</c:v>
                </c:pt>
                <c:pt idx="48">
                  <c:v>0.19699</c:v>
                </c:pt>
                <c:pt idx="49">
                  <c:v>0.19725000000000001</c:v>
                </c:pt>
                <c:pt idx="50">
                  <c:v>0.19520999999999999</c:v>
                </c:pt>
                <c:pt idx="51">
                  <c:v>0.19302</c:v>
                </c:pt>
                <c:pt idx="52">
                  <c:v>0.19233</c:v>
                </c:pt>
                <c:pt idx="53">
                  <c:v>0.19417999999999999</c:v>
                </c:pt>
                <c:pt idx="54">
                  <c:v>0.19788</c:v>
                </c:pt>
                <c:pt idx="55">
                  <c:v>0.20263999999999999</c:v>
                </c:pt>
                <c:pt idx="56">
                  <c:v>0.2089</c:v>
                </c:pt>
                <c:pt idx="57">
                  <c:v>0.21709000000000001</c:v>
                </c:pt>
                <c:pt idx="58">
                  <c:v>0.22617000000000001</c:v>
                </c:pt>
                <c:pt idx="59">
                  <c:v>0.23465</c:v>
                </c:pt>
                <c:pt idx="60">
                  <c:v>0.24066000000000001</c:v>
                </c:pt>
                <c:pt idx="61">
                  <c:v>0.24281</c:v>
                </c:pt>
                <c:pt idx="62">
                  <c:v>0.24224000000000001</c:v>
                </c:pt>
                <c:pt idx="63">
                  <c:v>0.24043999999999999</c:v>
                </c:pt>
                <c:pt idx="64">
                  <c:v>0.23777999999999999</c:v>
                </c:pt>
                <c:pt idx="65">
                  <c:v>0.23432</c:v>
                </c:pt>
                <c:pt idx="66">
                  <c:v>0.22994000000000001</c:v>
                </c:pt>
                <c:pt idx="67">
                  <c:v>0.22450000000000001</c:v>
                </c:pt>
                <c:pt idx="68">
                  <c:v>0.21783</c:v>
                </c:pt>
                <c:pt idx="69">
                  <c:v>0.2132</c:v>
                </c:pt>
                <c:pt idx="70">
                  <c:v>0.20788999999999999</c:v>
                </c:pt>
                <c:pt idx="71">
                  <c:v>0.20268</c:v>
                </c:pt>
                <c:pt idx="72">
                  <c:v>0.19757</c:v>
                </c:pt>
                <c:pt idx="73">
                  <c:v>0.19256000000000001</c:v>
                </c:pt>
                <c:pt idx="74">
                  <c:v>0.18764</c:v>
                </c:pt>
                <c:pt idx="75">
                  <c:v>0.18282000000000001</c:v>
                </c:pt>
                <c:pt idx="76">
                  <c:v>0.17810000000000001</c:v>
                </c:pt>
                <c:pt idx="77">
                  <c:v>0.17347000000000001</c:v>
                </c:pt>
                <c:pt idx="78">
                  <c:v>0.16894000000000001</c:v>
                </c:pt>
                <c:pt idx="79">
                  <c:v>0.16450000000000001</c:v>
                </c:pt>
                <c:pt idx="80">
                  <c:v>0.16016</c:v>
                </c:pt>
                <c:pt idx="81">
                  <c:v>0.15590999999999999</c:v>
                </c:pt>
                <c:pt idx="82">
                  <c:v>0.15175</c:v>
                </c:pt>
                <c:pt idx="83">
                  <c:v>0.14768999999999999</c:v>
                </c:pt>
                <c:pt idx="84">
                  <c:v>0.14371</c:v>
                </c:pt>
                <c:pt idx="85">
                  <c:v>0.14371</c:v>
                </c:pt>
                <c:pt idx="86">
                  <c:v>0.14371</c:v>
                </c:pt>
                <c:pt idx="87">
                  <c:v>0.14371</c:v>
                </c:pt>
                <c:pt idx="88">
                  <c:v>0.14371</c:v>
                </c:pt>
                <c:pt idx="89">
                  <c:v>0.14371</c:v>
                </c:pt>
                <c:pt idx="90">
                  <c:v>0.14371</c:v>
                </c:pt>
                <c:pt idx="91">
                  <c:v>0.14371</c:v>
                </c:pt>
                <c:pt idx="92">
                  <c:v>0.14371</c:v>
                </c:pt>
                <c:pt idx="93">
                  <c:v>0.14371</c:v>
                </c:pt>
                <c:pt idx="94">
                  <c:v>0.14371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2-3FE4-445B-8EEB-D88489EA6296}"/>
            </c:ext>
          </c:extLst>
        </c:ser>
        <c:ser>
          <c:idx val="52"/>
          <c:order val="5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'99set'!$BB$10:$BB$104</c:f>
              <c:numCache>
                <c:formatCode>0.00000</c:formatCode>
                <c:ptCount val="95"/>
                <c:pt idx="0">
                  <c:v>5.8599999999999999E-2</c:v>
                </c:pt>
                <c:pt idx="1">
                  <c:v>5.8599999999999999E-2</c:v>
                </c:pt>
                <c:pt idx="2">
                  <c:v>5.8599999999999999E-2</c:v>
                </c:pt>
                <c:pt idx="3">
                  <c:v>5.8599999999999999E-2</c:v>
                </c:pt>
                <c:pt idx="4">
                  <c:v>5.8599999999999999E-2</c:v>
                </c:pt>
                <c:pt idx="5">
                  <c:v>5.842E-2</c:v>
                </c:pt>
                <c:pt idx="6">
                  <c:v>5.824E-2</c:v>
                </c:pt>
                <c:pt idx="7">
                  <c:v>5.806E-2</c:v>
                </c:pt>
                <c:pt idx="8">
                  <c:v>5.8020000000000002E-2</c:v>
                </c:pt>
                <c:pt idx="9">
                  <c:v>5.765E-2</c:v>
                </c:pt>
                <c:pt idx="10">
                  <c:v>5.7500000000000002E-2</c:v>
                </c:pt>
                <c:pt idx="11">
                  <c:v>5.7529999999999998E-2</c:v>
                </c:pt>
                <c:pt idx="12">
                  <c:v>5.7709999999999997E-2</c:v>
                </c:pt>
                <c:pt idx="13">
                  <c:v>5.8009999999999999E-2</c:v>
                </c:pt>
                <c:pt idx="14">
                  <c:v>5.8529999999999999E-2</c:v>
                </c:pt>
                <c:pt idx="15">
                  <c:v>5.9369999999999999E-2</c:v>
                </c:pt>
                <c:pt idx="16">
                  <c:v>6.0589999999999998E-2</c:v>
                </c:pt>
                <c:pt idx="17">
                  <c:v>6.2289999999999998E-2</c:v>
                </c:pt>
                <c:pt idx="18">
                  <c:v>6.4710000000000004E-2</c:v>
                </c:pt>
                <c:pt idx="19">
                  <c:v>6.7839999999999998E-2</c:v>
                </c:pt>
                <c:pt idx="20">
                  <c:v>7.0480000000000001E-2</c:v>
                </c:pt>
                <c:pt idx="21">
                  <c:v>7.1749999999999994E-2</c:v>
                </c:pt>
                <c:pt idx="22">
                  <c:v>7.306E-2</c:v>
                </c:pt>
                <c:pt idx="23">
                  <c:v>7.6789999999999997E-2</c:v>
                </c:pt>
                <c:pt idx="24">
                  <c:v>8.6870000000000003E-2</c:v>
                </c:pt>
                <c:pt idx="25">
                  <c:v>0.106</c:v>
                </c:pt>
                <c:pt idx="26">
                  <c:v>0.13056000000000001</c:v>
                </c:pt>
                <c:pt idx="27">
                  <c:v>0.15570999999999999</c:v>
                </c:pt>
                <c:pt idx="28">
                  <c:v>0.17817</c:v>
                </c:pt>
                <c:pt idx="29">
                  <c:v>0.19575000000000001</c:v>
                </c:pt>
                <c:pt idx="30">
                  <c:v>0.20907999999999999</c:v>
                </c:pt>
                <c:pt idx="31">
                  <c:v>0.21853</c:v>
                </c:pt>
                <c:pt idx="32">
                  <c:v>0.22051999999999999</c:v>
                </c:pt>
                <c:pt idx="33">
                  <c:v>0.21204000000000001</c:v>
                </c:pt>
                <c:pt idx="34">
                  <c:v>0.1963</c:v>
                </c:pt>
                <c:pt idx="35">
                  <c:v>0.1777</c:v>
                </c:pt>
                <c:pt idx="36">
                  <c:v>0.159</c:v>
                </c:pt>
                <c:pt idx="37">
                  <c:v>0.14199999999999999</c:v>
                </c:pt>
                <c:pt idx="38">
                  <c:v>0.12623000000000001</c:v>
                </c:pt>
                <c:pt idx="39">
                  <c:v>0.11115</c:v>
                </c:pt>
                <c:pt idx="40">
                  <c:v>9.8100000000000007E-2</c:v>
                </c:pt>
                <c:pt idx="41">
                  <c:v>8.8410000000000002E-2</c:v>
                </c:pt>
                <c:pt idx="42">
                  <c:v>8.1509999999999999E-2</c:v>
                </c:pt>
                <c:pt idx="43">
                  <c:v>7.6499999999999999E-2</c:v>
                </c:pt>
                <c:pt idx="44">
                  <c:v>7.2959999999999997E-2</c:v>
                </c:pt>
                <c:pt idx="45">
                  <c:v>7.0629999999999998E-2</c:v>
                </c:pt>
                <c:pt idx="46">
                  <c:v>6.9349999999999995E-2</c:v>
                </c:pt>
                <c:pt idx="47">
                  <c:v>6.8909999999999999E-2</c:v>
                </c:pt>
                <c:pt idx="48">
                  <c:v>6.8830000000000002E-2</c:v>
                </c:pt>
                <c:pt idx="49">
                  <c:v>6.8720000000000003E-2</c:v>
                </c:pt>
                <c:pt idx="50">
                  <c:v>6.8629999999999997E-2</c:v>
                </c:pt>
                <c:pt idx="51">
                  <c:v>6.8720000000000003E-2</c:v>
                </c:pt>
                <c:pt idx="52">
                  <c:v>6.8940000000000001E-2</c:v>
                </c:pt>
                <c:pt idx="53">
                  <c:v>6.923E-2</c:v>
                </c:pt>
                <c:pt idx="54">
                  <c:v>6.966E-2</c:v>
                </c:pt>
                <c:pt idx="55">
                  <c:v>7.0400000000000004E-2</c:v>
                </c:pt>
                <c:pt idx="56">
                  <c:v>7.1819999999999995E-2</c:v>
                </c:pt>
                <c:pt idx="57">
                  <c:v>7.4179999999999996E-2</c:v>
                </c:pt>
                <c:pt idx="58">
                  <c:v>7.7079999999999996E-2</c:v>
                </c:pt>
                <c:pt idx="59">
                  <c:v>7.9969999999999999E-2</c:v>
                </c:pt>
                <c:pt idx="60">
                  <c:v>8.2229999999999998E-2</c:v>
                </c:pt>
                <c:pt idx="61">
                  <c:v>8.3419999999999994E-2</c:v>
                </c:pt>
                <c:pt idx="62">
                  <c:v>8.3779999999999993E-2</c:v>
                </c:pt>
                <c:pt idx="63">
                  <c:v>8.3640000000000006E-2</c:v>
                </c:pt>
                <c:pt idx="64">
                  <c:v>8.3059999999999995E-2</c:v>
                </c:pt>
                <c:pt idx="65">
                  <c:v>8.2000000000000003E-2</c:v>
                </c:pt>
                <c:pt idx="66">
                  <c:v>8.0479999999999996E-2</c:v>
                </c:pt>
                <c:pt idx="67">
                  <c:v>7.8490000000000004E-2</c:v>
                </c:pt>
                <c:pt idx="68">
                  <c:v>7.6050000000000006E-2</c:v>
                </c:pt>
                <c:pt idx="69">
                  <c:v>7.4410000000000004E-2</c:v>
                </c:pt>
                <c:pt idx="70">
                  <c:v>7.2510000000000005E-2</c:v>
                </c:pt>
                <c:pt idx="71">
                  <c:v>7.0650000000000004E-2</c:v>
                </c:pt>
                <c:pt idx="72">
                  <c:v>6.8839999999999998E-2</c:v>
                </c:pt>
                <c:pt idx="73">
                  <c:v>6.7070000000000005E-2</c:v>
                </c:pt>
                <c:pt idx="74">
                  <c:v>6.5350000000000005E-2</c:v>
                </c:pt>
                <c:pt idx="75">
                  <c:v>6.3659999999999994E-2</c:v>
                </c:pt>
                <c:pt idx="76">
                  <c:v>6.2019999999999999E-2</c:v>
                </c:pt>
                <c:pt idx="77">
                  <c:v>6.0409999999999998E-2</c:v>
                </c:pt>
                <c:pt idx="78">
                  <c:v>5.885E-2</c:v>
                </c:pt>
                <c:pt idx="79">
                  <c:v>5.7320000000000003E-2</c:v>
                </c:pt>
                <c:pt idx="80">
                  <c:v>5.5829999999999998E-2</c:v>
                </c:pt>
                <c:pt idx="81">
                  <c:v>5.4379999999999998E-2</c:v>
                </c:pt>
                <c:pt idx="82">
                  <c:v>5.296E-2</c:v>
                </c:pt>
                <c:pt idx="83">
                  <c:v>5.1580000000000001E-2</c:v>
                </c:pt>
                <c:pt idx="84">
                  <c:v>5.0229999999999997E-2</c:v>
                </c:pt>
                <c:pt idx="85">
                  <c:v>5.0229999999999997E-2</c:v>
                </c:pt>
                <c:pt idx="86">
                  <c:v>5.0229999999999997E-2</c:v>
                </c:pt>
                <c:pt idx="87">
                  <c:v>5.0229999999999997E-2</c:v>
                </c:pt>
                <c:pt idx="88">
                  <c:v>5.0229999999999997E-2</c:v>
                </c:pt>
                <c:pt idx="89">
                  <c:v>5.0229999999999997E-2</c:v>
                </c:pt>
                <c:pt idx="90">
                  <c:v>5.0229999999999997E-2</c:v>
                </c:pt>
                <c:pt idx="91">
                  <c:v>5.0229999999999997E-2</c:v>
                </c:pt>
                <c:pt idx="92">
                  <c:v>5.0229999999999997E-2</c:v>
                </c:pt>
                <c:pt idx="93">
                  <c:v>5.0229999999999997E-2</c:v>
                </c:pt>
                <c:pt idx="94">
                  <c:v>5.0229999999999997E-2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3-3FE4-445B-8EEB-D88489EA6296}"/>
            </c:ext>
          </c:extLst>
        </c:ser>
        <c:ser>
          <c:idx val="53"/>
          <c:order val="5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'99set'!$BC$10:$BC$104</c:f>
              <c:numCache>
                <c:formatCode>0.00000</c:formatCode>
                <c:ptCount val="95"/>
                <c:pt idx="0">
                  <c:v>7.7899999999999997E-2</c:v>
                </c:pt>
                <c:pt idx="1">
                  <c:v>7.7899999999999997E-2</c:v>
                </c:pt>
                <c:pt idx="2">
                  <c:v>7.7899999999999997E-2</c:v>
                </c:pt>
                <c:pt idx="3">
                  <c:v>7.7899999999999997E-2</c:v>
                </c:pt>
                <c:pt idx="4">
                  <c:v>7.7899999999999997E-2</c:v>
                </c:pt>
                <c:pt idx="5">
                  <c:v>7.7899999999999997E-2</c:v>
                </c:pt>
                <c:pt idx="6">
                  <c:v>7.7899999999999997E-2</c:v>
                </c:pt>
                <c:pt idx="7">
                  <c:v>7.7899999999999997E-2</c:v>
                </c:pt>
                <c:pt idx="8">
                  <c:v>7.7899999999999997E-2</c:v>
                </c:pt>
                <c:pt idx="9">
                  <c:v>7.9299999999999995E-2</c:v>
                </c:pt>
                <c:pt idx="10">
                  <c:v>8.1199999999999994E-2</c:v>
                </c:pt>
                <c:pt idx="11">
                  <c:v>8.2909999999999998E-2</c:v>
                </c:pt>
                <c:pt idx="12">
                  <c:v>8.48E-2</c:v>
                </c:pt>
                <c:pt idx="13">
                  <c:v>8.7359999999999993E-2</c:v>
                </c:pt>
                <c:pt idx="14">
                  <c:v>9.0499999999999997E-2</c:v>
                </c:pt>
                <c:pt idx="15">
                  <c:v>9.4030000000000002E-2</c:v>
                </c:pt>
                <c:pt idx="16">
                  <c:v>9.8000000000000004E-2</c:v>
                </c:pt>
                <c:pt idx="17">
                  <c:v>0.10263</c:v>
                </c:pt>
                <c:pt idx="18">
                  <c:v>0.1086</c:v>
                </c:pt>
                <c:pt idx="19">
                  <c:v>0.11658</c:v>
                </c:pt>
                <c:pt idx="20">
                  <c:v>0.12670000000000001</c:v>
                </c:pt>
                <c:pt idx="21">
                  <c:v>0.13900000000000001</c:v>
                </c:pt>
                <c:pt idx="22">
                  <c:v>0.15379999999999999</c:v>
                </c:pt>
                <c:pt idx="23">
                  <c:v>0.17152000000000001</c:v>
                </c:pt>
                <c:pt idx="24">
                  <c:v>0.1928</c:v>
                </c:pt>
                <c:pt idx="25">
                  <c:v>0.21822</c:v>
                </c:pt>
                <c:pt idx="26">
                  <c:v>0.24790000000000001</c:v>
                </c:pt>
                <c:pt idx="27">
                  <c:v>0.28105000000000002</c:v>
                </c:pt>
                <c:pt idx="28">
                  <c:v>0.31369999999999998</c:v>
                </c:pt>
                <c:pt idx="29">
                  <c:v>0.34111000000000002</c:v>
                </c:pt>
                <c:pt idx="30">
                  <c:v>0.35849999999999999</c:v>
                </c:pt>
                <c:pt idx="31">
                  <c:v>0.36251</c:v>
                </c:pt>
                <c:pt idx="32">
                  <c:v>0.35539999999999999</c:v>
                </c:pt>
                <c:pt idx="33">
                  <c:v>0.34057999999999999</c:v>
                </c:pt>
                <c:pt idx="34">
                  <c:v>0.32029999999999997</c:v>
                </c:pt>
                <c:pt idx="35">
                  <c:v>0.29646</c:v>
                </c:pt>
                <c:pt idx="36">
                  <c:v>0.27060000000000001</c:v>
                </c:pt>
                <c:pt idx="37">
                  <c:v>0.24412</c:v>
                </c:pt>
                <c:pt idx="38">
                  <c:v>0.21820000000000001</c:v>
                </c:pt>
                <c:pt idx="39">
                  <c:v>0.19386999999999999</c:v>
                </c:pt>
                <c:pt idx="40">
                  <c:v>0.17169999999999999</c:v>
                </c:pt>
                <c:pt idx="41">
                  <c:v>0.15204000000000001</c:v>
                </c:pt>
                <c:pt idx="42">
                  <c:v>0.13469999999999999</c:v>
                </c:pt>
                <c:pt idx="43">
                  <c:v>0.11940000000000001</c:v>
                </c:pt>
                <c:pt idx="44">
                  <c:v>0.10589999999999999</c:v>
                </c:pt>
                <c:pt idx="45">
                  <c:v>9.4030000000000002E-2</c:v>
                </c:pt>
                <c:pt idx="46">
                  <c:v>8.3900000000000002E-2</c:v>
                </c:pt>
                <c:pt idx="47">
                  <c:v>7.5670000000000001E-2</c:v>
                </c:pt>
                <c:pt idx="48">
                  <c:v>6.9400000000000003E-2</c:v>
                </c:pt>
                <c:pt idx="49">
                  <c:v>6.5040000000000001E-2</c:v>
                </c:pt>
                <c:pt idx="50">
                  <c:v>6.2199999999999998E-2</c:v>
                </c:pt>
                <c:pt idx="51">
                  <c:v>6.0440000000000001E-2</c:v>
                </c:pt>
                <c:pt idx="52">
                  <c:v>5.9400000000000001E-2</c:v>
                </c:pt>
                <c:pt idx="53">
                  <c:v>5.8779999999999999E-2</c:v>
                </c:pt>
                <c:pt idx="54">
                  <c:v>5.8400000000000001E-2</c:v>
                </c:pt>
                <c:pt idx="55">
                  <c:v>5.8119999999999998E-2</c:v>
                </c:pt>
                <c:pt idx="56">
                  <c:v>5.79E-2</c:v>
                </c:pt>
                <c:pt idx="57">
                  <c:v>5.7750000000000003E-2</c:v>
                </c:pt>
                <c:pt idx="58">
                  <c:v>5.79E-2</c:v>
                </c:pt>
                <c:pt idx="59">
                  <c:v>5.8549999999999998E-2</c:v>
                </c:pt>
                <c:pt idx="60">
                  <c:v>5.96E-2</c:v>
                </c:pt>
                <c:pt idx="61">
                  <c:v>6.0929999999999998E-2</c:v>
                </c:pt>
                <c:pt idx="62">
                  <c:v>6.25E-2</c:v>
                </c:pt>
                <c:pt idx="63">
                  <c:v>6.4280000000000004E-2</c:v>
                </c:pt>
                <c:pt idx="64">
                  <c:v>6.6100000000000006E-2</c:v>
                </c:pt>
                <c:pt idx="65">
                  <c:v>6.7799999999999999E-2</c:v>
                </c:pt>
                <c:pt idx="66">
                  <c:v>6.9500000000000006E-2</c:v>
                </c:pt>
                <c:pt idx="67">
                  <c:v>7.1209999999999996E-2</c:v>
                </c:pt>
                <c:pt idx="68">
                  <c:v>7.2400000000000006E-2</c:v>
                </c:pt>
                <c:pt idx="69">
                  <c:v>7.2400000000000006E-2</c:v>
                </c:pt>
                <c:pt idx="70">
                  <c:v>7.2400000000000006E-2</c:v>
                </c:pt>
                <c:pt idx="71">
                  <c:v>7.2400000000000006E-2</c:v>
                </c:pt>
                <c:pt idx="72">
                  <c:v>7.2400000000000006E-2</c:v>
                </c:pt>
                <c:pt idx="73">
                  <c:v>7.2400000000000006E-2</c:v>
                </c:pt>
                <c:pt idx="74">
                  <c:v>7.2400000000000006E-2</c:v>
                </c:pt>
                <c:pt idx="75">
                  <c:v>7.2400000000000006E-2</c:v>
                </c:pt>
                <c:pt idx="76">
                  <c:v>7.2400000000000006E-2</c:v>
                </c:pt>
                <c:pt idx="77">
                  <c:v>7.2400000000000006E-2</c:v>
                </c:pt>
                <c:pt idx="78">
                  <c:v>7.2400000000000006E-2</c:v>
                </c:pt>
                <c:pt idx="79">
                  <c:v>7.2400000000000006E-2</c:v>
                </c:pt>
                <c:pt idx="80">
                  <c:v>7.2400000000000006E-2</c:v>
                </c:pt>
                <c:pt idx="81">
                  <c:v>7.2400000000000006E-2</c:v>
                </c:pt>
                <c:pt idx="82">
                  <c:v>7.2400000000000006E-2</c:v>
                </c:pt>
                <c:pt idx="83">
                  <c:v>7.2400000000000006E-2</c:v>
                </c:pt>
                <c:pt idx="84">
                  <c:v>7.2400000000000006E-2</c:v>
                </c:pt>
                <c:pt idx="85">
                  <c:v>7.2400000000000006E-2</c:v>
                </c:pt>
                <c:pt idx="86">
                  <c:v>7.2400000000000006E-2</c:v>
                </c:pt>
                <c:pt idx="87">
                  <c:v>7.2400000000000006E-2</c:v>
                </c:pt>
                <c:pt idx="88">
                  <c:v>7.2400000000000006E-2</c:v>
                </c:pt>
                <c:pt idx="89">
                  <c:v>7.2400000000000006E-2</c:v>
                </c:pt>
                <c:pt idx="90">
                  <c:v>7.2400000000000006E-2</c:v>
                </c:pt>
                <c:pt idx="91">
                  <c:v>7.2400000000000006E-2</c:v>
                </c:pt>
                <c:pt idx="92">
                  <c:v>7.2400000000000006E-2</c:v>
                </c:pt>
                <c:pt idx="93">
                  <c:v>7.2400000000000006E-2</c:v>
                </c:pt>
                <c:pt idx="94">
                  <c:v>7.2400000000000006E-2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4-3FE4-445B-8EEB-D88489EA6296}"/>
            </c:ext>
          </c:extLst>
        </c:ser>
        <c:ser>
          <c:idx val="54"/>
          <c:order val="5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'99set'!$BD$10:$BD$104</c:f>
              <c:numCache>
                <c:formatCode>0.00000</c:formatCode>
                <c:ptCount val="95"/>
                <c:pt idx="0">
                  <c:v>0.47189999999999999</c:v>
                </c:pt>
                <c:pt idx="1">
                  <c:v>0.47189999999999999</c:v>
                </c:pt>
                <c:pt idx="2">
                  <c:v>0.47189999999999999</c:v>
                </c:pt>
                <c:pt idx="3">
                  <c:v>0.47189999999999999</c:v>
                </c:pt>
                <c:pt idx="4">
                  <c:v>0.47189999999999999</c:v>
                </c:pt>
                <c:pt idx="5">
                  <c:v>0.47189999999999999</c:v>
                </c:pt>
                <c:pt idx="6">
                  <c:v>0.47189999999999999</c:v>
                </c:pt>
                <c:pt idx="7">
                  <c:v>0.47189999999999999</c:v>
                </c:pt>
                <c:pt idx="8">
                  <c:v>0.47189999999999999</c:v>
                </c:pt>
                <c:pt idx="9">
                  <c:v>0.48882999999999999</c:v>
                </c:pt>
                <c:pt idx="10">
                  <c:v>0.51160000000000005</c:v>
                </c:pt>
                <c:pt idx="11">
                  <c:v>0.53113999999999995</c:v>
                </c:pt>
                <c:pt idx="12">
                  <c:v>0.54879999999999995</c:v>
                </c:pt>
                <c:pt idx="13">
                  <c:v>0.56754000000000004</c:v>
                </c:pt>
                <c:pt idx="14">
                  <c:v>0.58620000000000005</c:v>
                </c:pt>
                <c:pt idx="15">
                  <c:v>0.60333000000000003</c:v>
                </c:pt>
                <c:pt idx="16">
                  <c:v>0.62039999999999995</c:v>
                </c:pt>
                <c:pt idx="17">
                  <c:v>0.63907000000000003</c:v>
                </c:pt>
                <c:pt idx="18">
                  <c:v>0.65890000000000004</c:v>
                </c:pt>
                <c:pt idx="19">
                  <c:v>0.67891000000000001</c:v>
                </c:pt>
                <c:pt idx="20">
                  <c:v>0.69799999999999995</c:v>
                </c:pt>
                <c:pt idx="21">
                  <c:v>0.71523000000000003</c:v>
                </c:pt>
                <c:pt idx="22">
                  <c:v>0.73050000000000004</c:v>
                </c:pt>
                <c:pt idx="23">
                  <c:v>0.74378999999999995</c:v>
                </c:pt>
                <c:pt idx="24">
                  <c:v>0.75470000000000004</c:v>
                </c:pt>
                <c:pt idx="25">
                  <c:v>0.76285000000000003</c:v>
                </c:pt>
                <c:pt idx="26">
                  <c:v>0.76839999999999997</c:v>
                </c:pt>
                <c:pt idx="27">
                  <c:v>0.77166000000000001</c:v>
                </c:pt>
                <c:pt idx="28">
                  <c:v>0.77300000000000002</c:v>
                </c:pt>
                <c:pt idx="29">
                  <c:v>0.77288999999999997</c:v>
                </c:pt>
                <c:pt idx="30">
                  <c:v>0.7722</c:v>
                </c:pt>
                <c:pt idx="31">
                  <c:v>0.77163999999999999</c:v>
                </c:pt>
                <c:pt idx="32">
                  <c:v>0.77090000000000003</c:v>
                </c:pt>
                <c:pt idx="33">
                  <c:v>0.76949999999999996</c:v>
                </c:pt>
                <c:pt idx="34">
                  <c:v>0.76729999999999998</c:v>
                </c:pt>
                <c:pt idx="35">
                  <c:v>0.76420999999999994</c:v>
                </c:pt>
                <c:pt idx="36">
                  <c:v>0.76</c:v>
                </c:pt>
                <c:pt idx="37">
                  <c:v>0.75436999999999999</c:v>
                </c:pt>
                <c:pt idx="38">
                  <c:v>0.74680000000000002</c:v>
                </c:pt>
                <c:pt idx="39">
                  <c:v>0.73690999999999995</c:v>
                </c:pt>
                <c:pt idx="40">
                  <c:v>0.72519999999999996</c:v>
                </c:pt>
                <c:pt idx="41">
                  <c:v>0.71226</c:v>
                </c:pt>
                <c:pt idx="42">
                  <c:v>0.69820000000000004</c:v>
                </c:pt>
                <c:pt idx="43">
                  <c:v>0.68279999999999996</c:v>
                </c:pt>
                <c:pt idx="44">
                  <c:v>0.66490000000000005</c:v>
                </c:pt>
                <c:pt idx="45">
                  <c:v>0.64336000000000004</c:v>
                </c:pt>
                <c:pt idx="46">
                  <c:v>0.61799999999999999</c:v>
                </c:pt>
                <c:pt idx="47">
                  <c:v>0.58958999999999995</c:v>
                </c:pt>
                <c:pt idx="48">
                  <c:v>0.56169999999999998</c:v>
                </c:pt>
                <c:pt idx="49">
                  <c:v>0.53802000000000005</c:v>
                </c:pt>
                <c:pt idx="50">
                  <c:v>0.51990000000000003</c:v>
                </c:pt>
                <c:pt idx="51">
                  <c:v>0.50780000000000003</c:v>
                </c:pt>
                <c:pt idx="52">
                  <c:v>0.50090000000000001</c:v>
                </c:pt>
                <c:pt idx="53">
                  <c:v>0.49797999999999998</c:v>
                </c:pt>
                <c:pt idx="54">
                  <c:v>0.49759999999999999</c:v>
                </c:pt>
                <c:pt idx="55">
                  <c:v>0.49839</c:v>
                </c:pt>
                <c:pt idx="56">
                  <c:v>0.4995</c:v>
                </c:pt>
                <c:pt idx="57">
                  <c:v>0.50065000000000004</c:v>
                </c:pt>
                <c:pt idx="58">
                  <c:v>0.50319999999999998</c:v>
                </c:pt>
                <c:pt idx="59">
                  <c:v>0.50873999999999997</c:v>
                </c:pt>
                <c:pt idx="60">
                  <c:v>0.51800000000000002</c:v>
                </c:pt>
                <c:pt idx="61">
                  <c:v>0.53103999999999996</c:v>
                </c:pt>
                <c:pt idx="62">
                  <c:v>0.54610000000000003</c:v>
                </c:pt>
                <c:pt idx="63">
                  <c:v>0.56122000000000005</c:v>
                </c:pt>
                <c:pt idx="64">
                  <c:v>0.57550000000000001</c:v>
                </c:pt>
                <c:pt idx="65">
                  <c:v>0.58862000000000003</c:v>
                </c:pt>
                <c:pt idx="66">
                  <c:v>0.60150000000000003</c:v>
                </c:pt>
                <c:pt idx="67">
                  <c:v>0.61434999999999995</c:v>
                </c:pt>
                <c:pt idx="68">
                  <c:v>0.62319999999999998</c:v>
                </c:pt>
                <c:pt idx="69">
                  <c:v>0.62319999999999998</c:v>
                </c:pt>
                <c:pt idx="70">
                  <c:v>0.62319999999999998</c:v>
                </c:pt>
                <c:pt idx="71">
                  <c:v>0.62319999999999998</c:v>
                </c:pt>
                <c:pt idx="72">
                  <c:v>0.62319999999999998</c:v>
                </c:pt>
                <c:pt idx="73">
                  <c:v>0.62319999999999998</c:v>
                </c:pt>
                <c:pt idx="74">
                  <c:v>0.62319999999999998</c:v>
                </c:pt>
                <c:pt idx="75">
                  <c:v>0.62319999999999998</c:v>
                </c:pt>
                <c:pt idx="76">
                  <c:v>0.62319999999999998</c:v>
                </c:pt>
                <c:pt idx="77">
                  <c:v>0.62319999999999998</c:v>
                </c:pt>
                <c:pt idx="78">
                  <c:v>0.62319999999999998</c:v>
                </c:pt>
                <c:pt idx="79">
                  <c:v>0.62319999999999998</c:v>
                </c:pt>
                <c:pt idx="80">
                  <c:v>0.62319999999999998</c:v>
                </c:pt>
                <c:pt idx="81">
                  <c:v>0.62319999999999998</c:v>
                </c:pt>
                <c:pt idx="82">
                  <c:v>0.62319999999999998</c:v>
                </c:pt>
                <c:pt idx="83">
                  <c:v>0.62319999999999998</c:v>
                </c:pt>
                <c:pt idx="84">
                  <c:v>0.62319999999999998</c:v>
                </c:pt>
                <c:pt idx="85">
                  <c:v>0.62319999999999998</c:v>
                </c:pt>
                <c:pt idx="86">
                  <c:v>0.62319999999999998</c:v>
                </c:pt>
                <c:pt idx="87">
                  <c:v>0.62319999999999998</c:v>
                </c:pt>
                <c:pt idx="88">
                  <c:v>0.62319999999999998</c:v>
                </c:pt>
                <c:pt idx="89">
                  <c:v>0.62319999999999998</c:v>
                </c:pt>
                <c:pt idx="90">
                  <c:v>0.62319999999999998</c:v>
                </c:pt>
                <c:pt idx="91">
                  <c:v>0.62319999999999998</c:v>
                </c:pt>
                <c:pt idx="92">
                  <c:v>0.62319999999999998</c:v>
                </c:pt>
                <c:pt idx="93">
                  <c:v>0.62319999999999998</c:v>
                </c:pt>
                <c:pt idx="94">
                  <c:v>0.62319999999999998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5-3FE4-445B-8EEB-D88489EA6296}"/>
            </c:ext>
          </c:extLst>
        </c:ser>
        <c:ser>
          <c:idx val="55"/>
          <c:order val="5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'99set'!$BE$10:$BE$104</c:f>
              <c:numCache>
                <c:formatCode>0.00000</c:formatCode>
                <c:ptCount val="95"/>
                <c:pt idx="0">
                  <c:v>0.30073</c:v>
                </c:pt>
                <c:pt idx="1">
                  <c:v>0.30073</c:v>
                </c:pt>
                <c:pt idx="2">
                  <c:v>0.30073</c:v>
                </c:pt>
                <c:pt idx="3">
                  <c:v>0.30073</c:v>
                </c:pt>
                <c:pt idx="4">
                  <c:v>0.30073</c:v>
                </c:pt>
                <c:pt idx="5">
                  <c:v>0.32661000000000001</c:v>
                </c:pt>
                <c:pt idx="6">
                  <c:v>0.34992000000000001</c:v>
                </c:pt>
                <c:pt idx="7">
                  <c:v>0.37230000000000002</c:v>
                </c:pt>
                <c:pt idx="8">
                  <c:v>0.39416000000000001</c:v>
                </c:pt>
                <c:pt idx="9">
                  <c:v>0.41553000000000001</c:v>
                </c:pt>
                <c:pt idx="10">
                  <c:v>0.43631999999999999</c:v>
                </c:pt>
                <c:pt idx="11">
                  <c:v>0.45651999999999998</c:v>
                </c:pt>
                <c:pt idx="12">
                  <c:v>0.47667999999999999</c:v>
                </c:pt>
                <c:pt idx="13">
                  <c:v>0.49725000000000003</c:v>
                </c:pt>
                <c:pt idx="14">
                  <c:v>0.51775000000000004</c:v>
                </c:pt>
                <c:pt idx="15">
                  <c:v>0.53774</c:v>
                </c:pt>
                <c:pt idx="16">
                  <c:v>0.55789</c:v>
                </c:pt>
                <c:pt idx="17">
                  <c:v>0.57898000000000005</c:v>
                </c:pt>
                <c:pt idx="18">
                  <c:v>0.60124999999999995</c:v>
                </c:pt>
                <c:pt idx="19">
                  <c:v>0.62458000000000002</c:v>
                </c:pt>
                <c:pt idx="20">
                  <c:v>0.64803999999999995</c:v>
                </c:pt>
                <c:pt idx="21">
                  <c:v>0.67049000000000003</c:v>
                </c:pt>
                <c:pt idx="22">
                  <c:v>0.69066000000000005</c:v>
                </c:pt>
                <c:pt idx="23">
                  <c:v>0.70753999999999995</c:v>
                </c:pt>
                <c:pt idx="24">
                  <c:v>0.72131999999999996</c:v>
                </c:pt>
                <c:pt idx="25">
                  <c:v>0.73246</c:v>
                </c:pt>
                <c:pt idx="26">
                  <c:v>0.74114999999999998</c:v>
                </c:pt>
                <c:pt idx="27">
                  <c:v>0.74751999999999996</c:v>
                </c:pt>
                <c:pt idx="28">
                  <c:v>0.75151000000000001</c:v>
                </c:pt>
                <c:pt idx="29">
                  <c:v>0.75312000000000001</c:v>
                </c:pt>
                <c:pt idx="30">
                  <c:v>0.75258999999999998</c:v>
                </c:pt>
                <c:pt idx="31">
                  <c:v>0.75009999999999999</c:v>
                </c:pt>
                <c:pt idx="32">
                  <c:v>0.74536999999999998</c:v>
                </c:pt>
                <c:pt idx="33">
                  <c:v>0.73809999999999998</c:v>
                </c:pt>
                <c:pt idx="34">
                  <c:v>0.72853000000000001</c:v>
                </c:pt>
                <c:pt idx="35">
                  <c:v>0.71689000000000003</c:v>
                </c:pt>
                <c:pt idx="36">
                  <c:v>0.70284000000000002</c:v>
                </c:pt>
                <c:pt idx="37">
                  <c:v>0.68608000000000002</c:v>
                </c:pt>
                <c:pt idx="38">
                  <c:v>0.66693999999999998</c:v>
                </c:pt>
                <c:pt idx="39">
                  <c:v>0.64607000000000003</c:v>
                </c:pt>
                <c:pt idx="40">
                  <c:v>0.62480000000000002</c:v>
                </c:pt>
                <c:pt idx="41">
                  <c:v>0.60443999999999998</c:v>
                </c:pt>
                <c:pt idx="42">
                  <c:v>0.58562000000000003</c:v>
                </c:pt>
                <c:pt idx="43">
                  <c:v>0.56855999999999995</c:v>
                </c:pt>
                <c:pt idx="44">
                  <c:v>0.55242000000000002</c:v>
                </c:pt>
                <c:pt idx="45">
                  <c:v>0.53610999999999998</c:v>
                </c:pt>
                <c:pt idx="46">
                  <c:v>0.51865000000000006</c:v>
                </c:pt>
                <c:pt idx="47">
                  <c:v>0.49975000000000003</c:v>
                </c:pt>
                <c:pt idx="48">
                  <c:v>0.48196</c:v>
                </c:pt>
                <c:pt idx="49">
                  <c:v>0.46790999999999999</c:v>
                </c:pt>
                <c:pt idx="50">
                  <c:v>0.45788000000000001</c:v>
                </c:pt>
                <c:pt idx="51">
                  <c:v>0.45145999999999997</c:v>
                </c:pt>
                <c:pt idx="52">
                  <c:v>0.44791999999999998</c:v>
                </c:pt>
                <c:pt idx="53">
                  <c:v>0.44644</c:v>
                </c:pt>
                <c:pt idx="54">
                  <c:v>0.44630999999999998</c:v>
                </c:pt>
                <c:pt idx="55">
                  <c:v>0.44699</c:v>
                </c:pt>
                <c:pt idx="56">
                  <c:v>0.44862000000000002</c:v>
                </c:pt>
                <c:pt idx="57">
                  <c:v>0.4516</c:v>
                </c:pt>
                <c:pt idx="58">
                  <c:v>0.45656000000000002</c:v>
                </c:pt>
                <c:pt idx="59">
                  <c:v>0.46395999999999998</c:v>
                </c:pt>
                <c:pt idx="60">
                  <c:v>0.47319</c:v>
                </c:pt>
                <c:pt idx="61">
                  <c:v>0.48341000000000001</c:v>
                </c:pt>
                <c:pt idx="62">
                  <c:v>0.49375999999999998</c:v>
                </c:pt>
                <c:pt idx="63">
                  <c:v>0.50346999999999997</c:v>
                </c:pt>
                <c:pt idx="64">
                  <c:v>0.51212000000000002</c:v>
                </c:pt>
                <c:pt idx="65">
                  <c:v>0.51931000000000005</c:v>
                </c:pt>
                <c:pt idx="66">
                  <c:v>0.52449999999999997</c:v>
                </c:pt>
                <c:pt idx="67">
                  <c:v>0.52734999999999999</c:v>
                </c:pt>
                <c:pt idx="68">
                  <c:v>0.52854000000000001</c:v>
                </c:pt>
                <c:pt idx="69">
                  <c:v>0.52898999999999996</c:v>
                </c:pt>
                <c:pt idx="70">
                  <c:v>0.52954000000000001</c:v>
                </c:pt>
                <c:pt idx="71">
                  <c:v>0.53108999999999995</c:v>
                </c:pt>
                <c:pt idx="72">
                  <c:v>0.53478000000000003</c:v>
                </c:pt>
                <c:pt idx="73">
                  <c:v>0.54157999999999995</c:v>
                </c:pt>
                <c:pt idx="74">
                  <c:v>0.55167999999999995</c:v>
                </c:pt>
                <c:pt idx="75">
                  <c:v>0.56547999999999998</c:v>
                </c:pt>
                <c:pt idx="76">
                  <c:v>0.58513999999999999</c:v>
                </c:pt>
                <c:pt idx="77">
                  <c:v>0.61045000000000005</c:v>
                </c:pt>
                <c:pt idx="78">
                  <c:v>0.62990999999999997</c:v>
                </c:pt>
                <c:pt idx="79">
                  <c:v>0.63368999999999998</c:v>
                </c:pt>
                <c:pt idx="80">
                  <c:v>0.62990999999999997</c:v>
                </c:pt>
                <c:pt idx="81">
                  <c:v>0.62865000000000004</c:v>
                </c:pt>
                <c:pt idx="82">
                  <c:v>0.62990999999999997</c:v>
                </c:pt>
                <c:pt idx="83">
                  <c:v>0.63117000000000001</c:v>
                </c:pt>
                <c:pt idx="84">
                  <c:v>0.62990999999999997</c:v>
                </c:pt>
                <c:pt idx="85">
                  <c:v>0.62990999999999997</c:v>
                </c:pt>
                <c:pt idx="86">
                  <c:v>0.62990999999999997</c:v>
                </c:pt>
                <c:pt idx="87">
                  <c:v>0.62990999999999997</c:v>
                </c:pt>
                <c:pt idx="88">
                  <c:v>0.62990999999999997</c:v>
                </c:pt>
                <c:pt idx="89">
                  <c:v>0.62990999999999997</c:v>
                </c:pt>
                <c:pt idx="90">
                  <c:v>0.62990999999999997</c:v>
                </c:pt>
                <c:pt idx="91">
                  <c:v>0.62990999999999997</c:v>
                </c:pt>
                <c:pt idx="92">
                  <c:v>0.62990999999999997</c:v>
                </c:pt>
                <c:pt idx="93">
                  <c:v>0.62990999999999997</c:v>
                </c:pt>
                <c:pt idx="94">
                  <c:v>0.62990999999999997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6-3FE4-445B-8EEB-D88489EA6296}"/>
            </c:ext>
          </c:extLst>
        </c:ser>
        <c:ser>
          <c:idx val="56"/>
          <c:order val="5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'99set'!$BF$10:$BF$104</c:f>
              <c:numCache>
                <c:formatCode>0.00000</c:formatCode>
                <c:ptCount val="95"/>
                <c:pt idx="0">
                  <c:v>0.23150000000000001</c:v>
                </c:pt>
                <c:pt idx="1">
                  <c:v>0.23150000000000001</c:v>
                </c:pt>
                <c:pt idx="2">
                  <c:v>0.23150000000000001</c:v>
                </c:pt>
                <c:pt idx="3">
                  <c:v>0.23150000000000001</c:v>
                </c:pt>
                <c:pt idx="4">
                  <c:v>0.23150000000000001</c:v>
                </c:pt>
                <c:pt idx="5">
                  <c:v>0.23150000000000001</c:v>
                </c:pt>
                <c:pt idx="6">
                  <c:v>0.23150000000000001</c:v>
                </c:pt>
                <c:pt idx="7">
                  <c:v>0.23150000000000001</c:v>
                </c:pt>
                <c:pt idx="8">
                  <c:v>0.23150000000000001</c:v>
                </c:pt>
                <c:pt idx="9">
                  <c:v>0.25502999999999998</c:v>
                </c:pt>
                <c:pt idx="10">
                  <c:v>0.28200999999999998</c:v>
                </c:pt>
                <c:pt idx="11">
                  <c:v>0.29615999999999998</c:v>
                </c:pt>
                <c:pt idx="12">
                  <c:v>0.30297000000000002</c:v>
                </c:pt>
                <c:pt idx="13">
                  <c:v>0.31130000000000002</c:v>
                </c:pt>
                <c:pt idx="14">
                  <c:v>0.32157999999999998</c:v>
                </c:pt>
                <c:pt idx="15">
                  <c:v>0.33252999999999999</c:v>
                </c:pt>
                <c:pt idx="16">
                  <c:v>0.34437000000000001</c:v>
                </c:pt>
                <c:pt idx="17">
                  <c:v>0.35808000000000001</c:v>
                </c:pt>
                <c:pt idx="18">
                  <c:v>0.37612000000000001</c:v>
                </c:pt>
                <c:pt idx="19">
                  <c:v>0.40032000000000001</c:v>
                </c:pt>
                <c:pt idx="20">
                  <c:v>0.42836000000000002</c:v>
                </c:pt>
                <c:pt idx="21">
                  <c:v>0.45815</c:v>
                </c:pt>
                <c:pt idx="22">
                  <c:v>0.49262</c:v>
                </c:pt>
                <c:pt idx="23">
                  <c:v>0.53398999999999996</c:v>
                </c:pt>
                <c:pt idx="24">
                  <c:v>0.57657999999999998</c:v>
                </c:pt>
                <c:pt idx="25">
                  <c:v>0.61368</c:v>
                </c:pt>
                <c:pt idx="26">
                  <c:v>0.64244000000000001</c:v>
                </c:pt>
                <c:pt idx="27">
                  <c:v>0.66137000000000001</c:v>
                </c:pt>
                <c:pt idx="28">
                  <c:v>0.67062999999999995</c:v>
                </c:pt>
                <c:pt idx="29">
                  <c:v>0.67105999999999999</c:v>
                </c:pt>
                <c:pt idx="30">
                  <c:v>0.66461000000000003</c:v>
                </c:pt>
                <c:pt idx="31">
                  <c:v>0.65332000000000001</c:v>
                </c:pt>
                <c:pt idx="32">
                  <c:v>0.63836000000000004</c:v>
                </c:pt>
                <c:pt idx="33">
                  <c:v>0.62051999999999996</c:v>
                </c:pt>
                <c:pt idx="34">
                  <c:v>0.59994000000000003</c:v>
                </c:pt>
                <c:pt idx="35">
                  <c:v>0.57664000000000004</c:v>
                </c:pt>
                <c:pt idx="36">
                  <c:v>0.55071000000000003</c:v>
                </c:pt>
                <c:pt idx="37">
                  <c:v>0.52241000000000004</c:v>
                </c:pt>
                <c:pt idx="38">
                  <c:v>0.49258999999999997</c:v>
                </c:pt>
                <c:pt idx="39">
                  <c:v>0.46217999999999998</c:v>
                </c:pt>
                <c:pt idx="40">
                  <c:v>0.43191000000000002</c:v>
                </c:pt>
                <c:pt idx="41">
                  <c:v>0.40231</c:v>
                </c:pt>
                <c:pt idx="42">
                  <c:v>0.37328</c:v>
                </c:pt>
                <c:pt idx="43">
                  <c:v>0.34465000000000001</c:v>
                </c:pt>
                <c:pt idx="44">
                  <c:v>0.31651000000000001</c:v>
                </c:pt>
                <c:pt idx="45">
                  <c:v>0.28904000000000002</c:v>
                </c:pt>
                <c:pt idx="46">
                  <c:v>0.26262999999999997</c:v>
                </c:pt>
                <c:pt idx="47">
                  <c:v>0.23787</c:v>
                </c:pt>
                <c:pt idx="48">
                  <c:v>0.21609</c:v>
                </c:pt>
                <c:pt idx="49">
                  <c:v>0.19855999999999999</c:v>
                </c:pt>
                <c:pt idx="50">
                  <c:v>0.18547</c:v>
                </c:pt>
                <c:pt idx="51">
                  <c:v>0.17652999999999999</c:v>
                </c:pt>
                <c:pt idx="52">
                  <c:v>0.17054</c:v>
                </c:pt>
                <c:pt idx="53">
                  <c:v>0.16621</c:v>
                </c:pt>
                <c:pt idx="54">
                  <c:v>0.16281000000000001</c:v>
                </c:pt>
                <c:pt idx="55">
                  <c:v>0.15981000000000001</c:v>
                </c:pt>
                <c:pt idx="56">
                  <c:v>0.15704000000000001</c:v>
                </c:pt>
                <c:pt idx="57">
                  <c:v>0.15454999999999999</c:v>
                </c:pt>
                <c:pt idx="58">
                  <c:v>0.15295</c:v>
                </c:pt>
                <c:pt idx="59">
                  <c:v>0.15286</c:v>
                </c:pt>
                <c:pt idx="60">
                  <c:v>0.15443000000000001</c:v>
                </c:pt>
                <c:pt idx="61">
                  <c:v>0.15772</c:v>
                </c:pt>
                <c:pt idx="62">
                  <c:v>0.16295000000000001</c:v>
                </c:pt>
                <c:pt idx="63">
                  <c:v>0.16994000000000001</c:v>
                </c:pt>
                <c:pt idx="64">
                  <c:v>0.17687</c:v>
                </c:pt>
                <c:pt idx="65">
                  <c:v>0.18215999999999999</c:v>
                </c:pt>
                <c:pt idx="66">
                  <c:v>0.18698999999999999</c:v>
                </c:pt>
                <c:pt idx="67">
                  <c:v>0.19242999999999999</c:v>
                </c:pt>
                <c:pt idx="68">
                  <c:v>0.19647000000000001</c:v>
                </c:pt>
                <c:pt idx="69">
                  <c:v>0.19647000000000001</c:v>
                </c:pt>
                <c:pt idx="70">
                  <c:v>0.19647000000000001</c:v>
                </c:pt>
                <c:pt idx="71">
                  <c:v>0.19647000000000001</c:v>
                </c:pt>
                <c:pt idx="72">
                  <c:v>0.19647000000000001</c:v>
                </c:pt>
                <c:pt idx="73">
                  <c:v>0.19647000000000001</c:v>
                </c:pt>
                <c:pt idx="74">
                  <c:v>0.19647000000000001</c:v>
                </c:pt>
                <c:pt idx="75">
                  <c:v>0.19647000000000001</c:v>
                </c:pt>
                <c:pt idx="76">
                  <c:v>0.19647000000000001</c:v>
                </c:pt>
                <c:pt idx="77">
                  <c:v>0.19647000000000001</c:v>
                </c:pt>
                <c:pt idx="78">
                  <c:v>0.19647000000000001</c:v>
                </c:pt>
                <c:pt idx="79">
                  <c:v>0.19647000000000001</c:v>
                </c:pt>
                <c:pt idx="80">
                  <c:v>0.19647000000000001</c:v>
                </c:pt>
                <c:pt idx="81">
                  <c:v>0.19647000000000001</c:v>
                </c:pt>
                <c:pt idx="82">
                  <c:v>0.19647000000000001</c:v>
                </c:pt>
                <c:pt idx="83">
                  <c:v>0.19647000000000001</c:v>
                </c:pt>
                <c:pt idx="84">
                  <c:v>0.19647000000000001</c:v>
                </c:pt>
                <c:pt idx="85">
                  <c:v>0.19647000000000001</c:v>
                </c:pt>
                <c:pt idx="86">
                  <c:v>0.19647000000000001</c:v>
                </c:pt>
                <c:pt idx="87">
                  <c:v>0.19647000000000001</c:v>
                </c:pt>
                <c:pt idx="88">
                  <c:v>0.19647000000000001</c:v>
                </c:pt>
                <c:pt idx="89">
                  <c:v>0.19647000000000001</c:v>
                </c:pt>
                <c:pt idx="90">
                  <c:v>0.19647000000000001</c:v>
                </c:pt>
                <c:pt idx="91">
                  <c:v>0.19647000000000001</c:v>
                </c:pt>
                <c:pt idx="92">
                  <c:v>0.19647000000000001</c:v>
                </c:pt>
                <c:pt idx="93">
                  <c:v>0.19647000000000001</c:v>
                </c:pt>
                <c:pt idx="94">
                  <c:v>0.19647000000000001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7-3FE4-445B-8EEB-D88489EA6296}"/>
            </c:ext>
          </c:extLst>
        </c:ser>
        <c:ser>
          <c:idx val="57"/>
          <c:order val="5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'99set'!$BG$10:$BG$104</c:f>
              <c:numCache>
                <c:formatCode>0.00000</c:formatCode>
                <c:ptCount val="95"/>
                <c:pt idx="0">
                  <c:v>0.13469999999999999</c:v>
                </c:pt>
                <c:pt idx="1">
                  <c:v>0.13469999999999999</c:v>
                </c:pt>
                <c:pt idx="2">
                  <c:v>0.13469999999999999</c:v>
                </c:pt>
                <c:pt idx="3">
                  <c:v>0.13469999999999999</c:v>
                </c:pt>
                <c:pt idx="4">
                  <c:v>0.13469999999999999</c:v>
                </c:pt>
                <c:pt idx="5">
                  <c:v>0.13469999999999999</c:v>
                </c:pt>
                <c:pt idx="6">
                  <c:v>0.13469999999999999</c:v>
                </c:pt>
                <c:pt idx="7">
                  <c:v>0.13469999999999999</c:v>
                </c:pt>
                <c:pt idx="8">
                  <c:v>0.13469999999999999</c:v>
                </c:pt>
                <c:pt idx="9">
                  <c:v>0.13983999999999999</c:v>
                </c:pt>
                <c:pt idx="10">
                  <c:v>0.14599999999999999</c:v>
                </c:pt>
                <c:pt idx="11">
                  <c:v>0.14999000000000001</c:v>
                </c:pt>
                <c:pt idx="12">
                  <c:v>0.15359999999999999</c:v>
                </c:pt>
                <c:pt idx="13">
                  <c:v>0.15934000000000001</c:v>
                </c:pt>
                <c:pt idx="14">
                  <c:v>0.16769999999999999</c:v>
                </c:pt>
                <c:pt idx="15">
                  <c:v>0.17857000000000001</c:v>
                </c:pt>
                <c:pt idx="16">
                  <c:v>0.19159999999999999</c:v>
                </c:pt>
                <c:pt idx="17">
                  <c:v>0.20654</c:v>
                </c:pt>
                <c:pt idx="18">
                  <c:v>0.2238</c:v>
                </c:pt>
                <c:pt idx="19">
                  <c:v>0.24393999999999999</c:v>
                </c:pt>
                <c:pt idx="20">
                  <c:v>0.26740000000000003</c:v>
                </c:pt>
                <c:pt idx="21">
                  <c:v>0.29426999999999998</c:v>
                </c:pt>
                <c:pt idx="22">
                  <c:v>0.32340000000000002</c:v>
                </c:pt>
                <c:pt idx="23">
                  <c:v>0.35336000000000001</c:v>
                </c:pt>
                <c:pt idx="24">
                  <c:v>0.38269999999999998</c:v>
                </c:pt>
                <c:pt idx="25">
                  <c:v>0.40983000000000003</c:v>
                </c:pt>
                <c:pt idx="26">
                  <c:v>0.4325</c:v>
                </c:pt>
                <c:pt idx="27">
                  <c:v>0.44869999999999999</c:v>
                </c:pt>
                <c:pt idx="28">
                  <c:v>0.45800000000000002</c:v>
                </c:pt>
                <c:pt idx="29">
                  <c:v>0.46055000000000001</c:v>
                </c:pt>
                <c:pt idx="30">
                  <c:v>0.45710000000000001</c:v>
                </c:pt>
                <c:pt idx="31">
                  <c:v>0.44861000000000001</c:v>
                </c:pt>
                <c:pt idx="32">
                  <c:v>0.43619999999999998</c:v>
                </c:pt>
                <c:pt idx="33">
                  <c:v>0.42087999999999998</c:v>
                </c:pt>
                <c:pt idx="34">
                  <c:v>0.40300000000000002</c:v>
                </c:pt>
                <c:pt idx="35">
                  <c:v>0.38263999999999998</c:v>
                </c:pt>
                <c:pt idx="36">
                  <c:v>0.3594</c:v>
                </c:pt>
                <c:pt idx="37">
                  <c:v>0.33312999999999998</c:v>
                </c:pt>
                <c:pt idx="38">
                  <c:v>0.30509999999999998</c:v>
                </c:pt>
                <c:pt idx="39">
                  <c:v>0.27694000000000002</c:v>
                </c:pt>
                <c:pt idx="40">
                  <c:v>0.25030000000000002</c:v>
                </c:pt>
                <c:pt idx="41">
                  <c:v>0.22650999999999999</c:v>
                </c:pt>
                <c:pt idx="42">
                  <c:v>0.20549999999999999</c:v>
                </c:pt>
                <c:pt idx="43">
                  <c:v>0.18673999999999999</c:v>
                </c:pt>
                <c:pt idx="44">
                  <c:v>0.1694</c:v>
                </c:pt>
                <c:pt idx="45">
                  <c:v>0.15246999999999999</c:v>
                </c:pt>
                <c:pt idx="46">
                  <c:v>0.13469999999999999</c:v>
                </c:pt>
                <c:pt idx="47">
                  <c:v>0.11572</c:v>
                </c:pt>
                <c:pt idx="48">
                  <c:v>9.9000000000000005E-2</c:v>
                </c:pt>
                <c:pt idx="49">
                  <c:v>8.7900000000000006E-2</c:v>
                </c:pt>
                <c:pt idx="50">
                  <c:v>8.1600000000000006E-2</c:v>
                </c:pt>
                <c:pt idx="51">
                  <c:v>7.8270000000000006E-2</c:v>
                </c:pt>
                <c:pt idx="52">
                  <c:v>7.6300000000000007E-2</c:v>
                </c:pt>
                <c:pt idx="53">
                  <c:v>7.4480000000000005E-2</c:v>
                </c:pt>
                <c:pt idx="54">
                  <c:v>7.2900000000000006E-2</c:v>
                </c:pt>
                <c:pt idx="55">
                  <c:v>7.1730000000000002E-2</c:v>
                </c:pt>
                <c:pt idx="56">
                  <c:v>7.0099999999999996E-2</c:v>
                </c:pt>
                <c:pt idx="57">
                  <c:v>6.6919999999999993E-2</c:v>
                </c:pt>
                <c:pt idx="58">
                  <c:v>6.13E-2</c:v>
                </c:pt>
                <c:pt idx="59">
                  <c:v>5.3039999999999997E-2</c:v>
                </c:pt>
                <c:pt idx="60">
                  <c:v>4.4400000000000002E-2</c:v>
                </c:pt>
                <c:pt idx="61">
                  <c:v>3.7810000000000003E-2</c:v>
                </c:pt>
                <c:pt idx="62">
                  <c:v>3.39E-2</c:v>
                </c:pt>
                <c:pt idx="63">
                  <c:v>3.2629999999999999E-2</c:v>
                </c:pt>
                <c:pt idx="64">
                  <c:v>3.32E-2</c:v>
                </c:pt>
                <c:pt idx="65">
                  <c:v>3.5929999999999997E-2</c:v>
                </c:pt>
                <c:pt idx="66">
                  <c:v>4.65E-2</c:v>
                </c:pt>
                <c:pt idx="67">
                  <c:v>6.7860000000000004E-2</c:v>
                </c:pt>
                <c:pt idx="68">
                  <c:v>8.6599999999999996E-2</c:v>
                </c:pt>
                <c:pt idx="69">
                  <c:v>8.6599999999999996E-2</c:v>
                </c:pt>
                <c:pt idx="70">
                  <c:v>8.6599999999999996E-2</c:v>
                </c:pt>
                <c:pt idx="71">
                  <c:v>8.6599999999999996E-2</c:v>
                </c:pt>
                <c:pt idx="72">
                  <c:v>8.6599999999999996E-2</c:v>
                </c:pt>
                <c:pt idx="73">
                  <c:v>8.6599999999999996E-2</c:v>
                </c:pt>
                <c:pt idx="74">
                  <c:v>8.6599999999999996E-2</c:v>
                </c:pt>
                <c:pt idx="75">
                  <c:v>8.6599999999999996E-2</c:v>
                </c:pt>
                <c:pt idx="76">
                  <c:v>8.6599999999999996E-2</c:v>
                </c:pt>
                <c:pt idx="77">
                  <c:v>8.6599999999999996E-2</c:v>
                </c:pt>
                <c:pt idx="78">
                  <c:v>8.6599999999999996E-2</c:v>
                </c:pt>
                <c:pt idx="79">
                  <c:v>8.6599999999999996E-2</c:v>
                </c:pt>
                <c:pt idx="80">
                  <c:v>8.6599999999999996E-2</c:v>
                </c:pt>
                <c:pt idx="81">
                  <c:v>8.6599999999999996E-2</c:v>
                </c:pt>
                <c:pt idx="82">
                  <c:v>8.6599999999999996E-2</c:v>
                </c:pt>
                <c:pt idx="83">
                  <c:v>8.6599999999999996E-2</c:v>
                </c:pt>
                <c:pt idx="84">
                  <c:v>8.6599999999999996E-2</c:v>
                </c:pt>
                <c:pt idx="85">
                  <c:v>8.6599999999999996E-2</c:v>
                </c:pt>
                <c:pt idx="86">
                  <c:v>8.6599999999999996E-2</c:v>
                </c:pt>
                <c:pt idx="87">
                  <c:v>8.6599999999999996E-2</c:v>
                </c:pt>
                <c:pt idx="88">
                  <c:v>8.6599999999999996E-2</c:v>
                </c:pt>
                <c:pt idx="89">
                  <c:v>8.6599999999999996E-2</c:v>
                </c:pt>
                <c:pt idx="90">
                  <c:v>8.6599999999999996E-2</c:v>
                </c:pt>
                <c:pt idx="91">
                  <c:v>8.6599999999999996E-2</c:v>
                </c:pt>
                <c:pt idx="92">
                  <c:v>8.6599999999999996E-2</c:v>
                </c:pt>
                <c:pt idx="93">
                  <c:v>8.6599999999999996E-2</c:v>
                </c:pt>
                <c:pt idx="94">
                  <c:v>8.6599999999999996E-2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3FE4-445B-8EEB-D88489EA6296}"/>
            </c:ext>
          </c:extLst>
        </c:ser>
        <c:ser>
          <c:idx val="58"/>
          <c:order val="5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'99set'!$BH$10:$BH$104</c:f>
              <c:numCache>
                <c:formatCode>0.00000</c:formatCode>
                <c:ptCount val="95"/>
                <c:pt idx="0">
                  <c:v>0.10606</c:v>
                </c:pt>
                <c:pt idx="1">
                  <c:v>0.10606</c:v>
                </c:pt>
                <c:pt idx="2">
                  <c:v>0.10606</c:v>
                </c:pt>
                <c:pt idx="3">
                  <c:v>0.10606</c:v>
                </c:pt>
                <c:pt idx="4">
                  <c:v>0.10606</c:v>
                </c:pt>
                <c:pt idx="5">
                  <c:v>0.11035</c:v>
                </c:pt>
                <c:pt idx="6">
                  <c:v>0.11514000000000001</c:v>
                </c:pt>
                <c:pt idx="7">
                  <c:v>0.1202</c:v>
                </c:pt>
                <c:pt idx="8">
                  <c:v>0.12531</c:v>
                </c:pt>
                <c:pt idx="9">
                  <c:v>0.13033</c:v>
                </c:pt>
                <c:pt idx="10">
                  <c:v>0.13550000000000001</c:v>
                </c:pt>
                <c:pt idx="11">
                  <c:v>0.14113999999999999</c:v>
                </c:pt>
                <c:pt idx="12">
                  <c:v>0.14746999999999999</c:v>
                </c:pt>
                <c:pt idx="13">
                  <c:v>0.15464</c:v>
                </c:pt>
                <c:pt idx="14">
                  <c:v>0.16259000000000001</c:v>
                </c:pt>
                <c:pt idx="15">
                  <c:v>0.17127999999999999</c:v>
                </c:pt>
                <c:pt idx="16">
                  <c:v>0.18103</c:v>
                </c:pt>
                <c:pt idx="17">
                  <c:v>0.19242000000000001</c:v>
                </c:pt>
                <c:pt idx="18">
                  <c:v>0.20673</c:v>
                </c:pt>
                <c:pt idx="19">
                  <c:v>0.22517999999999999</c:v>
                </c:pt>
                <c:pt idx="20">
                  <c:v>0.24804000000000001</c:v>
                </c:pt>
                <c:pt idx="21">
                  <c:v>0.27485999999999999</c:v>
                </c:pt>
                <c:pt idx="22">
                  <c:v>0.30338999999999999</c:v>
                </c:pt>
                <c:pt idx="23">
                  <c:v>0.33116000000000001</c:v>
                </c:pt>
                <c:pt idx="24">
                  <c:v>0.35681000000000002</c:v>
                </c:pt>
                <c:pt idx="25">
                  <c:v>0.37901000000000001</c:v>
                </c:pt>
                <c:pt idx="26">
                  <c:v>0.39556999999999998</c:v>
                </c:pt>
                <c:pt idx="27">
                  <c:v>0.40467999999999998</c:v>
                </c:pt>
                <c:pt idx="28">
                  <c:v>0.40689999999999998</c:v>
                </c:pt>
                <c:pt idx="29">
                  <c:v>0.40340999999999999</c:v>
                </c:pt>
                <c:pt idx="30">
                  <c:v>0.39562000000000003</c:v>
                </c:pt>
                <c:pt idx="31">
                  <c:v>0.38483000000000001</c:v>
                </c:pt>
                <c:pt idx="32">
                  <c:v>0.37179000000000001</c:v>
                </c:pt>
                <c:pt idx="33">
                  <c:v>0.35707</c:v>
                </c:pt>
                <c:pt idx="34">
                  <c:v>0.34094000000000002</c:v>
                </c:pt>
                <c:pt idx="35">
                  <c:v>0.32357000000000002</c:v>
                </c:pt>
                <c:pt idx="36">
                  <c:v>0.3049</c:v>
                </c:pt>
                <c:pt idx="37">
                  <c:v>0.28488000000000002</c:v>
                </c:pt>
                <c:pt idx="38">
                  <c:v>0.26379999999999998</c:v>
                </c:pt>
                <c:pt idx="39">
                  <c:v>0.24215</c:v>
                </c:pt>
                <c:pt idx="40">
                  <c:v>0.22076999999999999</c:v>
                </c:pt>
                <c:pt idx="41">
                  <c:v>0.20033000000000001</c:v>
                </c:pt>
                <c:pt idx="42">
                  <c:v>0.18040999999999999</c:v>
                </c:pt>
                <c:pt idx="43">
                  <c:v>0.16051000000000001</c:v>
                </c:pt>
                <c:pt idx="44">
                  <c:v>0.14091000000000001</c:v>
                </c:pt>
                <c:pt idx="45">
                  <c:v>0.12209</c:v>
                </c:pt>
                <c:pt idx="46">
                  <c:v>0.10463</c:v>
                </c:pt>
                <c:pt idx="47">
                  <c:v>8.9139999999999997E-2</c:v>
                </c:pt>
                <c:pt idx="48">
                  <c:v>7.639E-2</c:v>
                </c:pt>
                <c:pt idx="49">
                  <c:v>6.6960000000000006E-2</c:v>
                </c:pt>
                <c:pt idx="50">
                  <c:v>6.0479999999999999E-2</c:v>
                </c:pt>
                <c:pt idx="51">
                  <c:v>5.6320000000000002E-2</c:v>
                </c:pt>
                <c:pt idx="52">
                  <c:v>5.3850000000000002E-2</c:v>
                </c:pt>
                <c:pt idx="53">
                  <c:v>5.246E-2</c:v>
                </c:pt>
                <c:pt idx="54">
                  <c:v>5.1700000000000003E-2</c:v>
                </c:pt>
                <c:pt idx="55">
                  <c:v>5.1220000000000002E-2</c:v>
                </c:pt>
                <c:pt idx="56">
                  <c:v>5.0939999999999999E-2</c:v>
                </c:pt>
                <c:pt idx="57">
                  <c:v>5.0889999999999998E-2</c:v>
                </c:pt>
                <c:pt idx="58">
                  <c:v>5.1389999999999998E-2</c:v>
                </c:pt>
                <c:pt idx="59">
                  <c:v>5.2760000000000001E-2</c:v>
                </c:pt>
                <c:pt idx="60">
                  <c:v>5.4989999999999997E-2</c:v>
                </c:pt>
                <c:pt idx="61">
                  <c:v>5.8020000000000002E-2</c:v>
                </c:pt>
                <c:pt idx="62">
                  <c:v>6.1710000000000001E-2</c:v>
                </c:pt>
                <c:pt idx="63">
                  <c:v>6.5890000000000004E-2</c:v>
                </c:pt>
                <c:pt idx="64">
                  <c:v>7.0199999999999999E-2</c:v>
                </c:pt>
                <c:pt idx="65">
                  <c:v>7.4289999999999995E-2</c:v>
                </c:pt>
                <c:pt idx="66">
                  <c:v>7.8060000000000004E-2</c:v>
                </c:pt>
                <c:pt idx="67">
                  <c:v>8.1409999999999996E-2</c:v>
                </c:pt>
                <c:pt idx="68">
                  <c:v>8.3960000000000007E-2</c:v>
                </c:pt>
                <c:pt idx="69">
                  <c:v>8.5339999999999999E-2</c:v>
                </c:pt>
                <c:pt idx="70">
                  <c:v>8.5540000000000005E-2</c:v>
                </c:pt>
                <c:pt idx="71">
                  <c:v>8.4760000000000002E-2</c:v>
                </c:pt>
                <c:pt idx="72">
                  <c:v>8.362E-2</c:v>
                </c:pt>
                <c:pt idx="73">
                  <c:v>8.2849999999999993E-2</c:v>
                </c:pt>
                <c:pt idx="74">
                  <c:v>8.3169999999999994E-2</c:v>
                </c:pt>
                <c:pt idx="75">
                  <c:v>8.2019999999999996E-2</c:v>
                </c:pt>
                <c:pt idx="76">
                  <c:v>8.1470000000000001E-2</c:v>
                </c:pt>
                <c:pt idx="77">
                  <c:v>8.0920000000000006E-2</c:v>
                </c:pt>
                <c:pt idx="78">
                  <c:v>8.0369999999999997E-2</c:v>
                </c:pt>
                <c:pt idx="79">
                  <c:v>7.9829999999999998E-2</c:v>
                </c:pt>
                <c:pt idx="80">
                  <c:v>7.9289999999999999E-2</c:v>
                </c:pt>
                <c:pt idx="81">
                  <c:v>7.8759999999999997E-2</c:v>
                </c:pt>
                <c:pt idx="82">
                  <c:v>7.8219999999999998E-2</c:v>
                </c:pt>
                <c:pt idx="83">
                  <c:v>7.7689999999999995E-2</c:v>
                </c:pt>
                <c:pt idx="84">
                  <c:v>7.7170000000000002E-2</c:v>
                </c:pt>
                <c:pt idx="85">
                  <c:v>7.7170000000000002E-2</c:v>
                </c:pt>
                <c:pt idx="86">
                  <c:v>7.7170000000000002E-2</c:v>
                </c:pt>
                <c:pt idx="87">
                  <c:v>7.7170000000000002E-2</c:v>
                </c:pt>
                <c:pt idx="88">
                  <c:v>7.7170000000000002E-2</c:v>
                </c:pt>
                <c:pt idx="89">
                  <c:v>7.7170000000000002E-2</c:v>
                </c:pt>
                <c:pt idx="90">
                  <c:v>7.7170000000000002E-2</c:v>
                </c:pt>
                <c:pt idx="91">
                  <c:v>7.7170000000000002E-2</c:v>
                </c:pt>
                <c:pt idx="92">
                  <c:v>7.7170000000000002E-2</c:v>
                </c:pt>
                <c:pt idx="93">
                  <c:v>7.7170000000000002E-2</c:v>
                </c:pt>
                <c:pt idx="94">
                  <c:v>7.7170000000000002E-2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3FE4-445B-8EEB-D88489EA6296}"/>
            </c:ext>
          </c:extLst>
        </c:ser>
        <c:ser>
          <c:idx val="59"/>
          <c:order val="5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'99set'!$BI$10:$BI$104</c:f>
              <c:numCache>
                <c:formatCode>0.00000</c:formatCode>
                <c:ptCount val="95"/>
                <c:pt idx="0">
                  <c:v>0.4345</c:v>
                </c:pt>
                <c:pt idx="1">
                  <c:v>0.4345</c:v>
                </c:pt>
                <c:pt idx="2">
                  <c:v>0.4345</c:v>
                </c:pt>
                <c:pt idx="3">
                  <c:v>0.4345</c:v>
                </c:pt>
                <c:pt idx="4">
                  <c:v>0.4345</c:v>
                </c:pt>
                <c:pt idx="5">
                  <c:v>0.4345</c:v>
                </c:pt>
                <c:pt idx="6">
                  <c:v>0.4345</c:v>
                </c:pt>
                <c:pt idx="7">
                  <c:v>0.4345</c:v>
                </c:pt>
                <c:pt idx="8">
                  <c:v>0.4345</c:v>
                </c:pt>
                <c:pt idx="9">
                  <c:v>0.51356999999999997</c:v>
                </c:pt>
                <c:pt idx="10">
                  <c:v>0.60419999999999996</c:v>
                </c:pt>
                <c:pt idx="11">
                  <c:v>0.65037999999999996</c:v>
                </c:pt>
                <c:pt idx="12">
                  <c:v>0.66449999999999998</c:v>
                </c:pt>
                <c:pt idx="13">
                  <c:v>0.67117000000000004</c:v>
                </c:pt>
                <c:pt idx="14">
                  <c:v>0.67559999999999998</c:v>
                </c:pt>
                <c:pt idx="15">
                  <c:v>0.67830000000000001</c:v>
                </c:pt>
                <c:pt idx="16">
                  <c:v>0.68049999999999999</c:v>
                </c:pt>
                <c:pt idx="17">
                  <c:v>0.68332000000000004</c:v>
                </c:pt>
                <c:pt idx="18">
                  <c:v>0.68689999999999996</c:v>
                </c:pt>
                <c:pt idx="19">
                  <c:v>0.69118999999999997</c:v>
                </c:pt>
                <c:pt idx="20">
                  <c:v>0.69650000000000001</c:v>
                </c:pt>
                <c:pt idx="21">
                  <c:v>0.70331999999999995</c:v>
                </c:pt>
                <c:pt idx="22">
                  <c:v>0.71260000000000001</c:v>
                </c:pt>
                <c:pt idx="23">
                  <c:v>0.72513000000000005</c:v>
                </c:pt>
                <c:pt idx="24">
                  <c:v>0.74050000000000005</c:v>
                </c:pt>
                <c:pt idx="25">
                  <c:v>0.75795999999999997</c:v>
                </c:pt>
                <c:pt idx="26">
                  <c:v>0.77649999999999997</c:v>
                </c:pt>
                <c:pt idx="27">
                  <c:v>0.79473000000000005</c:v>
                </c:pt>
                <c:pt idx="28">
                  <c:v>0.81</c:v>
                </c:pt>
                <c:pt idx="29">
                  <c:v>0.81989999999999996</c:v>
                </c:pt>
                <c:pt idx="30">
                  <c:v>0.82440000000000002</c:v>
                </c:pt>
                <c:pt idx="31">
                  <c:v>0.82406999999999997</c:v>
                </c:pt>
                <c:pt idx="32">
                  <c:v>0.8196</c:v>
                </c:pt>
                <c:pt idx="33">
                  <c:v>0.81159999999999999</c:v>
                </c:pt>
                <c:pt idx="34">
                  <c:v>0.80030000000000001</c:v>
                </c:pt>
                <c:pt idx="35">
                  <c:v>0.78591</c:v>
                </c:pt>
                <c:pt idx="36">
                  <c:v>0.76890000000000003</c:v>
                </c:pt>
                <c:pt idx="37">
                  <c:v>0.74963000000000002</c:v>
                </c:pt>
                <c:pt idx="38">
                  <c:v>0.72789999999999999</c:v>
                </c:pt>
                <c:pt idx="39">
                  <c:v>0.70379999999999998</c:v>
                </c:pt>
                <c:pt idx="40">
                  <c:v>0.67930000000000001</c:v>
                </c:pt>
                <c:pt idx="41">
                  <c:v>0.65656999999999999</c:v>
                </c:pt>
                <c:pt idx="42">
                  <c:v>0.63660000000000005</c:v>
                </c:pt>
                <c:pt idx="43">
                  <c:v>0.61990000000000001</c:v>
                </c:pt>
                <c:pt idx="44">
                  <c:v>0.60609999999999997</c:v>
                </c:pt>
                <c:pt idx="45">
                  <c:v>0.59450999999999998</c:v>
                </c:pt>
                <c:pt idx="46">
                  <c:v>0.58409999999999995</c:v>
                </c:pt>
                <c:pt idx="47">
                  <c:v>0.57394000000000001</c:v>
                </c:pt>
                <c:pt idx="48">
                  <c:v>0.56399999999999995</c:v>
                </c:pt>
                <c:pt idx="49">
                  <c:v>0.55461000000000005</c:v>
                </c:pt>
                <c:pt idx="50">
                  <c:v>0.54679999999999995</c:v>
                </c:pt>
                <c:pt idx="51">
                  <c:v>0.54139999999999999</c:v>
                </c:pt>
                <c:pt idx="52">
                  <c:v>0.53769999999999996</c:v>
                </c:pt>
                <c:pt idx="53">
                  <c:v>0.53473000000000004</c:v>
                </c:pt>
                <c:pt idx="54">
                  <c:v>0.53190000000000004</c:v>
                </c:pt>
                <c:pt idx="55">
                  <c:v>0.52907999999999999</c:v>
                </c:pt>
                <c:pt idx="56">
                  <c:v>0.52749999999999997</c:v>
                </c:pt>
                <c:pt idx="57">
                  <c:v>0.52839999999999998</c:v>
                </c:pt>
                <c:pt idx="58">
                  <c:v>0.53159999999999996</c:v>
                </c:pt>
                <c:pt idx="59">
                  <c:v>0.53598999999999997</c:v>
                </c:pt>
                <c:pt idx="60">
                  <c:v>0.53820000000000001</c:v>
                </c:pt>
                <c:pt idx="61">
                  <c:v>0.53583000000000003</c:v>
                </c:pt>
                <c:pt idx="62">
                  <c:v>0.53259999999999996</c:v>
                </c:pt>
                <c:pt idx="63">
                  <c:v>0.53259999999999996</c:v>
                </c:pt>
                <c:pt idx="64">
                  <c:v>0.5353</c:v>
                </c:pt>
                <c:pt idx="65">
                  <c:v>0.53839000000000004</c:v>
                </c:pt>
                <c:pt idx="66">
                  <c:v>0.53720000000000001</c:v>
                </c:pt>
                <c:pt idx="67">
                  <c:v>0.52891999999999995</c:v>
                </c:pt>
                <c:pt idx="68">
                  <c:v>0.52049999999999996</c:v>
                </c:pt>
                <c:pt idx="69">
                  <c:v>0.52049999999999996</c:v>
                </c:pt>
                <c:pt idx="70">
                  <c:v>0.52049999999999996</c:v>
                </c:pt>
                <c:pt idx="71">
                  <c:v>0.52049999999999996</c:v>
                </c:pt>
                <c:pt idx="72">
                  <c:v>0.52049999999999996</c:v>
                </c:pt>
                <c:pt idx="73">
                  <c:v>0.52049999999999996</c:v>
                </c:pt>
                <c:pt idx="74">
                  <c:v>0.52049999999999996</c:v>
                </c:pt>
                <c:pt idx="75">
                  <c:v>0.52049999999999996</c:v>
                </c:pt>
                <c:pt idx="76">
                  <c:v>0.52049999999999996</c:v>
                </c:pt>
                <c:pt idx="77">
                  <c:v>0.52049999999999996</c:v>
                </c:pt>
                <c:pt idx="78">
                  <c:v>0.52049999999999996</c:v>
                </c:pt>
                <c:pt idx="79">
                  <c:v>0.52049999999999996</c:v>
                </c:pt>
                <c:pt idx="80">
                  <c:v>0.52049999999999996</c:v>
                </c:pt>
                <c:pt idx="81">
                  <c:v>0.52049999999999996</c:v>
                </c:pt>
                <c:pt idx="82">
                  <c:v>0.52049999999999996</c:v>
                </c:pt>
                <c:pt idx="83">
                  <c:v>0.52049999999999996</c:v>
                </c:pt>
                <c:pt idx="84">
                  <c:v>0.52049999999999996</c:v>
                </c:pt>
                <c:pt idx="85">
                  <c:v>0.52049999999999996</c:v>
                </c:pt>
                <c:pt idx="86">
                  <c:v>0.52049999999999996</c:v>
                </c:pt>
                <c:pt idx="87">
                  <c:v>0.52049999999999996</c:v>
                </c:pt>
                <c:pt idx="88">
                  <c:v>0.52049999999999996</c:v>
                </c:pt>
                <c:pt idx="89">
                  <c:v>0.52049999999999996</c:v>
                </c:pt>
                <c:pt idx="90">
                  <c:v>0.52049999999999996</c:v>
                </c:pt>
                <c:pt idx="91">
                  <c:v>0.52049999999999996</c:v>
                </c:pt>
                <c:pt idx="92">
                  <c:v>0.52049999999999996</c:v>
                </c:pt>
                <c:pt idx="93">
                  <c:v>0.52049999999999996</c:v>
                </c:pt>
                <c:pt idx="94">
                  <c:v>0.52049999999999996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A-3FE4-445B-8EEB-D88489EA6296}"/>
            </c:ext>
          </c:extLst>
        </c:ser>
        <c:ser>
          <c:idx val="60"/>
          <c:order val="5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'99set'!$BJ$10:$BJ$104</c:f>
              <c:numCache>
                <c:formatCode>0.00000</c:formatCode>
                <c:ptCount val="95"/>
                <c:pt idx="0">
                  <c:v>0.43709999999999999</c:v>
                </c:pt>
                <c:pt idx="1">
                  <c:v>0.43709999999999999</c:v>
                </c:pt>
                <c:pt idx="2">
                  <c:v>0.43709999999999999</c:v>
                </c:pt>
                <c:pt idx="3">
                  <c:v>0.43709999999999999</c:v>
                </c:pt>
                <c:pt idx="4">
                  <c:v>0.43709999999999999</c:v>
                </c:pt>
                <c:pt idx="5">
                  <c:v>0.47271999999999997</c:v>
                </c:pt>
                <c:pt idx="6">
                  <c:v>0.50312000000000001</c:v>
                </c:pt>
                <c:pt idx="7">
                  <c:v>0.53129000000000004</c:v>
                </c:pt>
                <c:pt idx="8">
                  <c:v>0.55735000000000001</c:v>
                </c:pt>
                <c:pt idx="9">
                  <c:v>0.58082999999999996</c:v>
                </c:pt>
                <c:pt idx="10">
                  <c:v>0.60182999999999998</c:v>
                </c:pt>
                <c:pt idx="11">
                  <c:v>0.62063000000000001</c:v>
                </c:pt>
                <c:pt idx="12">
                  <c:v>0.63776999999999995</c:v>
                </c:pt>
                <c:pt idx="13">
                  <c:v>0.65381</c:v>
                </c:pt>
                <c:pt idx="14">
                  <c:v>0.66908000000000001</c:v>
                </c:pt>
                <c:pt idx="15">
                  <c:v>0.68369999999999997</c:v>
                </c:pt>
                <c:pt idx="16">
                  <c:v>0.69721</c:v>
                </c:pt>
                <c:pt idx="17">
                  <c:v>0.70918000000000003</c:v>
                </c:pt>
                <c:pt idx="18">
                  <c:v>0.71972999999999998</c:v>
                </c:pt>
                <c:pt idx="19">
                  <c:v>0.72911999999999999</c:v>
                </c:pt>
                <c:pt idx="20">
                  <c:v>0.73751</c:v>
                </c:pt>
                <c:pt idx="21">
                  <c:v>0.745</c:v>
                </c:pt>
                <c:pt idx="22">
                  <c:v>0.75158999999999998</c:v>
                </c:pt>
                <c:pt idx="23">
                  <c:v>0.75729000000000002</c:v>
                </c:pt>
                <c:pt idx="24">
                  <c:v>0.76219999999999999</c:v>
                </c:pt>
                <c:pt idx="25">
                  <c:v>0.76636000000000004</c:v>
                </c:pt>
                <c:pt idx="26">
                  <c:v>0.76953000000000005</c:v>
                </c:pt>
                <c:pt idx="27">
                  <c:v>0.77144999999999997</c:v>
                </c:pt>
                <c:pt idx="28">
                  <c:v>0.77193000000000001</c:v>
                </c:pt>
                <c:pt idx="29">
                  <c:v>0.77081999999999995</c:v>
                </c:pt>
                <c:pt idx="30">
                  <c:v>0.76795999999999998</c:v>
                </c:pt>
                <c:pt idx="31">
                  <c:v>0.76324000000000003</c:v>
                </c:pt>
                <c:pt idx="32">
                  <c:v>0.75680000000000003</c:v>
                </c:pt>
                <c:pt idx="33">
                  <c:v>0.74895</c:v>
                </c:pt>
                <c:pt idx="34">
                  <c:v>0.74036000000000002</c:v>
                </c:pt>
                <c:pt idx="35">
                  <c:v>0.73158999999999996</c:v>
                </c:pt>
                <c:pt idx="36">
                  <c:v>0.72236999999999996</c:v>
                </c:pt>
                <c:pt idx="37">
                  <c:v>0.71240999999999999</c:v>
                </c:pt>
                <c:pt idx="38">
                  <c:v>0.70206000000000002</c:v>
                </c:pt>
                <c:pt idx="39">
                  <c:v>0.69189000000000001</c:v>
                </c:pt>
                <c:pt idx="40">
                  <c:v>0.68267999999999995</c:v>
                </c:pt>
                <c:pt idx="41">
                  <c:v>0.67515000000000003</c:v>
                </c:pt>
                <c:pt idx="42">
                  <c:v>0.66956000000000004</c:v>
                </c:pt>
                <c:pt idx="43">
                  <c:v>0.66588999999999998</c:v>
                </c:pt>
                <c:pt idx="44">
                  <c:v>0.66335999999999995</c:v>
                </c:pt>
                <c:pt idx="45">
                  <c:v>0.66107000000000005</c:v>
                </c:pt>
                <c:pt idx="46">
                  <c:v>0.65854000000000001</c:v>
                </c:pt>
                <c:pt idx="47">
                  <c:v>0.65552999999999995</c:v>
                </c:pt>
                <c:pt idx="48">
                  <c:v>0.65249000000000001</c:v>
                </c:pt>
                <c:pt idx="49">
                  <c:v>0.65002000000000004</c:v>
                </c:pt>
                <c:pt idx="50">
                  <c:v>0.64873999999999998</c:v>
                </c:pt>
                <c:pt idx="51">
                  <c:v>0.64903</c:v>
                </c:pt>
                <c:pt idx="52">
                  <c:v>0.65032000000000001</c:v>
                </c:pt>
                <c:pt idx="53">
                  <c:v>0.65198999999999996</c:v>
                </c:pt>
                <c:pt idx="54">
                  <c:v>0.65429999999999999</c:v>
                </c:pt>
                <c:pt idx="55">
                  <c:v>0.65764</c:v>
                </c:pt>
                <c:pt idx="56">
                  <c:v>0.66202000000000005</c:v>
                </c:pt>
                <c:pt idx="57">
                  <c:v>0.66737999999999997</c:v>
                </c:pt>
                <c:pt idx="58">
                  <c:v>0.67371999999999999</c:v>
                </c:pt>
                <c:pt idx="59">
                  <c:v>0.68089999999999995</c:v>
                </c:pt>
                <c:pt idx="60">
                  <c:v>0.68803000000000003</c:v>
                </c:pt>
                <c:pt idx="61">
                  <c:v>0.69418999999999997</c:v>
                </c:pt>
                <c:pt idx="62">
                  <c:v>0.69911000000000001</c:v>
                </c:pt>
                <c:pt idx="63">
                  <c:v>0.70279999999999998</c:v>
                </c:pt>
                <c:pt idx="64">
                  <c:v>0.70579000000000003</c:v>
                </c:pt>
                <c:pt idx="65">
                  <c:v>0.70842000000000005</c:v>
                </c:pt>
                <c:pt idx="66">
                  <c:v>0.70991000000000004</c:v>
                </c:pt>
                <c:pt idx="67">
                  <c:v>0.70960000000000001</c:v>
                </c:pt>
                <c:pt idx="68">
                  <c:v>0.70852999999999999</c:v>
                </c:pt>
                <c:pt idx="69">
                  <c:v>0.70806999999999998</c:v>
                </c:pt>
                <c:pt idx="70">
                  <c:v>0.70918000000000003</c:v>
                </c:pt>
                <c:pt idx="71">
                  <c:v>0.71260999999999997</c:v>
                </c:pt>
                <c:pt idx="72">
                  <c:v>0.71858999999999995</c:v>
                </c:pt>
                <c:pt idx="73">
                  <c:v>0.72709999999999997</c:v>
                </c:pt>
                <c:pt idx="74">
                  <c:v>0.73765999999999998</c:v>
                </c:pt>
                <c:pt idx="75">
                  <c:v>0.75043000000000004</c:v>
                </c:pt>
                <c:pt idx="76">
                  <c:v>0.76849999999999996</c:v>
                </c:pt>
                <c:pt idx="77">
                  <c:v>0.79264999999999997</c:v>
                </c:pt>
                <c:pt idx="78">
                  <c:v>0.81152999999999997</c:v>
                </c:pt>
                <c:pt idx="79">
                  <c:v>0.81520999999999999</c:v>
                </c:pt>
                <c:pt idx="80">
                  <c:v>0.81152999999999997</c:v>
                </c:pt>
                <c:pt idx="81">
                  <c:v>0.81030000000000002</c:v>
                </c:pt>
                <c:pt idx="82">
                  <c:v>0.81152999999999997</c:v>
                </c:pt>
                <c:pt idx="83">
                  <c:v>0.81276000000000004</c:v>
                </c:pt>
                <c:pt idx="84">
                  <c:v>0.81152999999999997</c:v>
                </c:pt>
                <c:pt idx="85">
                  <c:v>0.81152999999999997</c:v>
                </c:pt>
                <c:pt idx="86">
                  <c:v>0.81152999999999997</c:v>
                </c:pt>
                <c:pt idx="87">
                  <c:v>0.81152999999999997</c:v>
                </c:pt>
                <c:pt idx="88">
                  <c:v>0.81152999999999997</c:v>
                </c:pt>
                <c:pt idx="89">
                  <c:v>0.81152999999999997</c:v>
                </c:pt>
                <c:pt idx="90">
                  <c:v>0.81152999999999997</c:v>
                </c:pt>
                <c:pt idx="91">
                  <c:v>0.81152999999999997</c:v>
                </c:pt>
                <c:pt idx="92">
                  <c:v>0.81152999999999997</c:v>
                </c:pt>
                <c:pt idx="93">
                  <c:v>0.81152999999999997</c:v>
                </c:pt>
                <c:pt idx="94">
                  <c:v>0.81152999999999997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3FE4-445B-8EEB-D88489EA6296}"/>
            </c:ext>
          </c:extLst>
        </c:ser>
        <c:ser>
          <c:idx val="61"/>
          <c:order val="6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'99set'!$BK$10:$BK$104</c:f>
              <c:numCache>
                <c:formatCode>0.00000</c:formatCode>
                <c:ptCount val="95"/>
                <c:pt idx="0">
                  <c:v>0.28872999999999999</c:v>
                </c:pt>
                <c:pt idx="1">
                  <c:v>0.28872999999999999</c:v>
                </c:pt>
                <c:pt idx="2">
                  <c:v>0.28872999999999999</c:v>
                </c:pt>
                <c:pt idx="3">
                  <c:v>0.28872999999999999</c:v>
                </c:pt>
                <c:pt idx="4">
                  <c:v>0.28872999999999999</c:v>
                </c:pt>
                <c:pt idx="5">
                  <c:v>0.30830999999999997</c:v>
                </c:pt>
                <c:pt idx="6">
                  <c:v>0.3286</c:v>
                </c:pt>
                <c:pt idx="7">
                  <c:v>0.34955000000000003</c:v>
                </c:pt>
                <c:pt idx="8">
                  <c:v>0.36976999999999999</c:v>
                </c:pt>
                <c:pt idx="9">
                  <c:v>0.39383000000000001</c:v>
                </c:pt>
                <c:pt idx="10">
                  <c:v>0.41610999999999998</c:v>
                </c:pt>
                <c:pt idx="11">
                  <c:v>0.43653999999999998</c:v>
                </c:pt>
                <c:pt idx="12">
                  <c:v>0.45501999999999998</c:v>
                </c:pt>
                <c:pt idx="13">
                  <c:v>0.47150999999999998</c:v>
                </c:pt>
                <c:pt idx="14">
                  <c:v>0.48618</c:v>
                </c:pt>
                <c:pt idx="15">
                  <c:v>0.49914999999999998</c:v>
                </c:pt>
                <c:pt idx="16">
                  <c:v>0.51039000000000001</c:v>
                </c:pt>
                <c:pt idx="17">
                  <c:v>0.51992000000000005</c:v>
                </c:pt>
                <c:pt idx="18">
                  <c:v>0.52805999999999997</c:v>
                </c:pt>
                <c:pt idx="19">
                  <c:v>0.53496999999999995</c:v>
                </c:pt>
                <c:pt idx="20">
                  <c:v>0.53986999999999996</c:v>
                </c:pt>
                <c:pt idx="21">
                  <c:v>0.54220000000000002</c:v>
                </c:pt>
                <c:pt idx="22">
                  <c:v>0.54344000000000003</c:v>
                </c:pt>
                <c:pt idx="23">
                  <c:v>0.54562999999999995</c:v>
                </c:pt>
                <c:pt idx="24">
                  <c:v>0.55127999999999999</c:v>
                </c:pt>
                <c:pt idx="25">
                  <c:v>0.56200000000000006</c:v>
                </c:pt>
                <c:pt idx="26">
                  <c:v>0.57548999999999995</c:v>
                </c:pt>
                <c:pt idx="27">
                  <c:v>0.58884000000000003</c:v>
                </c:pt>
                <c:pt idx="28">
                  <c:v>0.60070000000000001</c:v>
                </c:pt>
                <c:pt idx="29">
                  <c:v>0.61031000000000002</c:v>
                </c:pt>
                <c:pt idx="30">
                  <c:v>0.61756999999999995</c:v>
                </c:pt>
                <c:pt idx="31">
                  <c:v>0.62183999999999995</c:v>
                </c:pt>
                <c:pt idx="32">
                  <c:v>0.61965000000000003</c:v>
                </c:pt>
                <c:pt idx="33">
                  <c:v>0.60824</c:v>
                </c:pt>
                <c:pt idx="34">
                  <c:v>0.59038000000000002</c:v>
                </c:pt>
                <c:pt idx="35">
                  <c:v>0.56964999999999999</c:v>
                </c:pt>
                <c:pt idx="36">
                  <c:v>0.54730999999999996</c:v>
                </c:pt>
                <c:pt idx="37">
                  <c:v>0.52398999999999996</c:v>
                </c:pt>
                <c:pt idx="38">
                  <c:v>0.50026999999999999</c:v>
                </c:pt>
                <c:pt idx="39">
                  <c:v>0.47704000000000002</c:v>
                </c:pt>
                <c:pt idx="40">
                  <c:v>0.45660000000000001</c:v>
                </c:pt>
                <c:pt idx="41">
                  <c:v>0.44087999999999999</c:v>
                </c:pt>
                <c:pt idx="42">
                  <c:v>0.42892000000000002</c:v>
                </c:pt>
                <c:pt idx="43">
                  <c:v>0.41930000000000001</c:v>
                </c:pt>
                <c:pt idx="44">
                  <c:v>0.41175</c:v>
                </c:pt>
                <c:pt idx="45">
                  <c:v>0.40621000000000002</c:v>
                </c:pt>
                <c:pt idx="46">
                  <c:v>0.40242</c:v>
                </c:pt>
                <c:pt idx="47">
                  <c:v>0.39998</c:v>
                </c:pt>
                <c:pt idx="48">
                  <c:v>0.39815</c:v>
                </c:pt>
                <c:pt idx="49">
                  <c:v>0.39634000000000003</c:v>
                </c:pt>
                <c:pt idx="50">
                  <c:v>0.39478000000000002</c:v>
                </c:pt>
                <c:pt idx="51">
                  <c:v>0.39387</c:v>
                </c:pt>
                <c:pt idx="52">
                  <c:v>0.39388000000000001</c:v>
                </c:pt>
                <c:pt idx="53">
                  <c:v>0.39495000000000002</c:v>
                </c:pt>
                <c:pt idx="54">
                  <c:v>0.39685999999999999</c:v>
                </c:pt>
                <c:pt idx="55">
                  <c:v>0.39943000000000001</c:v>
                </c:pt>
                <c:pt idx="56">
                  <c:v>0.40282000000000001</c:v>
                </c:pt>
                <c:pt idx="57">
                  <c:v>0.40710000000000002</c:v>
                </c:pt>
                <c:pt idx="58">
                  <c:v>0.41175</c:v>
                </c:pt>
                <c:pt idx="59">
                  <c:v>0.41604000000000002</c:v>
                </c:pt>
                <c:pt idx="60">
                  <c:v>0.41909000000000002</c:v>
                </c:pt>
                <c:pt idx="61">
                  <c:v>0.42027999999999999</c:v>
                </c:pt>
                <c:pt idx="62">
                  <c:v>0.42008000000000001</c:v>
                </c:pt>
                <c:pt idx="63">
                  <c:v>0.41916999999999999</c:v>
                </c:pt>
                <c:pt idx="64">
                  <c:v>0.4178</c:v>
                </c:pt>
                <c:pt idx="65">
                  <c:v>0.41607</c:v>
                </c:pt>
                <c:pt idx="66">
                  <c:v>0.41393000000000002</c:v>
                </c:pt>
                <c:pt idx="67">
                  <c:v>0.41127000000000002</c:v>
                </c:pt>
                <c:pt idx="68">
                  <c:v>0.40798000000000001</c:v>
                </c:pt>
                <c:pt idx="69">
                  <c:v>0.40561999999999998</c:v>
                </c:pt>
                <c:pt idx="70">
                  <c:v>0.40289000000000003</c:v>
                </c:pt>
                <c:pt idx="71">
                  <c:v>0.40017000000000003</c:v>
                </c:pt>
                <c:pt idx="72">
                  <c:v>0.39745999999999998</c:v>
                </c:pt>
                <c:pt idx="73">
                  <c:v>0.39474999999999999</c:v>
                </c:pt>
                <c:pt idx="74">
                  <c:v>0.39205000000000001</c:v>
                </c:pt>
                <c:pt idx="75">
                  <c:v>0.38935999999999998</c:v>
                </c:pt>
                <c:pt idx="76">
                  <c:v>0.38667000000000001</c:v>
                </c:pt>
                <c:pt idx="77">
                  <c:v>0.38399</c:v>
                </c:pt>
                <c:pt idx="78">
                  <c:v>0.38131999999999999</c:v>
                </c:pt>
                <c:pt idx="79">
                  <c:v>0.37864999999999999</c:v>
                </c:pt>
                <c:pt idx="80">
                  <c:v>0.37598999999999999</c:v>
                </c:pt>
                <c:pt idx="81">
                  <c:v>0.37334000000000001</c:v>
                </c:pt>
                <c:pt idx="82">
                  <c:v>0.37069999999999997</c:v>
                </c:pt>
                <c:pt idx="83">
                  <c:v>0.36806</c:v>
                </c:pt>
                <c:pt idx="84">
                  <c:v>0.36543999999999999</c:v>
                </c:pt>
                <c:pt idx="85">
                  <c:v>0.36543999999999999</c:v>
                </c:pt>
                <c:pt idx="86">
                  <c:v>0.36543999999999999</c:v>
                </c:pt>
                <c:pt idx="87">
                  <c:v>0.36543999999999999</c:v>
                </c:pt>
                <c:pt idx="88">
                  <c:v>0.36543999999999999</c:v>
                </c:pt>
                <c:pt idx="89">
                  <c:v>0.36543999999999999</c:v>
                </c:pt>
                <c:pt idx="90">
                  <c:v>0.36543999999999999</c:v>
                </c:pt>
                <c:pt idx="91">
                  <c:v>0.36543999999999999</c:v>
                </c:pt>
                <c:pt idx="92">
                  <c:v>0.36543999999999999</c:v>
                </c:pt>
                <c:pt idx="93">
                  <c:v>0.36543999999999999</c:v>
                </c:pt>
                <c:pt idx="94">
                  <c:v>0.36543999999999999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3FE4-445B-8EEB-D88489EA6296}"/>
            </c:ext>
          </c:extLst>
        </c:ser>
        <c:ser>
          <c:idx val="62"/>
          <c:order val="6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'99set'!$BL$10:$BL$104</c:f>
              <c:numCache>
                <c:formatCode>0.00000</c:formatCode>
                <c:ptCount val="95"/>
                <c:pt idx="0">
                  <c:v>0.17008999999999999</c:v>
                </c:pt>
                <c:pt idx="1">
                  <c:v>0.17008999999999999</c:v>
                </c:pt>
                <c:pt idx="2">
                  <c:v>0.17008999999999999</c:v>
                </c:pt>
                <c:pt idx="3">
                  <c:v>0.17008999999999999</c:v>
                </c:pt>
                <c:pt idx="4">
                  <c:v>0.17008999999999999</c:v>
                </c:pt>
                <c:pt idx="5">
                  <c:v>0.17929999999999999</c:v>
                </c:pt>
                <c:pt idx="6">
                  <c:v>0.18890000000000001</c:v>
                </c:pt>
                <c:pt idx="7">
                  <c:v>0.19888</c:v>
                </c:pt>
                <c:pt idx="8">
                  <c:v>0.20849000000000001</c:v>
                </c:pt>
                <c:pt idx="9">
                  <c:v>0.22042999999999999</c:v>
                </c:pt>
                <c:pt idx="10">
                  <c:v>0.23133000000000001</c:v>
                </c:pt>
                <c:pt idx="11">
                  <c:v>0.24199000000000001</c:v>
                </c:pt>
                <c:pt idx="12">
                  <c:v>0.25317000000000001</c:v>
                </c:pt>
                <c:pt idx="13">
                  <c:v>0.26551000000000002</c:v>
                </c:pt>
                <c:pt idx="14">
                  <c:v>0.27899000000000002</c:v>
                </c:pt>
                <c:pt idx="15">
                  <c:v>0.29357</c:v>
                </c:pt>
                <c:pt idx="16">
                  <c:v>0.30975999999999998</c:v>
                </c:pt>
                <c:pt idx="17">
                  <c:v>0.32795999999999997</c:v>
                </c:pt>
                <c:pt idx="18">
                  <c:v>0.34749000000000002</c:v>
                </c:pt>
                <c:pt idx="19">
                  <c:v>0.36732999999999999</c:v>
                </c:pt>
                <c:pt idx="20">
                  <c:v>0.38621</c:v>
                </c:pt>
                <c:pt idx="21">
                  <c:v>0.40281</c:v>
                </c:pt>
                <c:pt idx="22">
                  <c:v>0.41599999999999998</c:v>
                </c:pt>
                <c:pt idx="23">
                  <c:v>0.42492999999999997</c:v>
                </c:pt>
                <c:pt idx="24">
                  <c:v>0.4299</c:v>
                </c:pt>
                <c:pt idx="25">
                  <c:v>0.43128</c:v>
                </c:pt>
                <c:pt idx="26">
                  <c:v>0.4289</c:v>
                </c:pt>
                <c:pt idx="27">
                  <c:v>0.42262</c:v>
                </c:pt>
                <c:pt idx="28">
                  <c:v>0.41302</c:v>
                </c:pt>
                <c:pt idx="29">
                  <c:v>0.40100999999999998</c:v>
                </c:pt>
                <c:pt idx="30">
                  <c:v>0.38819999999999999</c:v>
                </c:pt>
                <c:pt idx="31">
                  <c:v>0.37623000000000001</c:v>
                </c:pt>
                <c:pt idx="32">
                  <c:v>0.36636000000000002</c:v>
                </c:pt>
                <c:pt idx="33">
                  <c:v>0.35908000000000001</c:v>
                </c:pt>
                <c:pt idx="34">
                  <c:v>0.35246</c:v>
                </c:pt>
                <c:pt idx="35">
                  <c:v>0.34450999999999998</c:v>
                </c:pt>
                <c:pt idx="36">
                  <c:v>0.33557999999999999</c:v>
                </c:pt>
                <c:pt idx="37">
                  <c:v>0.3266</c:v>
                </c:pt>
                <c:pt idx="38">
                  <c:v>0.31869999999999998</c:v>
                </c:pt>
                <c:pt idx="39">
                  <c:v>0.31302999999999997</c:v>
                </c:pt>
                <c:pt idx="40">
                  <c:v>0.31075999999999998</c:v>
                </c:pt>
                <c:pt idx="41">
                  <c:v>0.31237999999999999</c:v>
                </c:pt>
                <c:pt idx="42">
                  <c:v>0.31572</c:v>
                </c:pt>
                <c:pt idx="43">
                  <c:v>0.31824999999999998</c:v>
                </c:pt>
                <c:pt idx="44">
                  <c:v>0.31869999999999998</c:v>
                </c:pt>
                <c:pt idx="45">
                  <c:v>0.31651000000000001</c:v>
                </c:pt>
                <c:pt idx="46">
                  <c:v>0.31274000000000002</c:v>
                </c:pt>
                <c:pt idx="47">
                  <c:v>0.30880999999999997</c:v>
                </c:pt>
                <c:pt idx="48">
                  <c:v>0.30579000000000001</c:v>
                </c:pt>
                <c:pt idx="49">
                  <c:v>0.30448999999999998</c:v>
                </c:pt>
                <c:pt idx="50">
                  <c:v>0.30480000000000002</c:v>
                </c:pt>
                <c:pt idx="51">
                  <c:v>0.30626999999999999</c:v>
                </c:pt>
                <c:pt idx="52">
                  <c:v>0.30778</c:v>
                </c:pt>
                <c:pt idx="53">
                  <c:v>0.30842999999999998</c:v>
                </c:pt>
                <c:pt idx="54">
                  <c:v>0.30876999999999999</c:v>
                </c:pt>
                <c:pt idx="55">
                  <c:v>0.30964000000000003</c:v>
                </c:pt>
                <c:pt idx="56">
                  <c:v>0.31175000000000003</c:v>
                </c:pt>
                <c:pt idx="57">
                  <c:v>0.31579000000000002</c:v>
                </c:pt>
                <c:pt idx="58">
                  <c:v>0.32267000000000001</c:v>
                </c:pt>
                <c:pt idx="59">
                  <c:v>0.33329999999999999</c:v>
                </c:pt>
                <c:pt idx="60">
                  <c:v>0.34848000000000001</c:v>
                </c:pt>
                <c:pt idx="61">
                  <c:v>0.36892999999999998</c:v>
                </c:pt>
                <c:pt idx="62">
                  <c:v>0.39515</c:v>
                </c:pt>
                <c:pt idx="63">
                  <c:v>0.42758000000000002</c:v>
                </c:pt>
                <c:pt idx="64">
                  <c:v>0.46662999999999999</c:v>
                </c:pt>
                <c:pt idx="65">
                  <c:v>0.51215999999999995</c:v>
                </c:pt>
                <c:pt idx="66">
                  <c:v>0.56194</c:v>
                </c:pt>
                <c:pt idx="67">
                  <c:v>0.61321000000000003</c:v>
                </c:pt>
                <c:pt idx="68">
                  <c:v>0.66320999999999997</c:v>
                </c:pt>
                <c:pt idx="69">
                  <c:v>0.70794000000000001</c:v>
                </c:pt>
                <c:pt idx="70">
                  <c:v>0.74966999999999995</c:v>
                </c:pt>
                <c:pt idx="71">
                  <c:v>0.78722999999999999</c:v>
                </c:pt>
                <c:pt idx="72">
                  <c:v>0.82050000000000001</c:v>
                </c:pt>
                <c:pt idx="73">
                  <c:v>0.84955999999999998</c:v>
                </c:pt>
                <c:pt idx="74">
                  <c:v>0.87463000000000002</c:v>
                </c:pt>
                <c:pt idx="75">
                  <c:v>0.89603999999999995</c:v>
                </c:pt>
                <c:pt idx="76">
                  <c:v>0.91415000000000002</c:v>
                </c:pt>
                <c:pt idx="77">
                  <c:v>0.92935999999999996</c:v>
                </c:pt>
                <c:pt idx="78">
                  <c:v>0.94203999999999999</c:v>
                </c:pt>
                <c:pt idx="79">
                  <c:v>0.95255999999999996</c:v>
                </c:pt>
                <c:pt idx="80">
                  <c:v>0.96125000000000005</c:v>
                </c:pt>
                <c:pt idx="81">
                  <c:v>0.96840000000000004</c:v>
                </c:pt>
                <c:pt idx="82">
                  <c:v>0.97426999999999997</c:v>
                </c:pt>
                <c:pt idx="83">
                  <c:v>0.97907</c:v>
                </c:pt>
                <c:pt idx="84">
                  <c:v>0.98299000000000003</c:v>
                </c:pt>
                <c:pt idx="85">
                  <c:v>0.98299000000000003</c:v>
                </c:pt>
                <c:pt idx="86">
                  <c:v>0.98299000000000003</c:v>
                </c:pt>
                <c:pt idx="87">
                  <c:v>0.98299000000000003</c:v>
                </c:pt>
                <c:pt idx="88">
                  <c:v>0.98299000000000003</c:v>
                </c:pt>
                <c:pt idx="89">
                  <c:v>0.98299000000000003</c:v>
                </c:pt>
                <c:pt idx="90">
                  <c:v>0.98299000000000003</c:v>
                </c:pt>
                <c:pt idx="91">
                  <c:v>0.98299000000000003</c:v>
                </c:pt>
                <c:pt idx="92">
                  <c:v>0.98299000000000003</c:v>
                </c:pt>
                <c:pt idx="93">
                  <c:v>0.98299000000000003</c:v>
                </c:pt>
                <c:pt idx="94">
                  <c:v>0.98299000000000003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3FE4-445B-8EEB-D88489EA6296}"/>
            </c:ext>
          </c:extLst>
        </c:ser>
        <c:ser>
          <c:idx val="63"/>
          <c:order val="6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'99set'!$BM$10:$BM$104</c:f>
              <c:numCache>
                <c:formatCode>0.00000</c:formatCode>
                <c:ptCount val="95"/>
                <c:pt idx="0">
                  <c:v>2.3529999999999999E-2</c:v>
                </c:pt>
                <c:pt idx="1">
                  <c:v>2.3529999999999999E-2</c:v>
                </c:pt>
                <c:pt idx="2">
                  <c:v>2.3529999999999999E-2</c:v>
                </c:pt>
                <c:pt idx="3">
                  <c:v>2.3529999999999999E-2</c:v>
                </c:pt>
                <c:pt idx="4">
                  <c:v>2.3529999999999999E-2</c:v>
                </c:pt>
                <c:pt idx="5">
                  <c:v>2.7140000000000001E-2</c:v>
                </c:pt>
                <c:pt idx="6">
                  <c:v>3.1280000000000002E-2</c:v>
                </c:pt>
                <c:pt idx="7">
                  <c:v>3.6040000000000003E-2</c:v>
                </c:pt>
                <c:pt idx="8">
                  <c:v>3.9559999999999998E-2</c:v>
                </c:pt>
                <c:pt idx="9">
                  <c:v>4.8800000000000003E-2</c:v>
                </c:pt>
                <c:pt idx="10">
                  <c:v>5.5379999999999999E-2</c:v>
                </c:pt>
                <c:pt idx="11">
                  <c:v>5.9729999999999998E-2</c:v>
                </c:pt>
                <c:pt idx="12">
                  <c:v>6.2289999999999998E-2</c:v>
                </c:pt>
                <c:pt idx="13">
                  <c:v>6.3560000000000005E-2</c:v>
                </c:pt>
                <c:pt idx="14">
                  <c:v>6.429E-2</c:v>
                </c:pt>
                <c:pt idx="15">
                  <c:v>6.5189999999999998E-2</c:v>
                </c:pt>
                <c:pt idx="16">
                  <c:v>6.6500000000000004E-2</c:v>
                </c:pt>
                <c:pt idx="17">
                  <c:v>6.8349999999999994E-2</c:v>
                </c:pt>
                <c:pt idx="18">
                  <c:v>7.0800000000000002E-2</c:v>
                </c:pt>
                <c:pt idx="19">
                  <c:v>7.3929999999999996E-2</c:v>
                </c:pt>
                <c:pt idx="20">
                  <c:v>7.8009999999999996E-2</c:v>
                </c:pt>
                <c:pt idx="21">
                  <c:v>8.3180000000000004E-2</c:v>
                </c:pt>
                <c:pt idx="22">
                  <c:v>8.8830000000000006E-2</c:v>
                </c:pt>
                <c:pt idx="23">
                  <c:v>9.4270000000000007E-2</c:v>
                </c:pt>
                <c:pt idx="24">
                  <c:v>9.9140000000000006E-2</c:v>
                </c:pt>
                <c:pt idx="25">
                  <c:v>0.10306</c:v>
                </c:pt>
                <c:pt idx="26">
                  <c:v>0.10525</c:v>
                </c:pt>
                <c:pt idx="27">
                  <c:v>0.10508000000000001</c:v>
                </c:pt>
                <c:pt idx="28">
                  <c:v>0.10285</c:v>
                </c:pt>
                <c:pt idx="29">
                  <c:v>9.9080000000000001E-2</c:v>
                </c:pt>
                <c:pt idx="30">
                  <c:v>9.4140000000000001E-2</c:v>
                </c:pt>
                <c:pt idx="31">
                  <c:v>8.838E-2</c:v>
                </c:pt>
                <c:pt idx="32">
                  <c:v>8.2320000000000004E-2</c:v>
                </c:pt>
                <c:pt idx="33">
                  <c:v>7.6439999999999994E-2</c:v>
                </c:pt>
                <c:pt idx="34">
                  <c:v>7.0900000000000005E-2</c:v>
                </c:pt>
                <c:pt idx="35">
                  <c:v>6.5860000000000002E-2</c:v>
                </c:pt>
                <c:pt idx="36">
                  <c:v>6.1690000000000002E-2</c:v>
                </c:pt>
                <c:pt idx="37">
                  <c:v>5.8779999999999999E-2</c:v>
                </c:pt>
                <c:pt idx="38">
                  <c:v>5.7279999999999998E-2</c:v>
                </c:pt>
                <c:pt idx="39">
                  <c:v>5.7320000000000003E-2</c:v>
                </c:pt>
                <c:pt idx="40">
                  <c:v>5.8990000000000001E-2</c:v>
                </c:pt>
                <c:pt idx="41">
                  <c:v>6.2269999999999999E-2</c:v>
                </c:pt>
                <c:pt idx="42">
                  <c:v>6.6699999999999995E-2</c:v>
                </c:pt>
                <c:pt idx="43">
                  <c:v>7.1679999999999994E-2</c:v>
                </c:pt>
                <c:pt idx="44">
                  <c:v>7.6509999999999995E-2</c:v>
                </c:pt>
                <c:pt idx="45">
                  <c:v>8.0490000000000006E-2</c:v>
                </c:pt>
                <c:pt idx="46">
                  <c:v>8.3019999999999997E-2</c:v>
                </c:pt>
                <c:pt idx="47">
                  <c:v>8.3659999999999998E-2</c:v>
                </c:pt>
                <c:pt idx="48">
                  <c:v>8.2619999999999999E-2</c:v>
                </c:pt>
                <c:pt idx="49">
                  <c:v>8.0280000000000004E-2</c:v>
                </c:pt>
                <c:pt idx="50">
                  <c:v>7.7210000000000001E-2</c:v>
                </c:pt>
                <c:pt idx="51">
                  <c:v>7.3969999999999994E-2</c:v>
                </c:pt>
                <c:pt idx="52">
                  <c:v>7.0800000000000002E-2</c:v>
                </c:pt>
                <c:pt idx="53">
                  <c:v>6.7879999999999996E-2</c:v>
                </c:pt>
                <c:pt idx="54">
                  <c:v>6.5390000000000004E-2</c:v>
                </c:pt>
                <c:pt idx="55">
                  <c:v>6.3460000000000003E-2</c:v>
                </c:pt>
                <c:pt idx="56">
                  <c:v>6.1890000000000001E-2</c:v>
                </c:pt>
                <c:pt idx="57">
                  <c:v>6.055E-2</c:v>
                </c:pt>
                <c:pt idx="58">
                  <c:v>5.9790000000000003E-2</c:v>
                </c:pt>
                <c:pt idx="59">
                  <c:v>5.9950000000000003E-2</c:v>
                </c:pt>
                <c:pt idx="60">
                  <c:v>6.1089999999999998E-2</c:v>
                </c:pt>
                <c:pt idx="61">
                  <c:v>6.3119999999999996E-2</c:v>
                </c:pt>
                <c:pt idx="62">
                  <c:v>6.5890000000000004E-2</c:v>
                </c:pt>
                <c:pt idx="63">
                  <c:v>6.9360000000000005E-2</c:v>
                </c:pt>
                <c:pt idx="64">
                  <c:v>7.3810000000000001E-2</c:v>
                </c:pt>
                <c:pt idx="65">
                  <c:v>7.9460000000000003E-2</c:v>
                </c:pt>
                <c:pt idx="66">
                  <c:v>8.5919999999999996E-2</c:v>
                </c:pt>
                <c:pt idx="67">
                  <c:v>9.264E-2</c:v>
                </c:pt>
                <c:pt idx="68">
                  <c:v>9.9040000000000003E-2</c:v>
                </c:pt>
                <c:pt idx="69">
                  <c:v>0.10693999999999999</c:v>
                </c:pt>
                <c:pt idx="70">
                  <c:v>0.11491999999999999</c:v>
                </c:pt>
                <c:pt idx="71">
                  <c:v>0.12341000000000001</c:v>
                </c:pt>
                <c:pt idx="72">
                  <c:v>0.13244</c:v>
                </c:pt>
                <c:pt idx="73">
                  <c:v>0.14202000000000001</c:v>
                </c:pt>
                <c:pt idx="74">
                  <c:v>0.15215999999999999</c:v>
                </c:pt>
                <c:pt idx="75">
                  <c:v>0.16289999999999999</c:v>
                </c:pt>
                <c:pt idx="76">
                  <c:v>0.17424000000000001</c:v>
                </c:pt>
                <c:pt idx="77">
                  <c:v>0.18618999999999999</c:v>
                </c:pt>
                <c:pt idx="78">
                  <c:v>0.19875999999999999</c:v>
                </c:pt>
                <c:pt idx="79">
                  <c:v>0.21196999999999999</c:v>
                </c:pt>
                <c:pt idx="80">
                  <c:v>0.2258</c:v>
                </c:pt>
                <c:pt idx="81">
                  <c:v>0.24026</c:v>
                </c:pt>
                <c:pt idx="82">
                  <c:v>0.25534000000000001</c:v>
                </c:pt>
                <c:pt idx="83">
                  <c:v>0.27101999999999998</c:v>
                </c:pt>
                <c:pt idx="84">
                  <c:v>0.2873</c:v>
                </c:pt>
                <c:pt idx="85">
                  <c:v>0.2873</c:v>
                </c:pt>
                <c:pt idx="86">
                  <c:v>0.2873</c:v>
                </c:pt>
                <c:pt idx="87">
                  <c:v>0.2873</c:v>
                </c:pt>
                <c:pt idx="88">
                  <c:v>0.2873</c:v>
                </c:pt>
                <c:pt idx="89">
                  <c:v>0.2873</c:v>
                </c:pt>
                <c:pt idx="90">
                  <c:v>0.2873</c:v>
                </c:pt>
                <c:pt idx="91">
                  <c:v>0.2873</c:v>
                </c:pt>
                <c:pt idx="92">
                  <c:v>0.2873</c:v>
                </c:pt>
                <c:pt idx="93">
                  <c:v>0.2873</c:v>
                </c:pt>
                <c:pt idx="94">
                  <c:v>0.2873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E-3FE4-445B-8EEB-D88489EA6296}"/>
            </c:ext>
          </c:extLst>
        </c:ser>
        <c:ser>
          <c:idx val="64"/>
          <c:order val="6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'99set'!$BN$10:$BN$104</c:f>
              <c:numCache>
                <c:formatCode>0.00000</c:formatCode>
                <c:ptCount val="95"/>
                <c:pt idx="0">
                  <c:v>0.22325999999999999</c:v>
                </c:pt>
                <c:pt idx="1">
                  <c:v>0.22325999999999999</c:v>
                </c:pt>
                <c:pt idx="2">
                  <c:v>0.22325999999999999</c:v>
                </c:pt>
                <c:pt idx="3">
                  <c:v>0.22325999999999999</c:v>
                </c:pt>
                <c:pt idx="4">
                  <c:v>0.22325999999999999</c:v>
                </c:pt>
                <c:pt idx="5">
                  <c:v>0.22325999999999999</c:v>
                </c:pt>
                <c:pt idx="6">
                  <c:v>0.22325999999999999</c:v>
                </c:pt>
                <c:pt idx="7">
                  <c:v>0.22325999999999999</c:v>
                </c:pt>
                <c:pt idx="8">
                  <c:v>0.22325999999999999</c:v>
                </c:pt>
                <c:pt idx="9">
                  <c:v>0.23893</c:v>
                </c:pt>
                <c:pt idx="10">
                  <c:v>0.25742999999999999</c:v>
                </c:pt>
                <c:pt idx="11">
                  <c:v>0.26841999999999999</c:v>
                </c:pt>
                <c:pt idx="12">
                  <c:v>0.27548</c:v>
                </c:pt>
                <c:pt idx="13">
                  <c:v>0.28427000000000002</c:v>
                </c:pt>
                <c:pt idx="14">
                  <c:v>0.29487999999999998</c:v>
                </c:pt>
                <c:pt idx="15">
                  <c:v>0.30635000000000001</c:v>
                </c:pt>
                <c:pt idx="16">
                  <c:v>0.31906000000000001</c:v>
                </c:pt>
                <c:pt idx="17">
                  <c:v>0.33377000000000001</c:v>
                </c:pt>
                <c:pt idx="18">
                  <c:v>0.35149999999999998</c:v>
                </c:pt>
                <c:pt idx="19">
                  <c:v>0.37309999999999999</c:v>
                </c:pt>
                <c:pt idx="20">
                  <c:v>0.39842</c:v>
                </c:pt>
                <c:pt idx="21">
                  <c:v>0.42668</c:v>
                </c:pt>
                <c:pt idx="22">
                  <c:v>0.45565</c:v>
                </c:pt>
                <c:pt idx="23">
                  <c:v>0.48270999999999997</c:v>
                </c:pt>
                <c:pt idx="24">
                  <c:v>0.50514000000000003</c:v>
                </c:pt>
                <c:pt idx="25">
                  <c:v>0.52063999999999999</c:v>
                </c:pt>
                <c:pt idx="26">
                  <c:v>0.52858000000000005</c:v>
                </c:pt>
                <c:pt idx="27">
                  <c:v>0.52895000000000003</c:v>
                </c:pt>
                <c:pt idx="28">
                  <c:v>0.52249999999999996</c:v>
                </c:pt>
                <c:pt idx="29">
                  <c:v>0.51015999999999995</c:v>
                </c:pt>
                <c:pt idx="30">
                  <c:v>0.49295</c:v>
                </c:pt>
                <c:pt idx="31">
                  <c:v>0.47184999999999999</c:v>
                </c:pt>
                <c:pt idx="32">
                  <c:v>0.44761000000000001</c:v>
                </c:pt>
                <c:pt idx="33">
                  <c:v>0.42094999999999999</c:v>
                </c:pt>
                <c:pt idx="34">
                  <c:v>0.39280999999999999</c:v>
                </c:pt>
                <c:pt idx="35">
                  <c:v>0.36403000000000002</c:v>
                </c:pt>
                <c:pt idx="36">
                  <c:v>0.33487</c:v>
                </c:pt>
                <c:pt idx="37">
                  <c:v>0.30556</c:v>
                </c:pt>
                <c:pt idx="38">
                  <c:v>0.27667000000000003</c:v>
                </c:pt>
                <c:pt idx="39">
                  <c:v>0.24893000000000001</c:v>
                </c:pt>
                <c:pt idx="40">
                  <c:v>0.22344</c:v>
                </c:pt>
                <c:pt idx="41">
                  <c:v>0.20115</c:v>
                </c:pt>
                <c:pt idx="42">
                  <c:v>0.18221000000000001</c:v>
                </c:pt>
                <c:pt idx="43">
                  <c:v>0.16642999999999999</c:v>
                </c:pt>
                <c:pt idx="44">
                  <c:v>0.15310000000000001</c:v>
                </c:pt>
                <c:pt idx="45">
                  <c:v>0.14144999999999999</c:v>
                </c:pt>
                <c:pt idx="46">
                  <c:v>0.13099</c:v>
                </c:pt>
                <c:pt idx="47">
                  <c:v>0.12146999999999999</c:v>
                </c:pt>
                <c:pt idx="48">
                  <c:v>0.1132</c:v>
                </c:pt>
                <c:pt idx="49">
                  <c:v>0.10657</c:v>
                </c:pt>
                <c:pt idx="50">
                  <c:v>0.10170999999999999</c:v>
                </c:pt>
                <c:pt idx="51">
                  <c:v>9.8589999999999997E-2</c:v>
                </c:pt>
                <c:pt idx="52">
                  <c:v>9.6750000000000003E-2</c:v>
                </c:pt>
                <c:pt idx="53">
                  <c:v>9.5670000000000005E-2</c:v>
                </c:pt>
                <c:pt idx="54">
                  <c:v>9.5000000000000001E-2</c:v>
                </c:pt>
                <c:pt idx="55">
                  <c:v>9.4539999999999999E-2</c:v>
                </c:pt>
                <c:pt idx="56">
                  <c:v>9.4399999999999998E-2</c:v>
                </c:pt>
                <c:pt idx="57">
                  <c:v>9.4750000000000001E-2</c:v>
                </c:pt>
                <c:pt idx="58">
                  <c:v>9.5769999999999994E-2</c:v>
                </c:pt>
                <c:pt idx="59">
                  <c:v>9.7540000000000002E-2</c:v>
                </c:pt>
                <c:pt idx="60">
                  <c:v>9.9809999999999996E-2</c:v>
                </c:pt>
                <c:pt idx="61">
                  <c:v>0.10231</c:v>
                </c:pt>
                <c:pt idx="62">
                  <c:v>0.10484</c:v>
                </c:pt>
                <c:pt idx="63">
                  <c:v>0.10725</c:v>
                </c:pt>
                <c:pt idx="64">
                  <c:v>0.10932</c:v>
                </c:pt>
                <c:pt idx="65">
                  <c:v>0.11083999999999999</c:v>
                </c:pt>
                <c:pt idx="66">
                  <c:v>0.11158999999999999</c:v>
                </c:pt>
                <c:pt idx="67">
                  <c:v>0.11151</c:v>
                </c:pt>
                <c:pt idx="68">
                  <c:v>0.11115</c:v>
                </c:pt>
                <c:pt idx="69">
                  <c:v>0.11115</c:v>
                </c:pt>
                <c:pt idx="70">
                  <c:v>0.11115</c:v>
                </c:pt>
                <c:pt idx="71">
                  <c:v>0.11115</c:v>
                </c:pt>
                <c:pt idx="72">
                  <c:v>0.11115</c:v>
                </c:pt>
                <c:pt idx="73">
                  <c:v>0.11115</c:v>
                </c:pt>
                <c:pt idx="74">
                  <c:v>0.11115</c:v>
                </c:pt>
                <c:pt idx="75">
                  <c:v>0.11115</c:v>
                </c:pt>
                <c:pt idx="76">
                  <c:v>0.11115</c:v>
                </c:pt>
                <c:pt idx="77">
                  <c:v>0.11115</c:v>
                </c:pt>
                <c:pt idx="78">
                  <c:v>0.11115</c:v>
                </c:pt>
                <c:pt idx="79">
                  <c:v>0.11115</c:v>
                </c:pt>
                <c:pt idx="80">
                  <c:v>0.11115</c:v>
                </c:pt>
                <c:pt idx="81">
                  <c:v>0.11115</c:v>
                </c:pt>
                <c:pt idx="82">
                  <c:v>0.11115</c:v>
                </c:pt>
                <c:pt idx="83">
                  <c:v>0.11115</c:v>
                </c:pt>
                <c:pt idx="84">
                  <c:v>0.11115</c:v>
                </c:pt>
                <c:pt idx="85">
                  <c:v>0.11115</c:v>
                </c:pt>
                <c:pt idx="86">
                  <c:v>0.11115</c:v>
                </c:pt>
                <c:pt idx="87">
                  <c:v>0.11115</c:v>
                </c:pt>
                <c:pt idx="88">
                  <c:v>0.11115</c:v>
                </c:pt>
                <c:pt idx="89">
                  <c:v>0.11115</c:v>
                </c:pt>
                <c:pt idx="90">
                  <c:v>0.11115</c:v>
                </c:pt>
                <c:pt idx="91">
                  <c:v>0.11115</c:v>
                </c:pt>
                <c:pt idx="92">
                  <c:v>0.11115</c:v>
                </c:pt>
                <c:pt idx="93">
                  <c:v>0.11115</c:v>
                </c:pt>
                <c:pt idx="94">
                  <c:v>0.11115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F-3FE4-445B-8EEB-D88489EA6296}"/>
            </c:ext>
          </c:extLst>
        </c:ser>
        <c:ser>
          <c:idx val="65"/>
          <c:order val="6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'99set'!$BO$10:$BO$104</c:f>
              <c:numCache>
                <c:formatCode>0.00000</c:formatCode>
                <c:ptCount val="95"/>
                <c:pt idx="0">
                  <c:v>6.0200000000000002E-3</c:v>
                </c:pt>
                <c:pt idx="1">
                  <c:v>6.0200000000000002E-3</c:v>
                </c:pt>
                <c:pt idx="2">
                  <c:v>6.0200000000000002E-3</c:v>
                </c:pt>
                <c:pt idx="3">
                  <c:v>6.0200000000000002E-3</c:v>
                </c:pt>
                <c:pt idx="4">
                  <c:v>6.0200000000000002E-3</c:v>
                </c:pt>
                <c:pt idx="5">
                  <c:v>9.0500000000000008E-3</c:v>
                </c:pt>
                <c:pt idx="6">
                  <c:v>1.3599999999999999E-2</c:v>
                </c:pt>
                <c:pt idx="7">
                  <c:v>2.0389999999999998E-2</c:v>
                </c:pt>
                <c:pt idx="8">
                  <c:v>2.9489999999999999E-2</c:v>
                </c:pt>
                <c:pt idx="9">
                  <c:v>4.6089999999999999E-2</c:v>
                </c:pt>
                <c:pt idx="10">
                  <c:v>6.8110000000000004E-2</c:v>
                </c:pt>
                <c:pt idx="11">
                  <c:v>9.0240000000000001E-2</c:v>
                </c:pt>
                <c:pt idx="12">
                  <c:v>0.10713</c:v>
                </c:pt>
                <c:pt idx="13">
                  <c:v>0.11533</c:v>
                </c:pt>
                <c:pt idx="14">
                  <c:v>0.11874999999999999</c:v>
                </c:pt>
                <c:pt idx="15">
                  <c:v>0.12207</c:v>
                </c:pt>
                <c:pt idx="16">
                  <c:v>0.1255</c:v>
                </c:pt>
                <c:pt idx="17">
                  <c:v>0.1285</c:v>
                </c:pt>
                <c:pt idx="18">
                  <c:v>0.13206000000000001</c:v>
                </c:pt>
                <c:pt idx="19">
                  <c:v>0.13733000000000001</c:v>
                </c:pt>
                <c:pt idx="20">
                  <c:v>0.14466999999999999</c:v>
                </c:pt>
                <c:pt idx="21">
                  <c:v>0.15417</c:v>
                </c:pt>
                <c:pt idx="22">
                  <c:v>0.16581000000000001</c:v>
                </c:pt>
                <c:pt idx="23">
                  <c:v>0.17902000000000001</c:v>
                </c:pt>
                <c:pt idx="24">
                  <c:v>0.19103000000000001</c:v>
                </c:pt>
                <c:pt idx="25">
                  <c:v>0.1988</c:v>
                </c:pt>
                <c:pt idx="26">
                  <c:v>0.20027</c:v>
                </c:pt>
                <c:pt idx="27">
                  <c:v>0.19442999999999999</c:v>
                </c:pt>
                <c:pt idx="28">
                  <c:v>0.18339</c:v>
                </c:pt>
                <c:pt idx="29">
                  <c:v>0.16986999999999999</c:v>
                </c:pt>
                <c:pt idx="30">
                  <c:v>0.15589</c:v>
                </c:pt>
                <c:pt idx="31">
                  <c:v>0.14313000000000001</c:v>
                </c:pt>
                <c:pt idx="32">
                  <c:v>0.13275000000000001</c:v>
                </c:pt>
                <c:pt idx="33">
                  <c:v>0.12537000000000001</c:v>
                </c:pt>
                <c:pt idx="34">
                  <c:v>0.12003999999999999</c:v>
                </c:pt>
                <c:pt idx="35">
                  <c:v>0.11552</c:v>
                </c:pt>
                <c:pt idx="36">
                  <c:v>0.11101</c:v>
                </c:pt>
                <c:pt idx="37">
                  <c:v>0.10609</c:v>
                </c:pt>
                <c:pt idx="38">
                  <c:v>0.10156999999999999</c:v>
                </c:pt>
                <c:pt idx="39">
                  <c:v>9.8570000000000005E-2</c:v>
                </c:pt>
                <c:pt idx="40">
                  <c:v>9.8100000000000007E-2</c:v>
                </c:pt>
                <c:pt idx="41">
                  <c:v>0.10068000000000001</c:v>
                </c:pt>
                <c:pt idx="42">
                  <c:v>0.10475</c:v>
                </c:pt>
                <c:pt idx="43">
                  <c:v>0.10827000000000001</c:v>
                </c:pt>
                <c:pt idx="44">
                  <c:v>0.10922</c:v>
                </c:pt>
                <c:pt idx="45">
                  <c:v>0.10612000000000001</c:v>
                </c:pt>
                <c:pt idx="46">
                  <c:v>9.9489999999999995E-2</c:v>
                </c:pt>
                <c:pt idx="47">
                  <c:v>9.0469999999999995E-2</c:v>
                </c:pt>
                <c:pt idx="48">
                  <c:v>8.072E-2</c:v>
                </c:pt>
                <c:pt idx="49">
                  <c:v>7.1690000000000004E-2</c:v>
                </c:pt>
                <c:pt idx="50">
                  <c:v>6.3549999999999995E-2</c:v>
                </c:pt>
                <c:pt idx="51">
                  <c:v>5.6160000000000002E-2</c:v>
                </c:pt>
                <c:pt idx="52">
                  <c:v>4.9349999999999998E-2</c:v>
                </c:pt>
                <c:pt idx="53">
                  <c:v>4.2950000000000002E-2</c:v>
                </c:pt>
                <c:pt idx="54">
                  <c:v>3.6940000000000001E-2</c:v>
                </c:pt>
                <c:pt idx="55">
                  <c:v>3.1329999999999997E-2</c:v>
                </c:pt>
                <c:pt idx="56">
                  <c:v>2.631E-2</c:v>
                </c:pt>
                <c:pt idx="57">
                  <c:v>2.2069999999999999E-2</c:v>
                </c:pt>
                <c:pt idx="58">
                  <c:v>1.8669999999999999E-2</c:v>
                </c:pt>
                <c:pt idx="59">
                  <c:v>1.6129999999999999E-2</c:v>
                </c:pt>
                <c:pt idx="60">
                  <c:v>1.43E-2</c:v>
                </c:pt>
                <c:pt idx="61">
                  <c:v>1.3010000000000001E-2</c:v>
                </c:pt>
                <c:pt idx="62">
                  <c:v>1.2109999999999999E-2</c:v>
                </c:pt>
                <c:pt idx="63">
                  <c:v>1.15E-2</c:v>
                </c:pt>
                <c:pt idx="64">
                  <c:v>1.112E-2</c:v>
                </c:pt>
                <c:pt idx="65">
                  <c:v>1.094E-2</c:v>
                </c:pt>
                <c:pt idx="66">
                  <c:v>1.0919999999999999E-2</c:v>
                </c:pt>
                <c:pt idx="67">
                  <c:v>1.106E-2</c:v>
                </c:pt>
                <c:pt idx="68">
                  <c:v>1.132E-2</c:v>
                </c:pt>
                <c:pt idx="69">
                  <c:v>1.1390000000000001E-2</c:v>
                </c:pt>
                <c:pt idx="70">
                  <c:v>1.154E-2</c:v>
                </c:pt>
                <c:pt idx="71">
                  <c:v>1.1690000000000001E-2</c:v>
                </c:pt>
                <c:pt idx="72">
                  <c:v>1.184E-2</c:v>
                </c:pt>
                <c:pt idx="73">
                  <c:v>1.2E-2</c:v>
                </c:pt>
                <c:pt idx="74">
                  <c:v>1.2160000000000001E-2</c:v>
                </c:pt>
                <c:pt idx="75">
                  <c:v>1.2319999999999999E-2</c:v>
                </c:pt>
                <c:pt idx="76">
                  <c:v>1.248E-2</c:v>
                </c:pt>
                <c:pt idx="77">
                  <c:v>1.265E-2</c:v>
                </c:pt>
                <c:pt idx="78">
                  <c:v>1.281E-2</c:v>
                </c:pt>
                <c:pt idx="79">
                  <c:v>1.298E-2</c:v>
                </c:pt>
                <c:pt idx="80">
                  <c:v>1.315E-2</c:v>
                </c:pt>
                <c:pt idx="81">
                  <c:v>1.332E-2</c:v>
                </c:pt>
                <c:pt idx="82">
                  <c:v>1.35E-2</c:v>
                </c:pt>
                <c:pt idx="83">
                  <c:v>1.3679999999999999E-2</c:v>
                </c:pt>
                <c:pt idx="84">
                  <c:v>1.3860000000000001E-2</c:v>
                </c:pt>
                <c:pt idx="85">
                  <c:v>1.3860000000000001E-2</c:v>
                </c:pt>
                <c:pt idx="86">
                  <c:v>1.3860000000000001E-2</c:v>
                </c:pt>
                <c:pt idx="87">
                  <c:v>1.3860000000000001E-2</c:v>
                </c:pt>
                <c:pt idx="88">
                  <c:v>1.3860000000000001E-2</c:v>
                </c:pt>
                <c:pt idx="89">
                  <c:v>1.3860000000000001E-2</c:v>
                </c:pt>
                <c:pt idx="90">
                  <c:v>1.3860000000000001E-2</c:v>
                </c:pt>
                <c:pt idx="91">
                  <c:v>1.3860000000000001E-2</c:v>
                </c:pt>
                <c:pt idx="92">
                  <c:v>1.3860000000000001E-2</c:v>
                </c:pt>
                <c:pt idx="93">
                  <c:v>1.3860000000000001E-2</c:v>
                </c:pt>
                <c:pt idx="94">
                  <c:v>1.3860000000000001E-2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0-3FE4-445B-8EEB-D88489EA6296}"/>
            </c:ext>
          </c:extLst>
        </c:ser>
        <c:ser>
          <c:idx val="66"/>
          <c:order val="6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'99set'!$BP$10:$BP$104</c:f>
              <c:numCache>
                <c:formatCode>0.00000</c:formatCode>
                <c:ptCount val="95"/>
                <c:pt idx="0">
                  <c:v>0.1249</c:v>
                </c:pt>
                <c:pt idx="1">
                  <c:v>0.1249</c:v>
                </c:pt>
                <c:pt idx="2">
                  <c:v>0.1249</c:v>
                </c:pt>
                <c:pt idx="3">
                  <c:v>0.1249</c:v>
                </c:pt>
                <c:pt idx="4">
                  <c:v>0.1249</c:v>
                </c:pt>
                <c:pt idx="5">
                  <c:v>0.1249</c:v>
                </c:pt>
                <c:pt idx="6">
                  <c:v>0.1249</c:v>
                </c:pt>
                <c:pt idx="7">
                  <c:v>0.1249</c:v>
                </c:pt>
                <c:pt idx="8">
                  <c:v>0.1249</c:v>
                </c:pt>
                <c:pt idx="9">
                  <c:v>0.13231000000000001</c:v>
                </c:pt>
                <c:pt idx="10">
                  <c:v>0.14130000000000001</c:v>
                </c:pt>
                <c:pt idx="11">
                  <c:v>0.14721000000000001</c:v>
                </c:pt>
                <c:pt idx="12">
                  <c:v>0.15179999999999999</c:v>
                </c:pt>
                <c:pt idx="13">
                  <c:v>0.1578</c:v>
                </c:pt>
                <c:pt idx="14">
                  <c:v>0.16550000000000001</c:v>
                </c:pt>
                <c:pt idx="15">
                  <c:v>0.17466999999999999</c:v>
                </c:pt>
                <c:pt idx="16">
                  <c:v>0.18540000000000001</c:v>
                </c:pt>
                <c:pt idx="17">
                  <c:v>0.19797999999999999</c:v>
                </c:pt>
                <c:pt idx="18">
                  <c:v>0.21299999999999999</c:v>
                </c:pt>
                <c:pt idx="19">
                  <c:v>0.23107</c:v>
                </c:pt>
                <c:pt idx="20">
                  <c:v>0.25240000000000001</c:v>
                </c:pt>
                <c:pt idx="21">
                  <c:v>0.27660000000000001</c:v>
                </c:pt>
                <c:pt idx="22">
                  <c:v>0.30109999999999998</c:v>
                </c:pt>
                <c:pt idx="23">
                  <c:v>0.32295000000000001</c:v>
                </c:pt>
                <c:pt idx="24">
                  <c:v>0.3397</c:v>
                </c:pt>
                <c:pt idx="25">
                  <c:v>0.34943000000000002</c:v>
                </c:pt>
                <c:pt idx="26">
                  <c:v>0.35189999999999999</c:v>
                </c:pt>
                <c:pt idx="27">
                  <c:v>0.34737000000000001</c:v>
                </c:pt>
                <c:pt idx="28">
                  <c:v>0.33650000000000002</c:v>
                </c:pt>
                <c:pt idx="29">
                  <c:v>0.32016</c:v>
                </c:pt>
                <c:pt idx="30">
                  <c:v>0.29980000000000001</c:v>
                </c:pt>
                <c:pt idx="31">
                  <c:v>0.27692</c:v>
                </c:pt>
                <c:pt idx="32">
                  <c:v>0.25269999999999998</c:v>
                </c:pt>
                <c:pt idx="33">
                  <c:v>0.22819999999999999</c:v>
                </c:pt>
                <c:pt idx="34">
                  <c:v>0.20430000000000001</c:v>
                </c:pt>
                <c:pt idx="35">
                  <c:v>0.18174000000000001</c:v>
                </c:pt>
                <c:pt idx="36">
                  <c:v>0.16089999999999999</c:v>
                </c:pt>
                <c:pt idx="37">
                  <c:v>0.14202000000000001</c:v>
                </c:pt>
                <c:pt idx="38">
                  <c:v>0.12520000000000001</c:v>
                </c:pt>
                <c:pt idx="39">
                  <c:v>0.11054</c:v>
                </c:pt>
                <c:pt idx="40">
                  <c:v>9.8299999999999998E-2</c:v>
                </c:pt>
                <c:pt idx="41">
                  <c:v>8.8660000000000003E-2</c:v>
                </c:pt>
                <c:pt idx="42">
                  <c:v>8.1299999999999997E-2</c:v>
                </c:pt>
                <c:pt idx="43">
                  <c:v>7.5749999999999998E-2</c:v>
                </c:pt>
                <c:pt idx="44">
                  <c:v>7.1499999999999994E-2</c:v>
                </c:pt>
                <c:pt idx="45">
                  <c:v>6.8110000000000004E-2</c:v>
                </c:pt>
                <c:pt idx="46">
                  <c:v>6.5299999999999997E-2</c:v>
                </c:pt>
                <c:pt idx="47">
                  <c:v>6.2899999999999998E-2</c:v>
                </c:pt>
                <c:pt idx="48">
                  <c:v>6.0900000000000003E-2</c:v>
                </c:pt>
                <c:pt idx="49">
                  <c:v>5.9330000000000001E-2</c:v>
                </c:pt>
                <c:pt idx="50">
                  <c:v>5.8200000000000002E-2</c:v>
                </c:pt>
                <c:pt idx="51">
                  <c:v>5.7509999999999999E-2</c:v>
                </c:pt>
                <c:pt idx="52">
                  <c:v>5.7099999999999998E-2</c:v>
                </c:pt>
                <c:pt idx="53">
                  <c:v>5.6800000000000003E-2</c:v>
                </c:pt>
                <c:pt idx="54">
                  <c:v>5.6599999999999998E-2</c:v>
                </c:pt>
                <c:pt idx="55">
                  <c:v>5.6500000000000002E-2</c:v>
                </c:pt>
                <c:pt idx="56">
                  <c:v>5.6500000000000002E-2</c:v>
                </c:pt>
                <c:pt idx="57">
                  <c:v>5.6579999999999998E-2</c:v>
                </c:pt>
                <c:pt idx="58">
                  <c:v>5.6800000000000003E-2</c:v>
                </c:pt>
                <c:pt idx="59">
                  <c:v>5.7200000000000001E-2</c:v>
                </c:pt>
                <c:pt idx="60">
                  <c:v>5.7700000000000001E-2</c:v>
                </c:pt>
                <c:pt idx="61">
                  <c:v>5.8220000000000001E-2</c:v>
                </c:pt>
                <c:pt idx="62">
                  <c:v>5.8700000000000002E-2</c:v>
                </c:pt>
                <c:pt idx="63">
                  <c:v>5.91E-2</c:v>
                </c:pt>
                <c:pt idx="64">
                  <c:v>5.9400000000000001E-2</c:v>
                </c:pt>
                <c:pt idx="65">
                  <c:v>5.9610000000000003E-2</c:v>
                </c:pt>
                <c:pt idx="66">
                  <c:v>5.9700000000000003E-2</c:v>
                </c:pt>
                <c:pt idx="67">
                  <c:v>5.9670000000000001E-2</c:v>
                </c:pt>
                <c:pt idx="68">
                  <c:v>5.96E-2</c:v>
                </c:pt>
                <c:pt idx="69">
                  <c:v>5.96E-2</c:v>
                </c:pt>
                <c:pt idx="70">
                  <c:v>5.96E-2</c:v>
                </c:pt>
                <c:pt idx="71">
                  <c:v>5.96E-2</c:v>
                </c:pt>
                <c:pt idx="72">
                  <c:v>5.96E-2</c:v>
                </c:pt>
                <c:pt idx="73">
                  <c:v>5.96E-2</c:v>
                </c:pt>
                <c:pt idx="74">
                  <c:v>5.96E-2</c:v>
                </c:pt>
                <c:pt idx="75">
                  <c:v>5.96E-2</c:v>
                </c:pt>
                <c:pt idx="76">
                  <c:v>5.96E-2</c:v>
                </c:pt>
                <c:pt idx="77">
                  <c:v>5.96E-2</c:v>
                </c:pt>
                <c:pt idx="78">
                  <c:v>5.96E-2</c:v>
                </c:pt>
                <c:pt idx="79">
                  <c:v>5.96E-2</c:v>
                </c:pt>
                <c:pt idx="80">
                  <c:v>5.96E-2</c:v>
                </c:pt>
                <c:pt idx="81">
                  <c:v>5.96E-2</c:v>
                </c:pt>
                <c:pt idx="82">
                  <c:v>5.96E-2</c:v>
                </c:pt>
                <c:pt idx="83">
                  <c:v>5.96E-2</c:v>
                </c:pt>
                <c:pt idx="84">
                  <c:v>5.96E-2</c:v>
                </c:pt>
                <c:pt idx="85">
                  <c:v>5.96E-2</c:v>
                </c:pt>
                <c:pt idx="86">
                  <c:v>5.96E-2</c:v>
                </c:pt>
                <c:pt idx="87">
                  <c:v>5.96E-2</c:v>
                </c:pt>
                <c:pt idx="88">
                  <c:v>5.96E-2</c:v>
                </c:pt>
                <c:pt idx="89">
                  <c:v>5.96E-2</c:v>
                </c:pt>
                <c:pt idx="90">
                  <c:v>5.96E-2</c:v>
                </c:pt>
                <c:pt idx="91">
                  <c:v>5.96E-2</c:v>
                </c:pt>
                <c:pt idx="92">
                  <c:v>5.96E-2</c:v>
                </c:pt>
                <c:pt idx="93">
                  <c:v>5.96E-2</c:v>
                </c:pt>
                <c:pt idx="94">
                  <c:v>5.96E-2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1-3FE4-445B-8EEB-D88489EA6296}"/>
            </c:ext>
          </c:extLst>
        </c:ser>
        <c:ser>
          <c:idx val="67"/>
          <c:order val="6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'99set'!$BQ$10:$BQ$104</c:f>
              <c:numCache>
                <c:formatCode>0.00000</c:formatCode>
                <c:ptCount val="95"/>
                <c:pt idx="0">
                  <c:v>0.14699999999999999</c:v>
                </c:pt>
                <c:pt idx="1">
                  <c:v>0.14699999999999999</c:v>
                </c:pt>
                <c:pt idx="2">
                  <c:v>0.14699999999999999</c:v>
                </c:pt>
                <c:pt idx="3">
                  <c:v>0.14699999999999999</c:v>
                </c:pt>
                <c:pt idx="4">
                  <c:v>0.14699999999999999</c:v>
                </c:pt>
                <c:pt idx="5">
                  <c:v>0.14699999999999999</c:v>
                </c:pt>
                <c:pt idx="6">
                  <c:v>0.14699999999999999</c:v>
                </c:pt>
                <c:pt idx="7">
                  <c:v>0.14699999999999999</c:v>
                </c:pt>
                <c:pt idx="8">
                  <c:v>0.14699999999999999</c:v>
                </c:pt>
                <c:pt idx="9">
                  <c:v>0.15842000000000001</c:v>
                </c:pt>
                <c:pt idx="10">
                  <c:v>0.17219999999999999</c:v>
                </c:pt>
                <c:pt idx="11">
                  <c:v>0.18101999999999999</c:v>
                </c:pt>
                <c:pt idx="12">
                  <c:v>0.18720000000000001</c:v>
                </c:pt>
                <c:pt idx="13">
                  <c:v>0.19467000000000001</c:v>
                </c:pt>
                <c:pt idx="14">
                  <c:v>0.20419999999999999</c:v>
                </c:pt>
                <c:pt idx="15">
                  <c:v>0.21573000000000001</c:v>
                </c:pt>
                <c:pt idx="16">
                  <c:v>0.2291</c:v>
                </c:pt>
                <c:pt idx="17">
                  <c:v>0.24431</c:v>
                </c:pt>
                <c:pt idx="18">
                  <c:v>0.26200000000000001</c:v>
                </c:pt>
                <c:pt idx="19">
                  <c:v>0.28281000000000001</c:v>
                </c:pt>
                <c:pt idx="20">
                  <c:v>0.30680000000000002</c:v>
                </c:pt>
                <c:pt idx="21">
                  <c:v>0.33329999999999999</c:v>
                </c:pt>
                <c:pt idx="22">
                  <c:v>0.3594</c:v>
                </c:pt>
                <c:pt idx="23">
                  <c:v>0.38191999999999998</c:v>
                </c:pt>
                <c:pt idx="24">
                  <c:v>0.39889999999999998</c:v>
                </c:pt>
                <c:pt idx="25">
                  <c:v>0.40877999999999998</c:v>
                </c:pt>
                <c:pt idx="26">
                  <c:v>0.4103</c:v>
                </c:pt>
                <c:pt idx="27">
                  <c:v>0.40282000000000001</c:v>
                </c:pt>
                <c:pt idx="28">
                  <c:v>0.38790000000000002</c:v>
                </c:pt>
                <c:pt idx="29">
                  <c:v>0.36753999999999998</c:v>
                </c:pt>
                <c:pt idx="30">
                  <c:v>0.34329999999999999</c:v>
                </c:pt>
                <c:pt idx="31">
                  <c:v>0.31661</c:v>
                </c:pt>
                <c:pt idx="32">
                  <c:v>0.28889999999999999</c:v>
                </c:pt>
                <c:pt idx="33">
                  <c:v>0.26145000000000002</c:v>
                </c:pt>
                <c:pt idx="34">
                  <c:v>0.2351</c:v>
                </c:pt>
                <c:pt idx="35">
                  <c:v>0.21043000000000001</c:v>
                </c:pt>
                <c:pt idx="36">
                  <c:v>0.18759999999999999</c:v>
                </c:pt>
                <c:pt idx="37">
                  <c:v>0.16666</c:v>
                </c:pt>
                <c:pt idx="38">
                  <c:v>0.1477</c:v>
                </c:pt>
                <c:pt idx="39">
                  <c:v>0.13089999999999999</c:v>
                </c:pt>
                <c:pt idx="40">
                  <c:v>0.1167</c:v>
                </c:pt>
                <c:pt idx="41">
                  <c:v>0.10545</c:v>
                </c:pt>
                <c:pt idx="42">
                  <c:v>9.6799999999999997E-2</c:v>
                </c:pt>
                <c:pt idx="43">
                  <c:v>9.0209999999999999E-2</c:v>
                </c:pt>
                <c:pt idx="44">
                  <c:v>8.5099999999999995E-2</c:v>
                </c:pt>
                <c:pt idx="45">
                  <c:v>8.0949999999999994E-2</c:v>
                </c:pt>
                <c:pt idx="46">
                  <c:v>7.7399999999999997E-2</c:v>
                </c:pt>
                <c:pt idx="47">
                  <c:v>7.4209999999999998E-2</c:v>
                </c:pt>
                <c:pt idx="48">
                  <c:v>7.1400000000000005E-2</c:v>
                </c:pt>
                <c:pt idx="49">
                  <c:v>6.9070000000000006E-2</c:v>
                </c:pt>
                <c:pt idx="50">
                  <c:v>6.7400000000000002E-2</c:v>
                </c:pt>
                <c:pt idx="51">
                  <c:v>6.6500000000000004E-2</c:v>
                </c:pt>
                <c:pt idx="52">
                  <c:v>6.6100000000000006E-2</c:v>
                </c:pt>
                <c:pt idx="53">
                  <c:v>6.5890000000000004E-2</c:v>
                </c:pt>
                <c:pt idx="54">
                  <c:v>6.5699999999999995E-2</c:v>
                </c:pt>
                <c:pt idx="55">
                  <c:v>6.547E-2</c:v>
                </c:pt>
                <c:pt idx="56">
                  <c:v>6.54E-2</c:v>
                </c:pt>
                <c:pt idx="57">
                  <c:v>6.5680000000000002E-2</c:v>
                </c:pt>
                <c:pt idx="58">
                  <c:v>6.6299999999999998E-2</c:v>
                </c:pt>
                <c:pt idx="59">
                  <c:v>6.7140000000000005E-2</c:v>
                </c:pt>
                <c:pt idx="60">
                  <c:v>6.8000000000000005E-2</c:v>
                </c:pt>
                <c:pt idx="61">
                  <c:v>6.8690000000000001E-2</c:v>
                </c:pt>
                <c:pt idx="62">
                  <c:v>6.9099999999999995E-2</c:v>
                </c:pt>
                <c:pt idx="63">
                  <c:v>6.9199999999999998E-2</c:v>
                </c:pt>
                <c:pt idx="64">
                  <c:v>6.9099999999999995E-2</c:v>
                </c:pt>
                <c:pt idx="65">
                  <c:v>6.8909999999999999E-2</c:v>
                </c:pt>
                <c:pt idx="66">
                  <c:v>6.8599999999999994E-2</c:v>
                </c:pt>
                <c:pt idx="67">
                  <c:v>6.8150000000000002E-2</c:v>
                </c:pt>
                <c:pt idx="68">
                  <c:v>6.7799999999999999E-2</c:v>
                </c:pt>
                <c:pt idx="69">
                  <c:v>6.7799999999999999E-2</c:v>
                </c:pt>
                <c:pt idx="70">
                  <c:v>6.7799999999999999E-2</c:v>
                </c:pt>
                <c:pt idx="71">
                  <c:v>6.7799999999999999E-2</c:v>
                </c:pt>
                <c:pt idx="72">
                  <c:v>6.7799999999999999E-2</c:v>
                </c:pt>
                <c:pt idx="73">
                  <c:v>6.7799999999999999E-2</c:v>
                </c:pt>
                <c:pt idx="74">
                  <c:v>6.7799999999999999E-2</c:v>
                </c:pt>
                <c:pt idx="75">
                  <c:v>6.7799999999999999E-2</c:v>
                </c:pt>
                <c:pt idx="76">
                  <c:v>6.7799999999999999E-2</c:v>
                </c:pt>
                <c:pt idx="77">
                  <c:v>6.7799999999999999E-2</c:v>
                </c:pt>
                <c:pt idx="78">
                  <c:v>6.7799999999999999E-2</c:v>
                </c:pt>
                <c:pt idx="79">
                  <c:v>6.7799999999999999E-2</c:v>
                </c:pt>
                <c:pt idx="80">
                  <c:v>6.7799999999999999E-2</c:v>
                </c:pt>
                <c:pt idx="81">
                  <c:v>6.7799999999999999E-2</c:v>
                </c:pt>
                <c:pt idx="82">
                  <c:v>6.7799999999999999E-2</c:v>
                </c:pt>
                <c:pt idx="83">
                  <c:v>6.7799999999999999E-2</c:v>
                </c:pt>
                <c:pt idx="84">
                  <c:v>6.7799999999999999E-2</c:v>
                </c:pt>
                <c:pt idx="85">
                  <c:v>6.7799999999999999E-2</c:v>
                </c:pt>
                <c:pt idx="86">
                  <c:v>6.7799999999999999E-2</c:v>
                </c:pt>
                <c:pt idx="87">
                  <c:v>6.7799999999999999E-2</c:v>
                </c:pt>
                <c:pt idx="88">
                  <c:v>6.7799999999999999E-2</c:v>
                </c:pt>
                <c:pt idx="89">
                  <c:v>6.7799999999999999E-2</c:v>
                </c:pt>
                <c:pt idx="90">
                  <c:v>6.7799999999999999E-2</c:v>
                </c:pt>
                <c:pt idx="91">
                  <c:v>6.7799999999999999E-2</c:v>
                </c:pt>
                <c:pt idx="92">
                  <c:v>6.7799999999999999E-2</c:v>
                </c:pt>
                <c:pt idx="93">
                  <c:v>6.7799999999999999E-2</c:v>
                </c:pt>
                <c:pt idx="94">
                  <c:v>6.7799999999999999E-2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2-3FE4-445B-8EEB-D88489EA6296}"/>
            </c:ext>
          </c:extLst>
        </c:ser>
        <c:ser>
          <c:idx val="68"/>
          <c:order val="6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'99set'!$BR$10:$BR$104</c:f>
              <c:numCache>
                <c:formatCode>0.00000</c:formatCode>
                <c:ptCount val="95"/>
                <c:pt idx="0">
                  <c:v>0.22148999999999999</c:v>
                </c:pt>
                <c:pt idx="1">
                  <c:v>0.22148999999999999</c:v>
                </c:pt>
                <c:pt idx="2">
                  <c:v>0.22148999999999999</c:v>
                </c:pt>
                <c:pt idx="3">
                  <c:v>0.22148999999999999</c:v>
                </c:pt>
                <c:pt idx="4">
                  <c:v>0.22148999999999999</c:v>
                </c:pt>
                <c:pt idx="5">
                  <c:v>0.23594000000000001</c:v>
                </c:pt>
                <c:pt idx="6">
                  <c:v>0.25103999999999999</c:v>
                </c:pt>
                <c:pt idx="7">
                  <c:v>0.26676</c:v>
                </c:pt>
                <c:pt idx="8">
                  <c:v>0.28244999999999998</c:v>
                </c:pt>
                <c:pt idx="9">
                  <c:v>0.30036000000000002</c:v>
                </c:pt>
                <c:pt idx="10">
                  <c:v>0.31768999999999997</c:v>
                </c:pt>
                <c:pt idx="11">
                  <c:v>0.33467000000000002</c:v>
                </c:pt>
                <c:pt idx="12">
                  <c:v>0.35149000000000002</c:v>
                </c:pt>
                <c:pt idx="13">
                  <c:v>0.36825999999999998</c:v>
                </c:pt>
                <c:pt idx="14">
                  <c:v>0.38457000000000002</c:v>
                </c:pt>
                <c:pt idx="15">
                  <c:v>0.39996999999999999</c:v>
                </c:pt>
                <c:pt idx="16">
                  <c:v>0.41415000000000002</c:v>
                </c:pt>
                <c:pt idx="17">
                  <c:v>0.4269</c:v>
                </c:pt>
                <c:pt idx="18">
                  <c:v>0.43836000000000003</c:v>
                </c:pt>
                <c:pt idx="19">
                  <c:v>0.44836999999999999</c:v>
                </c:pt>
                <c:pt idx="20">
                  <c:v>0.45535999999999999</c:v>
                </c:pt>
                <c:pt idx="21">
                  <c:v>0.45810000000000001</c:v>
                </c:pt>
                <c:pt idx="22">
                  <c:v>0.45804</c:v>
                </c:pt>
                <c:pt idx="23">
                  <c:v>0.45745000000000002</c:v>
                </c:pt>
                <c:pt idx="24">
                  <c:v>0.45896999999999999</c:v>
                </c:pt>
                <c:pt idx="25">
                  <c:v>0.46434999999999998</c:v>
                </c:pt>
                <c:pt idx="26">
                  <c:v>0.47144000000000003</c:v>
                </c:pt>
                <c:pt idx="27">
                  <c:v>0.47732000000000002</c:v>
                </c:pt>
                <c:pt idx="28">
                  <c:v>0.47999000000000003</c:v>
                </c:pt>
                <c:pt idx="29">
                  <c:v>0.47815999999999997</c:v>
                </c:pt>
                <c:pt idx="30">
                  <c:v>0.47256999999999999</c:v>
                </c:pt>
                <c:pt idx="31">
                  <c:v>0.46378000000000003</c:v>
                </c:pt>
                <c:pt idx="32">
                  <c:v>0.44969999999999999</c:v>
                </c:pt>
                <c:pt idx="33">
                  <c:v>0.42856</c:v>
                </c:pt>
                <c:pt idx="34">
                  <c:v>0.40271000000000001</c:v>
                </c:pt>
                <c:pt idx="35">
                  <c:v>0.37519999999999998</c:v>
                </c:pt>
                <c:pt idx="36">
                  <c:v>0.34809000000000001</c:v>
                </c:pt>
                <c:pt idx="37">
                  <c:v>0.32279000000000002</c:v>
                </c:pt>
                <c:pt idx="38">
                  <c:v>0.29914000000000002</c:v>
                </c:pt>
                <c:pt idx="39">
                  <c:v>0.27704000000000001</c:v>
                </c:pt>
                <c:pt idx="40">
                  <c:v>0.25792999999999999</c:v>
                </c:pt>
                <c:pt idx="41">
                  <c:v>0.24313000000000001</c:v>
                </c:pt>
                <c:pt idx="42">
                  <c:v>0.23196</c:v>
                </c:pt>
                <c:pt idx="43">
                  <c:v>0.22348999999999999</c:v>
                </c:pt>
                <c:pt idx="44">
                  <c:v>0.21784000000000001</c:v>
                </c:pt>
                <c:pt idx="45">
                  <c:v>0.21518999999999999</c:v>
                </c:pt>
                <c:pt idx="46">
                  <c:v>0.21485000000000001</c:v>
                </c:pt>
                <c:pt idx="47">
                  <c:v>0.21593000000000001</c:v>
                </c:pt>
                <c:pt idx="48">
                  <c:v>0.21762999999999999</c:v>
                </c:pt>
                <c:pt idx="49">
                  <c:v>0.21934000000000001</c:v>
                </c:pt>
                <c:pt idx="50">
                  <c:v>0.22103999999999999</c:v>
                </c:pt>
                <c:pt idx="51">
                  <c:v>0.22281000000000001</c:v>
                </c:pt>
                <c:pt idx="52">
                  <c:v>0.22444</c:v>
                </c:pt>
                <c:pt idx="53">
                  <c:v>0.22570999999999999</c:v>
                </c:pt>
                <c:pt idx="54">
                  <c:v>0.22681000000000001</c:v>
                </c:pt>
                <c:pt idx="55">
                  <c:v>0.22806999999999999</c:v>
                </c:pt>
                <c:pt idx="56">
                  <c:v>0.23021</c:v>
                </c:pt>
                <c:pt idx="57">
                  <c:v>0.23372999999999999</c:v>
                </c:pt>
                <c:pt idx="58">
                  <c:v>0.23804</c:v>
                </c:pt>
                <c:pt idx="59">
                  <c:v>0.24224000000000001</c:v>
                </c:pt>
                <c:pt idx="60">
                  <c:v>0.24535000000000001</c:v>
                </c:pt>
                <c:pt idx="61">
                  <c:v>0.24668999999999999</c:v>
                </c:pt>
                <c:pt idx="62">
                  <c:v>0.24668999999999999</c:v>
                </c:pt>
                <c:pt idx="63">
                  <c:v>0.24598999999999999</c:v>
                </c:pt>
                <c:pt idx="64">
                  <c:v>0.24484</c:v>
                </c:pt>
                <c:pt idx="65">
                  <c:v>0.24338000000000001</c:v>
                </c:pt>
                <c:pt idx="66">
                  <c:v>0.24154</c:v>
                </c:pt>
                <c:pt idx="67">
                  <c:v>0.23921000000000001</c:v>
                </c:pt>
                <c:pt idx="68">
                  <c:v>0.23629</c:v>
                </c:pt>
                <c:pt idx="69">
                  <c:v>0.23427999999999999</c:v>
                </c:pt>
                <c:pt idx="70">
                  <c:v>0.23191999999999999</c:v>
                </c:pt>
                <c:pt idx="71">
                  <c:v>0.22958000000000001</c:v>
                </c:pt>
                <c:pt idx="72">
                  <c:v>0.22725999999999999</c:v>
                </c:pt>
                <c:pt idx="73">
                  <c:v>0.22495000000000001</c:v>
                </c:pt>
                <c:pt idx="74">
                  <c:v>0.22267000000000001</c:v>
                </c:pt>
                <c:pt idx="75">
                  <c:v>0.22039</c:v>
                </c:pt>
                <c:pt idx="76">
                  <c:v>0.21814</c:v>
                </c:pt>
                <c:pt idx="77">
                  <c:v>0.21590000000000001</c:v>
                </c:pt>
                <c:pt idx="78">
                  <c:v>0.21368000000000001</c:v>
                </c:pt>
                <c:pt idx="79">
                  <c:v>0.21146999999999999</c:v>
                </c:pt>
                <c:pt idx="80">
                  <c:v>0.20927999999999999</c:v>
                </c:pt>
                <c:pt idx="81">
                  <c:v>0.20710999999999999</c:v>
                </c:pt>
                <c:pt idx="82">
                  <c:v>0.20494999999999999</c:v>
                </c:pt>
                <c:pt idx="83">
                  <c:v>0.20282</c:v>
                </c:pt>
                <c:pt idx="84">
                  <c:v>0.20069000000000001</c:v>
                </c:pt>
                <c:pt idx="85">
                  <c:v>0.20069000000000001</c:v>
                </c:pt>
                <c:pt idx="86">
                  <c:v>0.20069000000000001</c:v>
                </c:pt>
                <c:pt idx="87">
                  <c:v>0.20069000000000001</c:v>
                </c:pt>
                <c:pt idx="88">
                  <c:v>0.20069000000000001</c:v>
                </c:pt>
                <c:pt idx="89">
                  <c:v>0.20069000000000001</c:v>
                </c:pt>
                <c:pt idx="90">
                  <c:v>0.20069000000000001</c:v>
                </c:pt>
                <c:pt idx="91">
                  <c:v>0.20069000000000001</c:v>
                </c:pt>
                <c:pt idx="92">
                  <c:v>0.20069000000000001</c:v>
                </c:pt>
                <c:pt idx="93">
                  <c:v>0.20069000000000001</c:v>
                </c:pt>
                <c:pt idx="94">
                  <c:v>0.20069000000000001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3-3FE4-445B-8EEB-D88489EA6296}"/>
            </c:ext>
          </c:extLst>
        </c:ser>
        <c:ser>
          <c:idx val="69"/>
          <c:order val="6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'99set'!$BS$10:$BS$104</c:f>
              <c:numCache>
                <c:formatCode>0.00000</c:formatCode>
                <c:ptCount val="95"/>
                <c:pt idx="0">
                  <c:v>0.13225000000000001</c:v>
                </c:pt>
                <c:pt idx="1">
                  <c:v>0.13225000000000001</c:v>
                </c:pt>
                <c:pt idx="2">
                  <c:v>0.13225000000000001</c:v>
                </c:pt>
                <c:pt idx="3">
                  <c:v>0.13225000000000001</c:v>
                </c:pt>
                <c:pt idx="4">
                  <c:v>0.13225000000000001</c:v>
                </c:pt>
                <c:pt idx="5">
                  <c:v>0.13933000000000001</c:v>
                </c:pt>
                <c:pt idx="6">
                  <c:v>0.14671999999999999</c:v>
                </c:pt>
                <c:pt idx="7">
                  <c:v>0.15443000000000001</c:v>
                </c:pt>
                <c:pt idx="8">
                  <c:v>0.16220000000000001</c:v>
                </c:pt>
                <c:pt idx="9">
                  <c:v>0.17097999999999999</c:v>
                </c:pt>
                <c:pt idx="10">
                  <c:v>0.17960999999999999</c:v>
                </c:pt>
                <c:pt idx="11">
                  <c:v>0.18831000000000001</c:v>
                </c:pt>
                <c:pt idx="12">
                  <c:v>0.19733000000000001</c:v>
                </c:pt>
                <c:pt idx="13">
                  <c:v>0.20679</c:v>
                </c:pt>
                <c:pt idx="14">
                  <c:v>0.21629999999999999</c:v>
                </c:pt>
                <c:pt idx="15">
                  <c:v>0.22539999999999999</c:v>
                </c:pt>
                <c:pt idx="16">
                  <c:v>0.23380999999999999</c:v>
                </c:pt>
                <c:pt idx="17">
                  <c:v>0.24135999999999999</c:v>
                </c:pt>
                <c:pt idx="18">
                  <c:v>0.24814</c:v>
                </c:pt>
                <c:pt idx="19">
                  <c:v>0.25398999999999999</c:v>
                </c:pt>
                <c:pt idx="20">
                  <c:v>0.25741000000000003</c:v>
                </c:pt>
                <c:pt idx="21">
                  <c:v>0.25724000000000002</c:v>
                </c:pt>
                <c:pt idx="22">
                  <c:v>0.25494</c:v>
                </c:pt>
                <c:pt idx="23">
                  <c:v>0.25267000000000001</c:v>
                </c:pt>
                <c:pt idx="24">
                  <c:v>0.25276999999999999</c:v>
                </c:pt>
                <c:pt idx="25">
                  <c:v>0.25679000000000002</c:v>
                </c:pt>
                <c:pt idx="26">
                  <c:v>0.26297999999999999</c:v>
                </c:pt>
                <c:pt idx="27">
                  <c:v>0.26901999999999998</c:v>
                </c:pt>
                <c:pt idx="28">
                  <c:v>0.27359</c:v>
                </c:pt>
                <c:pt idx="29">
                  <c:v>0.27587</c:v>
                </c:pt>
                <c:pt idx="30">
                  <c:v>0.27606000000000003</c:v>
                </c:pt>
                <c:pt idx="31">
                  <c:v>0.27412999999999998</c:v>
                </c:pt>
                <c:pt idx="32">
                  <c:v>0.26801999999999998</c:v>
                </c:pt>
                <c:pt idx="33">
                  <c:v>0.25608999999999998</c:v>
                </c:pt>
                <c:pt idx="34">
                  <c:v>0.24031</c:v>
                </c:pt>
                <c:pt idx="35">
                  <c:v>0.22327</c:v>
                </c:pt>
                <c:pt idx="36">
                  <c:v>0.2064</c:v>
                </c:pt>
                <c:pt idx="37">
                  <c:v>0.19064</c:v>
                </c:pt>
                <c:pt idx="38">
                  <c:v>0.17599999999999999</c:v>
                </c:pt>
                <c:pt idx="39">
                  <c:v>0.16259999999999999</c:v>
                </c:pt>
                <c:pt idx="40">
                  <c:v>0.15168000000000001</c:v>
                </c:pt>
                <c:pt idx="41">
                  <c:v>0.14438000000000001</c:v>
                </c:pt>
                <c:pt idx="42">
                  <c:v>0.14004</c:v>
                </c:pt>
                <c:pt idx="43">
                  <c:v>0.13802</c:v>
                </c:pt>
                <c:pt idx="44">
                  <c:v>0.13932</c:v>
                </c:pt>
                <c:pt idx="45">
                  <c:v>0.14480999999999999</c:v>
                </c:pt>
                <c:pt idx="46">
                  <c:v>0.15312999999999999</c:v>
                </c:pt>
                <c:pt idx="47">
                  <c:v>0.16242000000000001</c:v>
                </c:pt>
                <c:pt idx="48">
                  <c:v>0.17116000000000001</c:v>
                </c:pt>
                <c:pt idx="49">
                  <c:v>0.1782</c:v>
                </c:pt>
                <c:pt idx="50">
                  <c:v>0.18373</c:v>
                </c:pt>
                <c:pt idx="51">
                  <c:v>0.18815999999999999</c:v>
                </c:pt>
                <c:pt idx="52">
                  <c:v>0.19156000000000001</c:v>
                </c:pt>
                <c:pt idx="53">
                  <c:v>0.19395999999999999</c:v>
                </c:pt>
                <c:pt idx="54">
                  <c:v>0.19558</c:v>
                </c:pt>
                <c:pt idx="55">
                  <c:v>0.19681999999999999</c:v>
                </c:pt>
                <c:pt idx="56">
                  <c:v>0.19847000000000001</c:v>
                </c:pt>
                <c:pt idx="57">
                  <c:v>0.20116999999999999</c:v>
                </c:pt>
                <c:pt idx="58">
                  <c:v>0.20444000000000001</c:v>
                </c:pt>
                <c:pt idx="59">
                  <c:v>0.20755999999999999</c:v>
                </c:pt>
                <c:pt idx="60">
                  <c:v>0.20979999999999999</c:v>
                </c:pt>
                <c:pt idx="61">
                  <c:v>0.21071000000000001</c:v>
                </c:pt>
                <c:pt idx="62">
                  <c:v>0.21063000000000001</c:v>
                </c:pt>
                <c:pt idx="63">
                  <c:v>0.21002999999999999</c:v>
                </c:pt>
                <c:pt idx="64">
                  <c:v>0.20907999999999999</c:v>
                </c:pt>
                <c:pt idx="65">
                  <c:v>0.20784</c:v>
                </c:pt>
                <c:pt idx="66">
                  <c:v>0.20630000000000001</c:v>
                </c:pt>
                <c:pt idx="67">
                  <c:v>0.20441999999999999</c:v>
                </c:pt>
                <c:pt idx="68">
                  <c:v>0.20218</c:v>
                </c:pt>
                <c:pt idx="69">
                  <c:v>0.20050999999999999</c:v>
                </c:pt>
                <c:pt idx="70">
                  <c:v>0.19863</c:v>
                </c:pt>
                <c:pt idx="71">
                  <c:v>0.19675999999999999</c:v>
                </c:pt>
                <c:pt idx="72">
                  <c:v>0.19491</c:v>
                </c:pt>
                <c:pt idx="73">
                  <c:v>0.19306999999999999</c:v>
                </c:pt>
                <c:pt idx="74">
                  <c:v>0.19123999999999999</c:v>
                </c:pt>
                <c:pt idx="75">
                  <c:v>0.18942000000000001</c:v>
                </c:pt>
                <c:pt idx="76">
                  <c:v>0.18762000000000001</c:v>
                </c:pt>
                <c:pt idx="77">
                  <c:v>0.18584000000000001</c:v>
                </c:pt>
                <c:pt idx="78">
                  <c:v>0.18406</c:v>
                </c:pt>
                <c:pt idx="79">
                  <c:v>0.18229999999999999</c:v>
                </c:pt>
                <c:pt idx="80">
                  <c:v>0.18054999999999999</c:v>
                </c:pt>
                <c:pt idx="81">
                  <c:v>0.17882000000000001</c:v>
                </c:pt>
                <c:pt idx="82">
                  <c:v>0.17709</c:v>
                </c:pt>
                <c:pt idx="83">
                  <c:v>0.17538000000000001</c:v>
                </c:pt>
                <c:pt idx="84">
                  <c:v>0.17369000000000001</c:v>
                </c:pt>
                <c:pt idx="85">
                  <c:v>0.17369000000000001</c:v>
                </c:pt>
                <c:pt idx="86">
                  <c:v>0.17369000000000001</c:v>
                </c:pt>
                <c:pt idx="87">
                  <c:v>0.17369000000000001</c:v>
                </c:pt>
                <c:pt idx="88">
                  <c:v>0.17369000000000001</c:v>
                </c:pt>
                <c:pt idx="89">
                  <c:v>0.17369000000000001</c:v>
                </c:pt>
                <c:pt idx="90">
                  <c:v>0.17369000000000001</c:v>
                </c:pt>
                <c:pt idx="91">
                  <c:v>0.17369000000000001</c:v>
                </c:pt>
                <c:pt idx="92">
                  <c:v>0.17369000000000001</c:v>
                </c:pt>
                <c:pt idx="93">
                  <c:v>0.17369000000000001</c:v>
                </c:pt>
                <c:pt idx="94">
                  <c:v>0.17369000000000001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4-3FE4-445B-8EEB-D88489EA6296}"/>
            </c:ext>
          </c:extLst>
        </c:ser>
        <c:ser>
          <c:idx val="70"/>
          <c:order val="6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'99set'!$BT$10:$BT$104</c:f>
              <c:numCache>
                <c:formatCode>0.00000</c:formatCode>
                <c:ptCount val="95"/>
                <c:pt idx="0">
                  <c:v>0.31794</c:v>
                </c:pt>
                <c:pt idx="1">
                  <c:v>0.31794</c:v>
                </c:pt>
                <c:pt idx="2">
                  <c:v>0.31794</c:v>
                </c:pt>
                <c:pt idx="3">
                  <c:v>0.31794</c:v>
                </c:pt>
                <c:pt idx="4">
                  <c:v>0.31794</c:v>
                </c:pt>
                <c:pt idx="5">
                  <c:v>0.34608</c:v>
                </c:pt>
                <c:pt idx="6">
                  <c:v>0.37534000000000001</c:v>
                </c:pt>
                <c:pt idx="7">
                  <c:v>0.40554000000000001</c:v>
                </c:pt>
                <c:pt idx="8">
                  <c:v>0.43536999999999998</c:v>
                </c:pt>
                <c:pt idx="9">
                  <c:v>0.46844999999999998</c:v>
                </c:pt>
                <c:pt idx="10">
                  <c:v>0.49987999999999999</c:v>
                </c:pt>
                <c:pt idx="11">
                  <c:v>0.52990000000000004</c:v>
                </c:pt>
                <c:pt idx="12">
                  <c:v>0.55871999999999999</c:v>
                </c:pt>
                <c:pt idx="13">
                  <c:v>0.58643999999999996</c:v>
                </c:pt>
                <c:pt idx="14">
                  <c:v>0.61260999999999999</c:v>
                </c:pt>
                <c:pt idx="15">
                  <c:v>0.63671999999999995</c:v>
                </c:pt>
                <c:pt idx="16">
                  <c:v>0.65856999999999999</c:v>
                </c:pt>
                <c:pt idx="17">
                  <c:v>0.67805000000000004</c:v>
                </c:pt>
                <c:pt idx="18">
                  <c:v>0.69494999999999996</c:v>
                </c:pt>
                <c:pt idx="19">
                  <c:v>0.70889999999999997</c:v>
                </c:pt>
                <c:pt idx="20">
                  <c:v>0.71896000000000004</c:v>
                </c:pt>
                <c:pt idx="21">
                  <c:v>0.72438000000000002</c:v>
                </c:pt>
                <c:pt idx="22">
                  <c:v>0.72575999999999996</c:v>
                </c:pt>
                <c:pt idx="23">
                  <c:v>0.72392000000000001</c:v>
                </c:pt>
                <c:pt idx="24">
                  <c:v>0.71916000000000002</c:v>
                </c:pt>
                <c:pt idx="25">
                  <c:v>0.71160999999999996</c:v>
                </c:pt>
                <c:pt idx="26">
                  <c:v>0.70123000000000002</c:v>
                </c:pt>
                <c:pt idx="27">
                  <c:v>0.68799999999999994</c:v>
                </c:pt>
                <c:pt idx="28">
                  <c:v>0.67186999999999997</c:v>
                </c:pt>
                <c:pt idx="29">
                  <c:v>0.65288000000000002</c:v>
                </c:pt>
                <c:pt idx="30">
                  <c:v>0.63146999999999998</c:v>
                </c:pt>
                <c:pt idx="31">
                  <c:v>0.60795999999999994</c:v>
                </c:pt>
                <c:pt idx="32">
                  <c:v>0.58201000000000003</c:v>
                </c:pt>
                <c:pt idx="33">
                  <c:v>0.55342999999999998</c:v>
                </c:pt>
                <c:pt idx="34">
                  <c:v>0.52327000000000001</c:v>
                </c:pt>
                <c:pt idx="35">
                  <c:v>0.49282999999999999</c:v>
                </c:pt>
                <c:pt idx="36">
                  <c:v>0.4632</c:v>
                </c:pt>
                <c:pt idx="37">
                  <c:v>0.43523000000000001</c:v>
                </c:pt>
                <c:pt idx="38">
                  <c:v>0.40899000000000002</c:v>
                </c:pt>
                <c:pt idx="39">
                  <c:v>0.38457999999999998</c:v>
                </c:pt>
                <c:pt idx="40">
                  <c:v>0.36303000000000002</c:v>
                </c:pt>
                <c:pt idx="41">
                  <c:v>0.34527999999999998</c:v>
                </c:pt>
                <c:pt idx="42">
                  <c:v>0.33078000000000002</c:v>
                </c:pt>
                <c:pt idx="43">
                  <c:v>0.31879999999999997</c:v>
                </c:pt>
                <c:pt idx="44">
                  <c:v>0.30924000000000001</c:v>
                </c:pt>
                <c:pt idx="45">
                  <c:v>0.30208000000000002</c:v>
                </c:pt>
                <c:pt idx="46">
                  <c:v>0.29698000000000002</c:v>
                </c:pt>
                <c:pt idx="47">
                  <c:v>0.29354999999999998</c:v>
                </c:pt>
                <c:pt idx="48">
                  <c:v>0.29142000000000001</c:v>
                </c:pt>
                <c:pt idx="49">
                  <c:v>0.29026999999999997</c:v>
                </c:pt>
                <c:pt idx="50">
                  <c:v>0.28997000000000001</c:v>
                </c:pt>
                <c:pt idx="51">
                  <c:v>0.29041</c:v>
                </c:pt>
                <c:pt idx="52">
                  <c:v>0.29121000000000002</c:v>
                </c:pt>
                <c:pt idx="53">
                  <c:v>0.29205999999999999</c:v>
                </c:pt>
                <c:pt idx="54">
                  <c:v>0.29307</c:v>
                </c:pt>
                <c:pt idx="55">
                  <c:v>0.29449999999999998</c:v>
                </c:pt>
                <c:pt idx="56">
                  <c:v>0.29687999999999998</c:v>
                </c:pt>
                <c:pt idx="57">
                  <c:v>0.30057</c:v>
                </c:pt>
                <c:pt idx="58">
                  <c:v>0.30502000000000001</c:v>
                </c:pt>
                <c:pt idx="59">
                  <c:v>0.30941000000000002</c:v>
                </c:pt>
                <c:pt idx="60">
                  <c:v>0.31263999999999997</c:v>
                </c:pt>
                <c:pt idx="61">
                  <c:v>0.31391999999999998</c:v>
                </c:pt>
                <c:pt idx="62">
                  <c:v>0.31378</c:v>
                </c:pt>
                <c:pt idx="63">
                  <c:v>0.31298999999999999</c:v>
                </c:pt>
                <c:pt idx="64">
                  <c:v>0.31181999999999999</c:v>
                </c:pt>
                <c:pt idx="65">
                  <c:v>0.31034</c:v>
                </c:pt>
                <c:pt idx="66">
                  <c:v>0.30852000000000002</c:v>
                </c:pt>
                <c:pt idx="67">
                  <c:v>0.30629000000000001</c:v>
                </c:pt>
                <c:pt idx="68">
                  <c:v>0.30358000000000002</c:v>
                </c:pt>
                <c:pt idx="69">
                  <c:v>0.30159999999999998</c:v>
                </c:pt>
                <c:pt idx="70">
                  <c:v>0.29932999999999998</c:v>
                </c:pt>
                <c:pt idx="71">
                  <c:v>0.29708000000000001</c:v>
                </c:pt>
                <c:pt idx="72">
                  <c:v>0.29483999999999999</c:v>
                </c:pt>
                <c:pt idx="73">
                  <c:v>0.29260000000000003</c:v>
                </c:pt>
                <c:pt idx="74">
                  <c:v>0.29038000000000003</c:v>
                </c:pt>
                <c:pt idx="75">
                  <c:v>0.28816999999999998</c:v>
                </c:pt>
                <c:pt idx="76">
                  <c:v>0.28597</c:v>
                </c:pt>
                <c:pt idx="77">
                  <c:v>0.28377000000000002</c:v>
                </c:pt>
                <c:pt idx="78">
                  <c:v>0.28159000000000001</c:v>
                </c:pt>
                <c:pt idx="79">
                  <c:v>0.27942</c:v>
                </c:pt>
                <c:pt idx="80">
                  <c:v>0.27726000000000001</c:v>
                </c:pt>
                <c:pt idx="81">
                  <c:v>0.27511000000000002</c:v>
                </c:pt>
                <c:pt idx="82">
                  <c:v>0.27295999999999998</c:v>
                </c:pt>
                <c:pt idx="83">
                  <c:v>0.27083000000000002</c:v>
                </c:pt>
                <c:pt idx="84">
                  <c:v>0.26871</c:v>
                </c:pt>
                <c:pt idx="85">
                  <c:v>0.26871</c:v>
                </c:pt>
                <c:pt idx="86">
                  <c:v>0.26871</c:v>
                </c:pt>
                <c:pt idx="87">
                  <c:v>0.26871</c:v>
                </c:pt>
                <c:pt idx="88">
                  <c:v>0.26871</c:v>
                </c:pt>
                <c:pt idx="89">
                  <c:v>0.26871</c:v>
                </c:pt>
                <c:pt idx="90">
                  <c:v>0.26871</c:v>
                </c:pt>
                <c:pt idx="91">
                  <c:v>0.26871</c:v>
                </c:pt>
                <c:pt idx="92">
                  <c:v>0.26871</c:v>
                </c:pt>
                <c:pt idx="93">
                  <c:v>0.26871</c:v>
                </c:pt>
                <c:pt idx="94">
                  <c:v>0.26871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5-3FE4-445B-8EEB-D88489EA6296}"/>
            </c:ext>
          </c:extLst>
        </c:ser>
        <c:ser>
          <c:idx val="71"/>
          <c:order val="7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'99set'!$BU$10:$BU$104</c:f>
              <c:numCache>
                <c:formatCode>0.00000</c:formatCode>
                <c:ptCount val="95"/>
                <c:pt idx="0">
                  <c:v>5.04E-2</c:v>
                </c:pt>
                <c:pt idx="1">
                  <c:v>5.04E-2</c:v>
                </c:pt>
                <c:pt idx="2">
                  <c:v>5.04E-2</c:v>
                </c:pt>
                <c:pt idx="3">
                  <c:v>5.04E-2</c:v>
                </c:pt>
                <c:pt idx="4">
                  <c:v>5.04E-2</c:v>
                </c:pt>
                <c:pt idx="5">
                  <c:v>5.04E-2</c:v>
                </c:pt>
                <c:pt idx="6">
                  <c:v>5.04E-2</c:v>
                </c:pt>
                <c:pt idx="7">
                  <c:v>5.04E-2</c:v>
                </c:pt>
                <c:pt idx="8">
                  <c:v>5.04E-2</c:v>
                </c:pt>
                <c:pt idx="9">
                  <c:v>5.4850000000000003E-2</c:v>
                </c:pt>
                <c:pt idx="10">
                  <c:v>6.1699999999999998E-2</c:v>
                </c:pt>
                <c:pt idx="11">
                  <c:v>6.9430000000000006E-2</c:v>
                </c:pt>
                <c:pt idx="12">
                  <c:v>7.8600000000000003E-2</c:v>
                </c:pt>
                <c:pt idx="13">
                  <c:v>9.0020000000000003E-2</c:v>
                </c:pt>
                <c:pt idx="14">
                  <c:v>0.10340000000000001</c:v>
                </c:pt>
                <c:pt idx="15">
                  <c:v>0.11814</c:v>
                </c:pt>
                <c:pt idx="16">
                  <c:v>0.1336</c:v>
                </c:pt>
                <c:pt idx="17">
                  <c:v>0.14924999999999999</c:v>
                </c:pt>
                <c:pt idx="18">
                  <c:v>0.16520000000000001</c:v>
                </c:pt>
                <c:pt idx="19">
                  <c:v>0.18140999999999999</c:v>
                </c:pt>
                <c:pt idx="20">
                  <c:v>0.19670000000000001</c:v>
                </c:pt>
                <c:pt idx="21">
                  <c:v>0.20952999999999999</c:v>
                </c:pt>
                <c:pt idx="22">
                  <c:v>0.21820000000000001</c:v>
                </c:pt>
                <c:pt idx="23">
                  <c:v>0.22140000000000001</c:v>
                </c:pt>
                <c:pt idx="24">
                  <c:v>0.2195</c:v>
                </c:pt>
                <c:pt idx="25">
                  <c:v>0.21332999999999999</c:v>
                </c:pt>
                <c:pt idx="26">
                  <c:v>0.2039</c:v>
                </c:pt>
                <c:pt idx="27">
                  <c:v>0.19206000000000001</c:v>
                </c:pt>
                <c:pt idx="28">
                  <c:v>0.17799999999999999</c:v>
                </c:pt>
                <c:pt idx="29">
                  <c:v>0.16197</c:v>
                </c:pt>
                <c:pt idx="30">
                  <c:v>0.1452</c:v>
                </c:pt>
                <c:pt idx="31">
                  <c:v>0.12916</c:v>
                </c:pt>
                <c:pt idx="32">
                  <c:v>0.1153</c:v>
                </c:pt>
                <c:pt idx="33">
                  <c:v>0.10467</c:v>
                </c:pt>
                <c:pt idx="34">
                  <c:v>9.69E-2</c:v>
                </c:pt>
                <c:pt idx="35">
                  <c:v>9.0999999999999998E-2</c:v>
                </c:pt>
                <c:pt idx="36">
                  <c:v>8.5000000000000006E-2</c:v>
                </c:pt>
                <c:pt idx="37">
                  <c:v>7.7179999999999999E-2</c:v>
                </c:pt>
                <c:pt idx="38">
                  <c:v>6.7699999999999996E-2</c:v>
                </c:pt>
                <c:pt idx="39">
                  <c:v>5.7340000000000002E-2</c:v>
                </c:pt>
                <c:pt idx="40">
                  <c:v>4.7300000000000002E-2</c:v>
                </c:pt>
                <c:pt idx="41">
                  <c:v>3.9010000000000003E-2</c:v>
                </c:pt>
                <c:pt idx="42">
                  <c:v>3.4299999999999997E-2</c:v>
                </c:pt>
                <c:pt idx="43">
                  <c:v>3.4779999999999998E-2</c:v>
                </c:pt>
                <c:pt idx="44">
                  <c:v>4.0800000000000003E-2</c:v>
                </c:pt>
                <c:pt idx="45">
                  <c:v>5.1339999999999997E-2</c:v>
                </c:pt>
                <c:pt idx="46">
                  <c:v>6.1199999999999997E-2</c:v>
                </c:pt>
                <c:pt idx="47">
                  <c:v>6.54E-2</c:v>
                </c:pt>
                <c:pt idx="48">
                  <c:v>6.4100000000000004E-2</c:v>
                </c:pt>
                <c:pt idx="49">
                  <c:v>5.901E-2</c:v>
                </c:pt>
                <c:pt idx="50">
                  <c:v>5.2999999999999999E-2</c:v>
                </c:pt>
                <c:pt idx="51">
                  <c:v>4.8590000000000001E-2</c:v>
                </c:pt>
                <c:pt idx="52">
                  <c:v>4.5900000000000003E-2</c:v>
                </c:pt>
                <c:pt idx="53">
                  <c:v>4.4429999999999997E-2</c:v>
                </c:pt>
                <c:pt idx="54">
                  <c:v>4.3700000000000003E-2</c:v>
                </c:pt>
                <c:pt idx="55">
                  <c:v>4.3310000000000001E-2</c:v>
                </c:pt>
                <c:pt idx="56">
                  <c:v>4.3099999999999999E-2</c:v>
                </c:pt>
                <c:pt idx="57">
                  <c:v>4.3139999999999998E-2</c:v>
                </c:pt>
                <c:pt idx="58">
                  <c:v>4.41E-2</c:v>
                </c:pt>
                <c:pt idx="59">
                  <c:v>4.6809999999999997E-2</c:v>
                </c:pt>
                <c:pt idx="60">
                  <c:v>5.1999999999999998E-2</c:v>
                </c:pt>
                <c:pt idx="61">
                  <c:v>6.0159999999999998E-2</c:v>
                </c:pt>
                <c:pt idx="62">
                  <c:v>7.0800000000000002E-2</c:v>
                </c:pt>
                <c:pt idx="63">
                  <c:v>8.3159999999999998E-2</c:v>
                </c:pt>
                <c:pt idx="64">
                  <c:v>9.6299999999999997E-2</c:v>
                </c:pt>
                <c:pt idx="65">
                  <c:v>0.10963000000000001</c:v>
                </c:pt>
                <c:pt idx="66">
                  <c:v>0.1242</c:v>
                </c:pt>
                <c:pt idx="67">
                  <c:v>0.14004</c:v>
                </c:pt>
                <c:pt idx="68">
                  <c:v>0.15140000000000001</c:v>
                </c:pt>
                <c:pt idx="69">
                  <c:v>0.15140000000000001</c:v>
                </c:pt>
                <c:pt idx="70">
                  <c:v>0.15140000000000001</c:v>
                </c:pt>
                <c:pt idx="71">
                  <c:v>0.15140000000000001</c:v>
                </c:pt>
                <c:pt idx="72">
                  <c:v>0.15140000000000001</c:v>
                </c:pt>
                <c:pt idx="73">
                  <c:v>0.15140000000000001</c:v>
                </c:pt>
                <c:pt idx="74">
                  <c:v>0.15140000000000001</c:v>
                </c:pt>
                <c:pt idx="75">
                  <c:v>0.15140000000000001</c:v>
                </c:pt>
                <c:pt idx="76">
                  <c:v>0.15140000000000001</c:v>
                </c:pt>
                <c:pt idx="77">
                  <c:v>0.15140000000000001</c:v>
                </c:pt>
                <c:pt idx="78">
                  <c:v>0.15140000000000001</c:v>
                </c:pt>
                <c:pt idx="79">
                  <c:v>0.15140000000000001</c:v>
                </c:pt>
                <c:pt idx="80">
                  <c:v>0.15140000000000001</c:v>
                </c:pt>
                <c:pt idx="81">
                  <c:v>0.15140000000000001</c:v>
                </c:pt>
                <c:pt idx="82">
                  <c:v>0.15140000000000001</c:v>
                </c:pt>
                <c:pt idx="83">
                  <c:v>0.15140000000000001</c:v>
                </c:pt>
                <c:pt idx="84">
                  <c:v>0.15140000000000001</c:v>
                </c:pt>
                <c:pt idx="85">
                  <c:v>0.15140000000000001</c:v>
                </c:pt>
                <c:pt idx="86">
                  <c:v>0.15140000000000001</c:v>
                </c:pt>
                <c:pt idx="87">
                  <c:v>0.15140000000000001</c:v>
                </c:pt>
                <c:pt idx="88">
                  <c:v>0.15140000000000001</c:v>
                </c:pt>
                <c:pt idx="89">
                  <c:v>0.15140000000000001</c:v>
                </c:pt>
                <c:pt idx="90">
                  <c:v>0.15140000000000001</c:v>
                </c:pt>
                <c:pt idx="91">
                  <c:v>0.15140000000000001</c:v>
                </c:pt>
                <c:pt idx="92">
                  <c:v>0.15140000000000001</c:v>
                </c:pt>
                <c:pt idx="93">
                  <c:v>0.15140000000000001</c:v>
                </c:pt>
                <c:pt idx="94">
                  <c:v>0.15140000000000001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6-3FE4-445B-8EEB-D88489EA6296}"/>
            </c:ext>
          </c:extLst>
        </c:ser>
        <c:ser>
          <c:idx val="72"/>
          <c:order val="7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'99set'!$BV$10:$BV$104</c:f>
              <c:numCache>
                <c:formatCode>0.00000</c:formatCode>
                <c:ptCount val="95"/>
                <c:pt idx="0">
                  <c:v>0.37756000000000001</c:v>
                </c:pt>
                <c:pt idx="1">
                  <c:v>0.37756000000000001</c:v>
                </c:pt>
                <c:pt idx="2">
                  <c:v>0.37756000000000001</c:v>
                </c:pt>
                <c:pt idx="3">
                  <c:v>0.37756000000000001</c:v>
                </c:pt>
                <c:pt idx="4">
                  <c:v>0.37756000000000001</c:v>
                </c:pt>
                <c:pt idx="5">
                  <c:v>0.39318999999999998</c:v>
                </c:pt>
                <c:pt idx="6">
                  <c:v>0.40905000000000002</c:v>
                </c:pt>
                <c:pt idx="7">
                  <c:v>0.42509000000000002</c:v>
                </c:pt>
                <c:pt idx="8">
                  <c:v>0.44022</c:v>
                </c:pt>
                <c:pt idx="9">
                  <c:v>0.45815</c:v>
                </c:pt>
                <c:pt idx="10">
                  <c:v>0.47443000000000002</c:v>
                </c:pt>
                <c:pt idx="11">
                  <c:v>0.48876999999999998</c:v>
                </c:pt>
                <c:pt idx="12">
                  <c:v>0.50090999999999997</c:v>
                </c:pt>
                <c:pt idx="13">
                  <c:v>0.51073000000000002</c:v>
                </c:pt>
                <c:pt idx="14">
                  <c:v>0.51873999999999998</c:v>
                </c:pt>
                <c:pt idx="15">
                  <c:v>0.52556000000000003</c:v>
                </c:pt>
                <c:pt idx="16">
                  <c:v>0.53161999999999998</c:v>
                </c:pt>
                <c:pt idx="17">
                  <c:v>0.53715999999999997</c:v>
                </c:pt>
                <c:pt idx="18">
                  <c:v>0.54203000000000001</c:v>
                </c:pt>
                <c:pt idx="19">
                  <c:v>0.54598000000000002</c:v>
                </c:pt>
                <c:pt idx="20">
                  <c:v>0.54903000000000002</c:v>
                </c:pt>
                <c:pt idx="21">
                  <c:v>0.55122000000000004</c:v>
                </c:pt>
                <c:pt idx="22">
                  <c:v>0.55254000000000003</c:v>
                </c:pt>
                <c:pt idx="23">
                  <c:v>0.55300000000000005</c:v>
                </c:pt>
                <c:pt idx="24">
                  <c:v>0.55264000000000002</c:v>
                </c:pt>
                <c:pt idx="25">
                  <c:v>0.55149000000000004</c:v>
                </c:pt>
                <c:pt idx="26">
                  <c:v>0.54954999999999998</c:v>
                </c:pt>
                <c:pt idx="27">
                  <c:v>0.54681000000000002</c:v>
                </c:pt>
                <c:pt idx="28">
                  <c:v>0.54325999999999997</c:v>
                </c:pt>
                <c:pt idx="29">
                  <c:v>0.53893999999999997</c:v>
                </c:pt>
                <c:pt idx="30">
                  <c:v>0.53388999999999998</c:v>
                </c:pt>
                <c:pt idx="31">
                  <c:v>0.52808999999999995</c:v>
                </c:pt>
                <c:pt idx="32">
                  <c:v>0.52120999999999995</c:v>
                </c:pt>
                <c:pt idx="33">
                  <c:v>0.51297999999999999</c:v>
                </c:pt>
                <c:pt idx="34">
                  <c:v>0.50390000000000001</c:v>
                </c:pt>
                <c:pt idx="35">
                  <c:v>0.49460999999999999</c:v>
                </c:pt>
                <c:pt idx="36">
                  <c:v>0.48565999999999998</c:v>
                </c:pt>
                <c:pt idx="37">
                  <c:v>0.47742000000000001</c:v>
                </c:pt>
                <c:pt idx="38">
                  <c:v>0.46978999999999999</c:v>
                </c:pt>
                <c:pt idx="39">
                  <c:v>0.46262999999999999</c:v>
                </c:pt>
                <c:pt idx="40">
                  <c:v>0.45609</c:v>
                </c:pt>
                <c:pt idx="41">
                  <c:v>0.45034000000000002</c:v>
                </c:pt>
                <c:pt idx="42">
                  <c:v>0.44536999999999999</c:v>
                </c:pt>
                <c:pt idx="43">
                  <c:v>0.44114999999999999</c:v>
                </c:pt>
                <c:pt idx="44">
                  <c:v>0.43795000000000001</c:v>
                </c:pt>
                <c:pt idx="45">
                  <c:v>0.43597999999999998</c:v>
                </c:pt>
                <c:pt idx="46">
                  <c:v>0.43496000000000001</c:v>
                </c:pt>
                <c:pt idx="47">
                  <c:v>0.43459999999999999</c:v>
                </c:pt>
                <c:pt idx="48">
                  <c:v>0.43496000000000001</c:v>
                </c:pt>
                <c:pt idx="49">
                  <c:v>0.43609999999999999</c:v>
                </c:pt>
                <c:pt idx="50">
                  <c:v>0.43774000000000002</c:v>
                </c:pt>
                <c:pt idx="51">
                  <c:v>0.43955</c:v>
                </c:pt>
                <c:pt idx="52">
                  <c:v>0.44113999999999998</c:v>
                </c:pt>
                <c:pt idx="53">
                  <c:v>0.44227</c:v>
                </c:pt>
                <c:pt idx="54">
                  <c:v>0.44309999999999999</c:v>
                </c:pt>
                <c:pt idx="55">
                  <c:v>0.44396999999999998</c:v>
                </c:pt>
                <c:pt idx="56">
                  <c:v>0.44536999999999999</c:v>
                </c:pt>
                <c:pt idx="57">
                  <c:v>0.44767000000000001</c:v>
                </c:pt>
                <c:pt idx="58">
                  <c:v>0.45051999999999998</c:v>
                </c:pt>
                <c:pt idx="59">
                  <c:v>0.45332</c:v>
                </c:pt>
                <c:pt idx="60">
                  <c:v>0.45526</c:v>
                </c:pt>
                <c:pt idx="61">
                  <c:v>0.45577000000000001</c:v>
                </c:pt>
                <c:pt idx="62">
                  <c:v>0.45535999999999999</c:v>
                </c:pt>
                <c:pt idx="63">
                  <c:v>0.45474999999999999</c:v>
                </c:pt>
                <c:pt idx="64">
                  <c:v>0.45433000000000001</c:v>
                </c:pt>
                <c:pt idx="65">
                  <c:v>0.45435999999999999</c:v>
                </c:pt>
                <c:pt idx="66">
                  <c:v>0.45474999999999999</c:v>
                </c:pt>
                <c:pt idx="67">
                  <c:v>0.45534000000000002</c:v>
                </c:pt>
                <c:pt idx="68">
                  <c:v>0.45598</c:v>
                </c:pt>
                <c:pt idx="69">
                  <c:v>0.45651999999999998</c:v>
                </c:pt>
                <c:pt idx="70">
                  <c:v>0.45709</c:v>
                </c:pt>
                <c:pt idx="71">
                  <c:v>0.45767000000000002</c:v>
                </c:pt>
                <c:pt idx="72">
                  <c:v>0.45824999999999999</c:v>
                </c:pt>
                <c:pt idx="73">
                  <c:v>0.45883000000000002</c:v>
                </c:pt>
                <c:pt idx="74">
                  <c:v>0.45940999999999999</c:v>
                </c:pt>
                <c:pt idx="75">
                  <c:v>0.45998</c:v>
                </c:pt>
                <c:pt idx="76">
                  <c:v>0.46056000000000002</c:v>
                </c:pt>
                <c:pt idx="77">
                  <c:v>0.46113999999999999</c:v>
                </c:pt>
                <c:pt idx="78">
                  <c:v>0.46172000000000002</c:v>
                </c:pt>
                <c:pt idx="79">
                  <c:v>0.46229999999999999</c:v>
                </c:pt>
                <c:pt idx="80">
                  <c:v>0.46288000000000001</c:v>
                </c:pt>
                <c:pt idx="81">
                  <c:v>0.46345999999999998</c:v>
                </c:pt>
                <c:pt idx="82">
                  <c:v>0.46404000000000001</c:v>
                </c:pt>
                <c:pt idx="83">
                  <c:v>0.46461999999999998</c:v>
                </c:pt>
                <c:pt idx="84">
                  <c:v>0.46518999999999999</c:v>
                </c:pt>
                <c:pt idx="85">
                  <c:v>0.46518999999999999</c:v>
                </c:pt>
                <c:pt idx="86">
                  <c:v>0.46518999999999999</c:v>
                </c:pt>
                <c:pt idx="87">
                  <c:v>0.46518999999999999</c:v>
                </c:pt>
                <c:pt idx="88">
                  <c:v>0.46518999999999999</c:v>
                </c:pt>
                <c:pt idx="89">
                  <c:v>0.46518999999999999</c:v>
                </c:pt>
                <c:pt idx="90">
                  <c:v>0.46518999999999999</c:v>
                </c:pt>
                <c:pt idx="91">
                  <c:v>0.46518999999999999</c:v>
                </c:pt>
                <c:pt idx="92">
                  <c:v>0.46518999999999999</c:v>
                </c:pt>
                <c:pt idx="93">
                  <c:v>0.46518999999999999</c:v>
                </c:pt>
                <c:pt idx="94">
                  <c:v>0.46518999999999999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7-3FE4-445B-8EEB-D88489EA6296}"/>
            </c:ext>
          </c:extLst>
        </c:ser>
        <c:ser>
          <c:idx val="73"/>
          <c:order val="7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'99set'!$BW$10:$BW$104</c:f>
              <c:numCache>
                <c:formatCode>0.00000</c:formatCode>
                <c:ptCount val="95"/>
                <c:pt idx="0">
                  <c:v>0.16159999999999999</c:v>
                </c:pt>
                <c:pt idx="1">
                  <c:v>0.16159999999999999</c:v>
                </c:pt>
                <c:pt idx="2">
                  <c:v>0.16159999999999999</c:v>
                </c:pt>
                <c:pt idx="3">
                  <c:v>0.16159999999999999</c:v>
                </c:pt>
                <c:pt idx="4">
                  <c:v>0.16159999999999999</c:v>
                </c:pt>
                <c:pt idx="5">
                  <c:v>0.18015999999999999</c:v>
                </c:pt>
                <c:pt idx="6">
                  <c:v>0.20033999999999999</c:v>
                </c:pt>
                <c:pt idx="7">
                  <c:v>0.22217000000000001</c:v>
                </c:pt>
                <c:pt idx="8">
                  <c:v>0.23998</c:v>
                </c:pt>
                <c:pt idx="9">
                  <c:v>0.2737</c:v>
                </c:pt>
                <c:pt idx="10">
                  <c:v>0.29807</c:v>
                </c:pt>
                <c:pt idx="11">
                  <c:v>0.32072000000000001</c:v>
                </c:pt>
                <c:pt idx="12">
                  <c:v>0.3493</c:v>
                </c:pt>
                <c:pt idx="13">
                  <c:v>0.38927</c:v>
                </c:pt>
                <c:pt idx="14">
                  <c:v>0.43736999999999998</c:v>
                </c:pt>
                <c:pt idx="15">
                  <c:v>0.48743999999999998</c:v>
                </c:pt>
                <c:pt idx="16">
                  <c:v>0.53051000000000004</c:v>
                </c:pt>
                <c:pt idx="17">
                  <c:v>0.55903999999999998</c:v>
                </c:pt>
                <c:pt idx="18">
                  <c:v>0.57418999999999998</c:v>
                </c:pt>
                <c:pt idx="19">
                  <c:v>0.57916000000000001</c:v>
                </c:pt>
                <c:pt idx="20">
                  <c:v>0.57667999999999997</c:v>
                </c:pt>
                <c:pt idx="21">
                  <c:v>0.56906999999999996</c:v>
                </c:pt>
                <c:pt idx="22">
                  <c:v>0.55740999999999996</c:v>
                </c:pt>
                <c:pt idx="23">
                  <c:v>0.54266999999999999</c:v>
                </c:pt>
                <c:pt idx="24">
                  <c:v>0.52663000000000004</c:v>
                </c:pt>
                <c:pt idx="25">
                  <c:v>0.51095000000000002</c:v>
                </c:pt>
                <c:pt idx="26">
                  <c:v>0.49575000000000002</c:v>
                </c:pt>
                <c:pt idx="27">
                  <c:v>0.48059000000000002</c:v>
                </c:pt>
                <c:pt idx="28">
                  <c:v>0.46417999999999998</c:v>
                </c:pt>
                <c:pt idx="29">
                  <c:v>0.44544</c:v>
                </c:pt>
                <c:pt idx="30">
                  <c:v>0.42486000000000002</c:v>
                </c:pt>
                <c:pt idx="31">
                  <c:v>0.40322999999999998</c:v>
                </c:pt>
                <c:pt idx="32">
                  <c:v>0.38078000000000001</c:v>
                </c:pt>
                <c:pt idx="33">
                  <c:v>0.35769000000000001</c:v>
                </c:pt>
                <c:pt idx="34">
                  <c:v>0.33450999999999997</c:v>
                </c:pt>
                <c:pt idx="35">
                  <c:v>0.31157000000000001</c:v>
                </c:pt>
                <c:pt idx="36">
                  <c:v>0.28793999999999997</c:v>
                </c:pt>
                <c:pt idx="37">
                  <c:v>0.26280999999999999</c:v>
                </c:pt>
                <c:pt idx="38">
                  <c:v>0.23701</c:v>
                </c:pt>
                <c:pt idx="39">
                  <c:v>0.21187</c:v>
                </c:pt>
                <c:pt idx="40">
                  <c:v>0.18905</c:v>
                </c:pt>
                <c:pt idx="41">
                  <c:v>0.16994000000000001</c:v>
                </c:pt>
                <c:pt idx="42">
                  <c:v>0.15459000000000001</c:v>
                </c:pt>
                <c:pt idx="43">
                  <c:v>0.14279</c:v>
                </c:pt>
                <c:pt idx="44">
                  <c:v>0.13464000000000001</c:v>
                </c:pt>
                <c:pt idx="45">
                  <c:v>0.13012000000000001</c:v>
                </c:pt>
                <c:pt idx="46">
                  <c:v>0.12858</c:v>
                </c:pt>
                <c:pt idx="47">
                  <c:v>0.12914</c:v>
                </c:pt>
                <c:pt idx="48">
                  <c:v>0.13086</c:v>
                </c:pt>
                <c:pt idx="49">
                  <c:v>0.13275000000000001</c:v>
                </c:pt>
                <c:pt idx="50">
                  <c:v>0.13364000000000001</c:v>
                </c:pt>
                <c:pt idx="51">
                  <c:v>0.13270999999999999</c:v>
                </c:pt>
                <c:pt idx="52">
                  <c:v>0.13047</c:v>
                </c:pt>
                <c:pt idx="53">
                  <c:v>0.12776999999999999</c:v>
                </c:pt>
                <c:pt idx="54">
                  <c:v>0.1255</c:v>
                </c:pt>
                <c:pt idx="55">
                  <c:v>0.12447</c:v>
                </c:pt>
                <c:pt idx="56">
                  <c:v>0.12520000000000001</c:v>
                </c:pt>
                <c:pt idx="57">
                  <c:v>0.12806999999999999</c:v>
                </c:pt>
                <c:pt idx="58">
                  <c:v>0.13295000000000001</c:v>
                </c:pt>
                <c:pt idx="59">
                  <c:v>0.13949</c:v>
                </c:pt>
                <c:pt idx="60">
                  <c:v>0.14695</c:v>
                </c:pt>
                <c:pt idx="61">
                  <c:v>0.15462000000000001</c:v>
                </c:pt>
                <c:pt idx="62">
                  <c:v>0.16234000000000001</c:v>
                </c:pt>
                <c:pt idx="63">
                  <c:v>0.17088999999999999</c:v>
                </c:pt>
                <c:pt idx="64">
                  <c:v>0.18428</c:v>
                </c:pt>
                <c:pt idx="65">
                  <c:v>0.20616999999999999</c:v>
                </c:pt>
                <c:pt idx="66">
                  <c:v>0.23561000000000001</c:v>
                </c:pt>
                <c:pt idx="67">
                  <c:v>0.27055000000000001</c:v>
                </c:pt>
                <c:pt idx="68">
                  <c:v>0.30889</c:v>
                </c:pt>
                <c:pt idx="69">
                  <c:v>0.34889999999999999</c:v>
                </c:pt>
                <c:pt idx="70">
                  <c:v>0.39166000000000001</c:v>
                </c:pt>
                <c:pt idx="71">
                  <c:v>0.43614999999999998</c:v>
                </c:pt>
                <c:pt idx="72">
                  <c:v>0.48169000000000001</c:v>
                </c:pt>
                <c:pt idx="73">
                  <c:v>0.52754000000000001</c:v>
                </c:pt>
                <c:pt idx="74">
                  <c:v>0.57293000000000005</c:v>
                </c:pt>
                <c:pt idx="75">
                  <c:v>0.61712</c:v>
                </c:pt>
                <c:pt idx="76">
                  <c:v>0.65946000000000005</c:v>
                </c:pt>
                <c:pt idx="77">
                  <c:v>0.69940000000000002</c:v>
                </c:pt>
                <c:pt idx="78">
                  <c:v>0.73651999999999995</c:v>
                </c:pt>
                <c:pt idx="79">
                  <c:v>0.77056999999999998</c:v>
                </c:pt>
                <c:pt idx="80">
                  <c:v>0.8014</c:v>
                </c:pt>
                <c:pt idx="81">
                  <c:v>0.82899999999999996</c:v>
                </c:pt>
                <c:pt idx="82">
                  <c:v>0.85348000000000002</c:v>
                </c:pt>
                <c:pt idx="83">
                  <c:v>0.87497000000000003</c:v>
                </c:pt>
                <c:pt idx="84">
                  <c:v>0.89371</c:v>
                </c:pt>
                <c:pt idx="85">
                  <c:v>0.89371</c:v>
                </c:pt>
                <c:pt idx="86">
                  <c:v>0.89371</c:v>
                </c:pt>
                <c:pt idx="87">
                  <c:v>0.89371</c:v>
                </c:pt>
                <c:pt idx="88">
                  <c:v>0.89371</c:v>
                </c:pt>
                <c:pt idx="89">
                  <c:v>0.89371</c:v>
                </c:pt>
                <c:pt idx="90">
                  <c:v>0.89371</c:v>
                </c:pt>
                <c:pt idx="91">
                  <c:v>0.89371</c:v>
                </c:pt>
                <c:pt idx="92">
                  <c:v>0.89371</c:v>
                </c:pt>
                <c:pt idx="93">
                  <c:v>0.89371</c:v>
                </c:pt>
                <c:pt idx="94">
                  <c:v>0.89371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8-3FE4-445B-8EEB-D88489EA6296}"/>
            </c:ext>
          </c:extLst>
        </c:ser>
        <c:ser>
          <c:idx val="74"/>
          <c:order val="7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'99set'!$BX$10:$BX$104</c:f>
              <c:numCache>
                <c:formatCode>0.00000</c:formatCode>
                <c:ptCount val="95"/>
                <c:pt idx="0">
                  <c:v>3.388E-2</c:v>
                </c:pt>
                <c:pt idx="1">
                  <c:v>3.388E-2</c:v>
                </c:pt>
                <c:pt idx="2">
                  <c:v>3.388E-2</c:v>
                </c:pt>
                <c:pt idx="3">
                  <c:v>3.388E-2</c:v>
                </c:pt>
                <c:pt idx="4">
                  <c:v>3.388E-2</c:v>
                </c:pt>
                <c:pt idx="5">
                  <c:v>3.483E-2</c:v>
                </c:pt>
                <c:pt idx="6">
                  <c:v>3.5810000000000002E-2</c:v>
                </c:pt>
                <c:pt idx="7">
                  <c:v>3.6819999999999999E-2</c:v>
                </c:pt>
                <c:pt idx="8">
                  <c:v>3.7830000000000003E-2</c:v>
                </c:pt>
                <c:pt idx="9">
                  <c:v>3.8929999999999999E-2</c:v>
                </c:pt>
                <c:pt idx="10">
                  <c:v>4.0009999999999997E-2</c:v>
                </c:pt>
                <c:pt idx="11">
                  <c:v>4.1119999999999997E-2</c:v>
                </c:pt>
                <c:pt idx="12">
                  <c:v>4.2299999999999997E-2</c:v>
                </c:pt>
                <c:pt idx="13">
                  <c:v>4.36E-2</c:v>
                </c:pt>
                <c:pt idx="14">
                  <c:v>4.5080000000000002E-2</c:v>
                </c:pt>
                <c:pt idx="15">
                  <c:v>4.6780000000000002E-2</c:v>
                </c:pt>
                <c:pt idx="16">
                  <c:v>4.8849999999999998E-2</c:v>
                </c:pt>
                <c:pt idx="17">
                  <c:v>5.1330000000000001E-2</c:v>
                </c:pt>
                <c:pt idx="18">
                  <c:v>5.391E-2</c:v>
                </c:pt>
                <c:pt idx="19">
                  <c:v>5.6230000000000002E-2</c:v>
                </c:pt>
                <c:pt idx="20">
                  <c:v>5.7979999999999997E-2</c:v>
                </c:pt>
                <c:pt idx="21">
                  <c:v>5.8979999999999998E-2</c:v>
                </c:pt>
                <c:pt idx="22">
                  <c:v>5.9369999999999999E-2</c:v>
                </c:pt>
                <c:pt idx="23">
                  <c:v>5.9369999999999999E-2</c:v>
                </c:pt>
                <c:pt idx="24">
                  <c:v>5.9270000000000003E-2</c:v>
                </c:pt>
                <c:pt idx="25">
                  <c:v>5.9229999999999998E-2</c:v>
                </c:pt>
                <c:pt idx="26">
                  <c:v>5.8880000000000002E-2</c:v>
                </c:pt>
                <c:pt idx="27">
                  <c:v>5.7849999999999999E-2</c:v>
                </c:pt>
                <c:pt idx="28">
                  <c:v>5.629E-2</c:v>
                </c:pt>
                <c:pt idx="29">
                  <c:v>5.4480000000000001E-2</c:v>
                </c:pt>
                <c:pt idx="30">
                  <c:v>5.2819999999999999E-2</c:v>
                </c:pt>
                <c:pt idx="31">
                  <c:v>5.1639999999999998E-2</c:v>
                </c:pt>
                <c:pt idx="32">
                  <c:v>5.083E-2</c:v>
                </c:pt>
                <c:pt idx="33">
                  <c:v>5.0130000000000001E-2</c:v>
                </c:pt>
                <c:pt idx="34">
                  <c:v>4.9149999999999999E-2</c:v>
                </c:pt>
                <c:pt idx="35">
                  <c:v>4.7640000000000002E-2</c:v>
                </c:pt>
                <c:pt idx="36">
                  <c:v>4.5969999999999997E-2</c:v>
                </c:pt>
                <c:pt idx="37">
                  <c:v>4.4630000000000003E-2</c:v>
                </c:pt>
                <c:pt idx="38">
                  <c:v>4.3979999999999998E-2</c:v>
                </c:pt>
                <c:pt idx="39">
                  <c:v>4.4290000000000003E-2</c:v>
                </c:pt>
                <c:pt idx="40">
                  <c:v>4.5469999999999997E-2</c:v>
                </c:pt>
                <c:pt idx="41">
                  <c:v>4.7239999999999997E-2</c:v>
                </c:pt>
                <c:pt idx="42">
                  <c:v>4.8849999999999998E-2</c:v>
                </c:pt>
                <c:pt idx="43">
                  <c:v>4.9579999999999999E-2</c:v>
                </c:pt>
                <c:pt idx="44">
                  <c:v>4.9340000000000002E-2</c:v>
                </c:pt>
                <c:pt idx="45">
                  <c:v>4.829E-2</c:v>
                </c:pt>
                <c:pt idx="46">
                  <c:v>4.6859999999999999E-2</c:v>
                </c:pt>
                <c:pt idx="47">
                  <c:v>4.5510000000000002E-2</c:v>
                </c:pt>
                <c:pt idx="48">
                  <c:v>4.4479999999999999E-2</c:v>
                </c:pt>
                <c:pt idx="49">
                  <c:v>4.3929999999999997E-2</c:v>
                </c:pt>
                <c:pt idx="50">
                  <c:v>4.3779999999999999E-2</c:v>
                </c:pt>
                <c:pt idx="51">
                  <c:v>4.3900000000000002E-2</c:v>
                </c:pt>
                <c:pt idx="52">
                  <c:v>4.4080000000000001E-2</c:v>
                </c:pt>
                <c:pt idx="53">
                  <c:v>4.4200000000000003E-2</c:v>
                </c:pt>
                <c:pt idx="54">
                  <c:v>4.428E-2</c:v>
                </c:pt>
                <c:pt idx="55">
                  <c:v>4.4420000000000001E-2</c:v>
                </c:pt>
                <c:pt idx="56">
                  <c:v>4.478E-2</c:v>
                </c:pt>
                <c:pt idx="57">
                  <c:v>4.555E-2</c:v>
                </c:pt>
                <c:pt idx="58">
                  <c:v>4.7059999999999998E-2</c:v>
                </c:pt>
                <c:pt idx="59">
                  <c:v>4.965E-2</c:v>
                </c:pt>
                <c:pt idx="60">
                  <c:v>5.3510000000000002E-2</c:v>
                </c:pt>
                <c:pt idx="61">
                  <c:v>5.8900000000000001E-2</c:v>
                </c:pt>
                <c:pt idx="62">
                  <c:v>6.6420000000000007E-2</c:v>
                </c:pt>
                <c:pt idx="63">
                  <c:v>7.6759999999999995E-2</c:v>
                </c:pt>
                <c:pt idx="64">
                  <c:v>9.035E-2</c:v>
                </c:pt>
                <c:pt idx="65">
                  <c:v>0.10761999999999999</c:v>
                </c:pt>
                <c:pt idx="66">
                  <c:v>0.12906999999999999</c:v>
                </c:pt>
                <c:pt idx="67">
                  <c:v>0.15523999999999999</c:v>
                </c:pt>
                <c:pt idx="68">
                  <c:v>0.18665000000000001</c:v>
                </c:pt>
                <c:pt idx="69">
                  <c:v>0.22083</c:v>
                </c:pt>
                <c:pt idx="70">
                  <c:v>0.26012999999999997</c:v>
                </c:pt>
                <c:pt idx="71">
                  <c:v>0.30370999999999998</c:v>
                </c:pt>
                <c:pt idx="72">
                  <c:v>0.35110999999999998</c:v>
                </c:pt>
                <c:pt idx="73">
                  <c:v>0.40165000000000001</c:v>
                </c:pt>
                <c:pt idx="74">
                  <c:v>0.45437</c:v>
                </c:pt>
                <c:pt idx="75">
                  <c:v>0.50812999999999997</c:v>
                </c:pt>
                <c:pt idx="76">
                  <c:v>0.56171000000000004</c:v>
                </c:pt>
                <c:pt idx="77">
                  <c:v>0.61387999999999998</c:v>
                </c:pt>
                <c:pt idx="78">
                  <c:v>0.66356999999999999</c:v>
                </c:pt>
                <c:pt idx="79">
                  <c:v>0.70987999999999996</c:v>
                </c:pt>
                <c:pt idx="80">
                  <c:v>0.75219999999999998</c:v>
                </c:pt>
                <c:pt idx="81">
                  <c:v>0.79015999999999997</c:v>
                </c:pt>
                <c:pt idx="82">
                  <c:v>0.82367999999999997</c:v>
                </c:pt>
                <c:pt idx="83">
                  <c:v>0.85284000000000004</c:v>
                </c:pt>
                <c:pt idx="84">
                  <c:v>0.87788999999999995</c:v>
                </c:pt>
                <c:pt idx="85">
                  <c:v>0.87788999999999995</c:v>
                </c:pt>
                <c:pt idx="86">
                  <c:v>0.87788999999999995</c:v>
                </c:pt>
                <c:pt idx="87">
                  <c:v>0.87788999999999995</c:v>
                </c:pt>
                <c:pt idx="88">
                  <c:v>0.87788999999999995</c:v>
                </c:pt>
                <c:pt idx="89">
                  <c:v>0.87788999999999995</c:v>
                </c:pt>
                <c:pt idx="90">
                  <c:v>0.87788999999999995</c:v>
                </c:pt>
                <c:pt idx="91">
                  <c:v>0.87788999999999995</c:v>
                </c:pt>
                <c:pt idx="92">
                  <c:v>0.87788999999999995</c:v>
                </c:pt>
                <c:pt idx="93">
                  <c:v>0.87788999999999995</c:v>
                </c:pt>
                <c:pt idx="94">
                  <c:v>0.87788999999999995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9-3FE4-445B-8EEB-D88489EA6296}"/>
            </c:ext>
          </c:extLst>
        </c:ser>
        <c:ser>
          <c:idx val="75"/>
          <c:order val="7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'99set'!$BY$10:$BY$104</c:f>
              <c:numCache>
                <c:formatCode>0.00000</c:formatCode>
                <c:ptCount val="95"/>
                <c:pt idx="0">
                  <c:v>5.0900000000000001E-2</c:v>
                </c:pt>
                <c:pt idx="1">
                  <c:v>5.0900000000000001E-2</c:v>
                </c:pt>
                <c:pt idx="2">
                  <c:v>5.0900000000000001E-2</c:v>
                </c:pt>
                <c:pt idx="3">
                  <c:v>5.0900000000000001E-2</c:v>
                </c:pt>
                <c:pt idx="4">
                  <c:v>5.0900000000000001E-2</c:v>
                </c:pt>
                <c:pt idx="5">
                  <c:v>5.0900000000000001E-2</c:v>
                </c:pt>
                <c:pt idx="6">
                  <c:v>5.0900000000000001E-2</c:v>
                </c:pt>
                <c:pt idx="7">
                  <c:v>5.0900000000000001E-2</c:v>
                </c:pt>
                <c:pt idx="8">
                  <c:v>5.0900000000000001E-2</c:v>
                </c:pt>
                <c:pt idx="9">
                  <c:v>5.8659999999999997E-2</c:v>
                </c:pt>
                <c:pt idx="10">
                  <c:v>6.9099999999999995E-2</c:v>
                </c:pt>
                <c:pt idx="11">
                  <c:v>7.8149999999999997E-2</c:v>
                </c:pt>
                <c:pt idx="12">
                  <c:v>8.6699999999999999E-2</c:v>
                </c:pt>
                <c:pt idx="13">
                  <c:v>9.6500000000000002E-2</c:v>
                </c:pt>
                <c:pt idx="14">
                  <c:v>0.1076</c:v>
                </c:pt>
                <c:pt idx="15">
                  <c:v>0.11962</c:v>
                </c:pt>
                <c:pt idx="16">
                  <c:v>0.13220000000000001</c:v>
                </c:pt>
                <c:pt idx="17">
                  <c:v>0.14512</c:v>
                </c:pt>
                <c:pt idx="18">
                  <c:v>0.15870000000000001</c:v>
                </c:pt>
                <c:pt idx="19">
                  <c:v>0.17307</c:v>
                </c:pt>
                <c:pt idx="20">
                  <c:v>0.18690000000000001</c:v>
                </c:pt>
                <c:pt idx="21">
                  <c:v>0.19843</c:v>
                </c:pt>
                <c:pt idx="22">
                  <c:v>0.20549999999999999</c:v>
                </c:pt>
                <c:pt idx="23">
                  <c:v>0.20635999999999999</c:v>
                </c:pt>
                <c:pt idx="24">
                  <c:v>0.20119999999999999</c:v>
                </c:pt>
                <c:pt idx="25">
                  <c:v>0.19094</c:v>
                </c:pt>
                <c:pt idx="26">
                  <c:v>0.1774</c:v>
                </c:pt>
                <c:pt idx="27">
                  <c:v>0.16234000000000001</c:v>
                </c:pt>
                <c:pt idx="28">
                  <c:v>0.14649999999999999</c:v>
                </c:pt>
                <c:pt idx="29">
                  <c:v>0.13039999999999999</c:v>
                </c:pt>
                <c:pt idx="30">
                  <c:v>0.1148</c:v>
                </c:pt>
                <c:pt idx="31">
                  <c:v>0.10054</c:v>
                </c:pt>
                <c:pt idx="32">
                  <c:v>8.8599999999999998E-2</c:v>
                </c:pt>
                <c:pt idx="33">
                  <c:v>7.9729999999999995E-2</c:v>
                </c:pt>
                <c:pt idx="34">
                  <c:v>7.3599999999999999E-2</c:v>
                </c:pt>
                <c:pt idx="35">
                  <c:v>6.9470000000000004E-2</c:v>
                </c:pt>
                <c:pt idx="36">
                  <c:v>6.6000000000000003E-2</c:v>
                </c:pt>
                <c:pt idx="37">
                  <c:v>6.1969999999999997E-2</c:v>
                </c:pt>
                <c:pt idx="38">
                  <c:v>5.7200000000000001E-2</c:v>
                </c:pt>
                <c:pt idx="39">
                  <c:v>5.1880000000000003E-2</c:v>
                </c:pt>
                <c:pt idx="40">
                  <c:v>4.6699999999999998E-2</c:v>
                </c:pt>
                <c:pt idx="41">
                  <c:v>4.2549999999999998E-2</c:v>
                </c:pt>
                <c:pt idx="42">
                  <c:v>4.0500000000000001E-2</c:v>
                </c:pt>
                <c:pt idx="43">
                  <c:v>4.1450000000000001E-2</c:v>
                </c:pt>
                <c:pt idx="44">
                  <c:v>4.5400000000000003E-2</c:v>
                </c:pt>
                <c:pt idx="45">
                  <c:v>5.1560000000000002E-2</c:v>
                </c:pt>
                <c:pt idx="46">
                  <c:v>5.6800000000000003E-2</c:v>
                </c:pt>
                <c:pt idx="47">
                  <c:v>5.8229999999999997E-2</c:v>
                </c:pt>
                <c:pt idx="48">
                  <c:v>5.62E-2</c:v>
                </c:pt>
                <c:pt idx="49">
                  <c:v>5.1979999999999998E-2</c:v>
                </c:pt>
                <c:pt idx="50">
                  <c:v>4.7300000000000002E-2</c:v>
                </c:pt>
                <c:pt idx="51">
                  <c:v>4.369E-2</c:v>
                </c:pt>
                <c:pt idx="52">
                  <c:v>4.1300000000000003E-2</c:v>
                </c:pt>
                <c:pt idx="53">
                  <c:v>3.9969999999999999E-2</c:v>
                </c:pt>
                <c:pt idx="54">
                  <c:v>3.95E-2</c:v>
                </c:pt>
                <c:pt idx="55">
                  <c:v>3.9699999999999999E-2</c:v>
                </c:pt>
                <c:pt idx="56">
                  <c:v>4.0300000000000002E-2</c:v>
                </c:pt>
                <c:pt idx="57">
                  <c:v>4.1140000000000003E-2</c:v>
                </c:pt>
                <c:pt idx="58">
                  <c:v>4.2599999999999999E-2</c:v>
                </c:pt>
                <c:pt idx="59">
                  <c:v>4.5179999999999998E-2</c:v>
                </c:pt>
                <c:pt idx="60">
                  <c:v>4.9299999999999997E-2</c:v>
                </c:pt>
                <c:pt idx="61">
                  <c:v>5.525E-2</c:v>
                </c:pt>
                <c:pt idx="62">
                  <c:v>6.2700000000000006E-2</c:v>
                </c:pt>
                <c:pt idx="63">
                  <c:v>7.1160000000000001E-2</c:v>
                </c:pt>
                <c:pt idx="64">
                  <c:v>0.08</c:v>
                </c:pt>
                <c:pt idx="65">
                  <c:v>8.8849999999999998E-2</c:v>
                </c:pt>
                <c:pt idx="66">
                  <c:v>9.8400000000000001E-2</c:v>
                </c:pt>
                <c:pt idx="67">
                  <c:v>0.10867</c:v>
                </c:pt>
                <c:pt idx="68">
                  <c:v>0.11600000000000001</c:v>
                </c:pt>
                <c:pt idx="69">
                  <c:v>0.11600000000000001</c:v>
                </c:pt>
                <c:pt idx="70">
                  <c:v>0.11600000000000001</c:v>
                </c:pt>
                <c:pt idx="71">
                  <c:v>0.11600000000000001</c:v>
                </c:pt>
                <c:pt idx="72">
                  <c:v>0.11600000000000001</c:v>
                </c:pt>
                <c:pt idx="73">
                  <c:v>0.11600000000000001</c:v>
                </c:pt>
                <c:pt idx="74">
                  <c:v>0.11600000000000001</c:v>
                </c:pt>
                <c:pt idx="75">
                  <c:v>0.11600000000000001</c:v>
                </c:pt>
                <c:pt idx="76">
                  <c:v>0.11600000000000001</c:v>
                </c:pt>
                <c:pt idx="77">
                  <c:v>0.11600000000000001</c:v>
                </c:pt>
                <c:pt idx="78">
                  <c:v>0.11600000000000001</c:v>
                </c:pt>
                <c:pt idx="79">
                  <c:v>0.11600000000000001</c:v>
                </c:pt>
                <c:pt idx="80">
                  <c:v>0.11600000000000001</c:v>
                </c:pt>
                <c:pt idx="81">
                  <c:v>0.11600000000000001</c:v>
                </c:pt>
                <c:pt idx="82">
                  <c:v>0.11600000000000001</c:v>
                </c:pt>
                <c:pt idx="83">
                  <c:v>0.11600000000000001</c:v>
                </c:pt>
                <c:pt idx="84">
                  <c:v>0.11600000000000001</c:v>
                </c:pt>
                <c:pt idx="85">
                  <c:v>0.11600000000000001</c:v>
                </c:pt>
                <c:pt idx="86">
                  <c:v>0.11600000000000001</c:v>
                </c:pt>
                <c:pt idx="87">
                  <c:v>0.11600000000000001</c:v>
                </c:pt>
                <c:pt idx="88">
                  <c:v>0.11600000000000001</c:v>
                </c:pt>
                <c:pt idx="89">
                  <c:v>0.11600000000000001</c:v>
                </c:pt>
                <c:pt idx="90">
                  <c:v>0.11600000000000001</c:v>
                </c:pt>
                <c:pt idx="91">
                  <c:v>0.11600000000000001</c:v>
                </c:pt>
                <c:pt idx="92">
                  <c:v>0.11600000000000001</c:v>
                </c:pt>
                <c:pt idx="93">
                  <c:v>0.11600000000000001</c:v>
                </c:pt>
                <c:pt idx="94">
                  <c:v>0.11600000000000001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3FE4-445B-8EEB-D88489EA6296}"/>
            </c:ext>
          </c:extLst>
        </c:ser>
        <c:ser>
          <c:idx val="76"/>
          <c:order val="7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'99set'!$BZ$10:$BZ$104</c:f>
              <c:numCache>
                <c:formatCode>0.00000</c:formatCode>
                <c:ptCount val="95"/>
                <c:pt idx="0">
                  <c:v>0.28860000000000002</c:v>
                </c:pt>
                <c:pt idx="1">
                  <c:v>0.28860000000000002</c:v>
                </c:pt>
                <c:pt idx="2">
                  <c:v>0.28860000000000002</c:v>
                </c:pt>
                <c:pt idx="3">
                  <c:v>0.28860000000000002</c:v>
                </c:pt>
                <c:pt idx="4">
                  <c:v>0.28860000000000002</c:v>
                </c:pt>
                <c:pt idx="5">
                  <c:v>0.28860000000000002</c:v>
                </c:pt>
                <c:pt idx="6">
                  <c:v>0.28860000000000002</c:v>
                </c:pt>
                <c:pt idx="7">
                  <c:v>0.28860000000000002</c:v>
                </c:pt>
                <c:pt idx="8">
                  <c:v>0.28860000000000002</c:v>
                </c:pt>
                <c:pt idx="9">
                  <c:v>0.31111</c:v>
                </c:pt>
                <c:pt idx="10">
                  <c:v>0.33960000000000001</c:v>
                </c:pt>
                <c:pt idx="11">
                  <c:v>0.36065999999999998</c:v>
                </c:pt>
                <c:pt idx="12">
                  <c:v>0.37769999999999998</c:v>
                </c:pt>
                <c:pt idx="13">
                  <c:v>0.39674999999999999</c:v>
                </c:pt>
                <c:pt idx="14">
                  <c:v>0.41749999999999998</c:v>
                </c:pt>
                <c:pt idx="15">
                  <c:v>0.43808000000000002</c:v>
                </c:pt>
                <c:pt idx="16">
                  <c:v>0.45679999999999998</c:v>
                </c:pt>
                <c:pt idx="17">
                  <c:v>0.47192000000000001</c:v>
                </c:pt>
                <c:pt idx="18">
                  <c:v>0.48120000000000002</c:v>
                </c:pt>
                <c:pt idx="19">
                  <c:v>0.48293000000000003</c:v>
                </c:pt>
                <c:pt idx="20">
                  <c:v>0.47789999999999999</c:v>
                </c:pt>
                <c:pt idx="21">
                  <c:v>0.46766000000000002</c:v>
                </c:pt>
                <c:pt idx="22">
                  <c:v>0.45429999999999998</c:v>
                </c:pt>
                <c:pt idx="23">
                  <c:v>0.43958999999999998</c:v>
                </c:pt>
                <c:pt idx="24">
                  <c:v>0.42359999999999998</c:v>
                </c:pt>
                <c:pt idx="25">
                  <c:v>0.40603</c:v>
                </c:pt>
                <c:pt idx="26">
                  <c:v>0.38690000000000002</c:v>
                </c:pt>
                <c:pt idx="27">
                  <c:v>0.36620999999999998</c:v>
                </c:pt>
                <c:pt idx="28">
                  <c:v>0.34350000000000003</c:v>
                </c:pt>
                <c:pt idx="29">
                  <c:v>0.31847999999999999</c:v>
                </c:pt>
                <c:pt idx="30">
                  <c:v>0.29189999999999999</c:v>
                </c:pt>
                <c:pt idx="31">
                  <c:v>0.26502999999999999</c:v>
                </c:pt>
                <c:pt idx="32">
                  <c:v>0.2402</c:v>
                </c:pt>
                <c:pt idx="33">
                  <c:v>0.21929000000000001</c:v>
                </c:pt>
                <c:pt idx="34">
                  <c:v>0.20150000000000001</c:v>
                </c:pt>
                <c:pt idx="35">
                  <c:v>0.18521000000000001</c:v>
                </c:pt>
                <c:pt idx="36">
                  <c:v>0.16839999999999999</c:v>
                </c:pt>
                <c:pt idx="37">
                  <c:v>0.14935000000000001</c:v>
                </c:pt>
                <c:pt idx="38">
                  <c:v>0.128</c:v>
                </c:pt>
                <c:pt idx="39">
                  <c:v>0.10516</c:v>
                </c:pt>
                <c:pt idx="40">
                  <c:v>8.3400000000000002E-2</c:v>
                </c:pt>
                <c:pt idx="41">
                  <c:v>6.5629999999999994E-2</c:v>
                </c:pt>
                <c:pt idx="42">
                  <c:v>5.4199999999999998E-2</c:v>
                </c:pt>
                <c:pt idx="43">
                  <c:v>5.1040000000000002E-2</c:v>
                </c:pt>
                <c:pt idx="44">
                  <c:v>5.6800000000000003E-2</c:v>
                </c:pt>
                <c:pt idx="45">
                  <c:v>7.0680000000000007E-2</c:v>
                </c:pt>
                <c:pt idx="46">
                  <c:v>8.72E-2</c:v>
                </c:pt>
                <c:pt idx="47">
                  <c:v>0.10057000000000001</c:v>
                </c:pt>
                <c:pt idx="48">
                  <c:v>0.1085</c:v>
                </c:pt>
                <c:pt idx="49">
                  <c:v>0.11045000000000001</c:v>
                </c:pt>
                <c:pt idx="50">
                  <c:v>0.1094</c:v>
                </c:pt>
                <c:pt idx="51">
                  <c:v>0.10857</c:v>
                </c:pt>
                <c:pt idx="52">
                  <c:v>0.1087</c:v>
                </c:pt>
                <c:pt idx="53">
                  <c:v>0.10986</c:v>
                </c:pt>
                <c:pt idx="54">
                  <c:v>0.1119</c:v>
                </c:pt>
                <c:pt idx="55">
                  <c:v>0.11481</c:v>
                </c:pt>
                <c:pt idx="56">
                  <c:v>0.11940000000000001</c:v>
                </c:pt>
                <c:pt idx="57">
                  <c:v>0.12645999999999999</c:v>
                </c:pt>
                <c:pt idx="58">
                  <c:v>0.1358</c:v>
                </c:pt>
                <c:pt idx="59">
                  <c:v>0.14671999999999999</c:v>
                </c:pt>
                <c:pt idx="60">
                  <c:v>0.15740000000000001</c:v>
                </c:pt>
                <c:pt idx="61">
                  <c:v>0.16578999999999999</c:v>
                </c:pt>
                <c:pt idx="62">
                  <c:v>0.17019999999999999</c:v>
                </c:pt>
                <c:pt idx="63">
                  <c:v>0.16964000000000001</c:v>
                </c:pt>
                <c:pt idx="64">
                  <c:v>0.16569999999999999</c:v>
                </c:pt>
                <c:pt idx="65">
                  <c:v>0.15994</c:v>
                </c:pt>
                <c:pt idx="66">
                  <c:v>0.1512</c:v>
                </c:pt>
                <c:pt idx="67">
                  <c:v>0.13916999999999999</c:v>
                </c:pt>
                <c:pt idx="68">
                  <c:v>0.12970000000000001</c:v>
                </c:pt>
                <c:pt idx="69">
                  <c:v>0.12970000000000001</c:v>
                </c:pt>
                <c:pt idx="70">
                  <c:v>0.12970000000000001</c:v>
                </c:pt>
                <c:pt idx="71">
                  <c:v>0.12970000000000001</c:v>
                </c:pt>
                <c:pt idx="72">
                  <c:v>0.12970000000000001</c:v>
                </c:pt>
                <c:pt idx="73">
                  <c:v>0.12970000000000001</c:v>
                </c:pt>
                <c:pt idx="74">
                  <c:v>0.12970000000000001</c:v>
                </c:pt>
                <c:pt idx="75">
                  <c:v>0.12970000000000001</c:v>
                </c:pt>
                <c:pt idx="76">
                  <c:v>0.12970000000000001</c:v>
                </c:pt>
                <c:pt idx="77">
                  <c:v>0.12970000000000001</c:v>
                </c:pt>
                <c:pt idx="78">
                  <c:v>0.12970000000000001</c:v>
                </c:pt>
                <c:pt idx="79">
                  <c:v>0.12970000000000001</c:v>
                </c:pt>
                <c:pt idx="80">
                  <c:v>0.12970000000000001</c:v>
                </c:pt>
                <c:pt idx="81">
                  <c:v>0.12970000000000001</c:v>
                </c:pt>
                <c:pt idx="82">
                  <c:v>0.12970000000000001</c:v>
                </c:pt>
                <c:pt idx="83">
                  <c:v>0.12970000000000001</c:v>
                </c:pt>
                <c:pt idx="84">
                  <c:v>0.12970000000000001</c:v>
                </c:pt>
                <c:pt idx="85">
                  <c:v>0.12970000000000001</c:v>
                </c:pt>
                <c:pt idx="86">
                  <c:v>0.12970000000000001</c:v>
                </c:pt>
                <c:pt idx="87">
                  <c:v>0.12970000000000001</c:v>
                </c:pt>
                <c:pt idx="88">
                  <c:v>0.12970000000000001</c:v>
                </c:pt>
                <c:pt idx="89">
                  <c:v>0.12970000000000001</c:v>
                </c:pt>
                <c:pt idx="90">
                  <c:v>0.12970000000000001</c:v>
                </c:pt>
                <c:pt idx="91">
                  <c:v>0.12970000000000001</c:v>
                </c:pt>
                <c:pt idx="92">
                  <c:v>0.12970000000000001</c:v>
                </c:pt>
                <c:pt idx="93">
                  <c:v>0.12970000000000001</c:v>
                </c:pt>
                <c:pt idx="94">
                  <c:v>0.12970000000000001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3FE4-445B-8EEB-D88489EA6296}"/>
            </c:ext>
          </c:extLst>
        </c:ser>
        <c:ser>
          <c:idx val="77"/>
          <c:order val="7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'99set'!$CA$10:$CA$104</c:f>
              <c:numCache>
                <c:formatCode>0.00000</c:formatCode>
                <c:ptCount val="95"/>
                <c:pt idx="0">
                  <c:v>2.8049999999999999E-2</c:v>
                </c:pt>
                <c:pt idx="1">
                  <c:v>2.8049999999999999E-2</c:v>
                </c:pt>
                <c:pt idx="2">
                  <c:v>2.8049999999999999E-2</c:v>
                </c:pt>
                <c:pt idx="3">
                  <c:v>2.8049999999999999E-2</c:v>
                </c:pt>
                <c:pt idx="4">
                  <c:v>2.8049999999999999E-2</c:v>
                </c:pt>
                <c:pt idx="5">
                  <c:v>3.5369999999999999E-2</c:v>
                </c:pt>
                <c:pt idx="6">
                  <c:v>5.4219999999999997E-2</c:v>
                </c:pt>
                <c:pt idx="7">
                  <c:v>7.8299999999999995E-2</c:v>
                </c:pt>
                <c:pt idx="8">
                  <c:v>0.10593</c:v>
                </c:pt>
                <c:pt idx="9">
                  <c:v>0.13045999999999999</c:v>
                </c:pt>
                <c:pt idx="10">
                  <c:v>0.15590999999999999</c:v>
                </c:pt>
                <c:pt idx="11">
                  <c:v>0.18140000000000001</c:v>
                </c:pt>
                <c:pt idx="12">
                  <c:v>0.20585999999999999</c:v>
                </c:pt>
                <c:pt idx="13">
                  <c:v>0.22735</c:v>
                </c:pt>
                <c:pt idx="14">
                  <c:v>0.24648999999999999</c:v>
                </c:pt>
                <c:pt idx="15">
                  <c:v>0.26234000000000002</c:v>
                </c:pt>
                <c:pt idx="16">
                  <c:v>0.27424999999999999</c:v>
                </c:pt>
                <c:pt idx="17">
                  <c:v>0.28312999999999999</c:v>
                </c:pt>
                <c:pt idx="18">
                  <c:v>0.29061999999999999</c:v>
                </c:pt>
                <c:pt idx="19">
                  <c:v>0.29480000000000001</c:v>
                </c:pt>
                <c:pt idx="20">
                  <c:v>0.29516999999999999</c:v>
                </c:pt>
                <c:pt idx="21">
                  <c:v>0.29326999999999998</c:v>
                </c:pt>
                <c:pt idx="22">
                  <c:v>0.28875000000000001</c:v>
                </c:pt>
                <c:pt idx="23">
                  <c:v>0.28176000000000001</c:v>
                </c:pt>
                <c:pt idx="24">
                  <c:v>0.27334000000000003</c:v>
                </c:pt>
                <c:pt idx="25">
                  <c:v>0.26346000000000003</c:v>
                </c:pt>
                <c:pt idx="26">
                  <c:v>0.25141000000000002</c:v>
                </c:pt>
                <c:pt idx="27">
                  <c:v>0.23809</c:v>
                </c:pt>
                <c:pt idx="28">
                  <c:v>0.22534999999999999</c:v>
                </c:pt>
                <c:pt idx="29">
                  <c:v>0.21296999999999999</c:v>
                </c:pt>
                <c:pt idx="30">
                  <c:v>0.20097999999999999</c:v>
                </c:pt>
                <c:pt idx="31">
                  <c:v>0.18934000000000001</c:v>
                </c:pt>
                <c:pt idx="32">
                  <c:v>0.17749999999999999</c:v>
                </c:pt>
                <c:pt idx="33">
                  <c:v>0.16597999999999999</c:v>
                </c:pt>
                <c:pt idx="34">
                  <c:v>0.15478</c:v>
                </c:pt>
                <c:pt idx="35">
                  <c:v>0.14463999999999999</c:v>
                </c:pt>
                <c:pt idx="36">
                  <c:v>0.13533999999999999</c:v>
                </c:pt>
                <c:pt idx="37">
                  <c:v>0.12631999999999999</c:v>
                </c:pt>
                <c:pt idx="38">
                  <c:v>0.11734</c:v>
                </c:pt>
                <c:pt idx="39">
                  <c:v>0.1087</c:v>
                </c:pt>
                <c:pt idx="40">
                  <c:v>0.10113</c:v>
                </c:pt>
                <c:pt idx="41">
                  <c:v>9.4909999999999994E-2</c:v>
                </c:pt>
                <c:pt idx="42">
                  <c:v>8.967E-2</c:v>
                </c:pt>
                <c:pt idx="43">
                  <c:v>8.5260000000000002E-2</c:v>
                </c:pt>
                <c:pt idx="44">
                  <c:v>8.1689999999999999E-2</c:v>
                </c:pt>
                <c:pt idx="45">
                  <c:v>7.9140000000000002E-2</c:v>
                </c:pt>
                <c:pt idx="46">
                  <c:v>7.7640000000000001E-2</c:v>
                </c:pt>
                <c:pt idx="47">
                  <c:v>7.707E-2</c:v>
                </c:pt>
                <c:pt idx="48">
                  <c:v>7.7299999999999994E-2</c:v>
                </c:pt>
                <c:pt idx="49">
                  <c:v>7.825E-2</c:v>
                </c:pt>
                <c:pt idx="50">
                  <c:v>8.0229999999999996E-2</c:v>
                </c:pt>
                <c:pt idx="51">
                  <c:v>8.3570000000000005E-2</c:v>
                </c:pt>
                <c:pt idx="52">
                  <c:v>8.8859999999999995E-2</c:v>
                </c:pt>
                <c:pt idx="53">
                  <c:v>9.6809999999999993E-2</c:v>
                </c:pt>
                <c:pt idx="54">
                  <c:v>0.10784000000000001</c:v>
                </c:pt>
                <c:pt idx="55">
                  <c:v>0.12216</c:v>
                </c:pt>
                <c:pt idx="56">
                  <c:v>0.13991999999999999</c:v>
                </c:pt>
                <c:pt idx="57">
                  <c:v>0.16133</c:v>
                </c:pt>
                <c:pt idx="58">
                  <c:v>0.18573999999999999</c:v>
                </c:pt>
                <c:pt idx="59">
                  <c:v>0.21193000000000001</c:v>
                </c:pt>
                <c:pt idx="60">
                  <c:v>0.23877000000000001</c:v>
                </c:pt>
                <c:pt idx="61">
                  <c:v>0.26495999999999997</c:v>
                </c:pt>
                <c:pt idx="62">
                  <c:v>0.28852</c:v>
                </c:pt>
                <c:pt idx="63">
                  <c:v>0.30736999999999998</c:v>
                </c:pt>
                <c:pt idx="64">
                  <c:v>0.32249</c:v>
                </c:pt>
                <c:pt idx="65">
                  <c:v>0.33246999999999999</c:v>
                </c:pt>
                <c:pt idx="66">
                  <c:v>0.33782000000000001</c:v>
                </c:pt>
                <c:pt idx="67">
                  <c:v>0.33896999999999999</c:v>
                </c:pt>
                <c:pt idx="68">
                  <c:v>0.33667000000000002</c:v>
                </c:pt>
                <c:pt idx="69">
                  <c:v>0.33133000000000001</c:v>
                </c:pt>
                <c:pt idx="70">
                  <c:v>0.32424999999999998</c:v>
                </c:pt>
                <c:pt idx="71">
                  <c:v>0.31788</c:v>
                </c:pt>
                <c:pt idx="72">
                  <c:v>0.31164999999999998</c:v>
                </c:pt>
                <c:pt idx="73">
                  <c:v>0.30493999999999999</c:v>
                </c:pt>
                <c:pt idx="74">
                  <c:v>0.29854000000000003</c:v>
                </c:pt>
                <c:pt idx="75">
                  <c:v>0.29221999999999998</c:v>
                </c:pt>
                <c:pt idx="76">
                  <c:v>0.28597</c:v>
                </c:pt>
                <c:pt idx="77">
                  <c:v>0.27981</c:v>
                </c:pt>
                <c:pt idx="78">
                  <c:v>0.27372999999999997</c:v>
                </c:pt>
                <c:pt idx="79">
                  <c:v>0.26773999999999998</c:v>
                </c:pt>
                <c:pt idx="80">
                  <c:v>0.26182</c:v>
                </c:pt>
                <c:pt idx="81">
                  <c:v>0.25589000000000001</c:v>
                </c:pt>
                <c:pt idx="82">
                  <c:v>0.25007000000000001</c:v>
                </c:pt>
                <c:pt idx="83">
                  <c:v>0.24437</c:v>
                </c:pt>
                <c:pt idx="84">
                  <c:v>0.23877999999999999</c:v>
                </c:pt>
                <c:pt idx="85">
                  <c:v>0.23877999999999999</c:v>
                </c:pt>
                <c:pt idx="86">
                  <c:v>0.23877999999999999</c:v>
                </c:pt>
                <c:pt idx="87">
                  <c:v>0.23877999999999999</c:v>
                </c:pt>
                <c:pt idx="88">
                  <c:v>0.23877999999999999</c:v>
                </c:pt>
                <c:pt idx="89">
                  <c:v>0.23877999999999999</c:v>
                </c:pt>
                <c:pt idx="90">
                  <c:v>0.23877999999999999</c:v>
                </c:pt>
                <c:pt idx="91">
                  <c:v>0.23877999999999999</c:v>
                </c:pt>
                <c:pt idx="92">
                  <c:v>0.23877999999999999</c:v>
                </c:pt>
                <c:pt idx="93">
                  <c:v>0.23877999999999999</c:v>
                </c:pt>
                <c:pt idx="94">
                  <c:v>0.23877999999999999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C-3FE4-445B-8EEB-D88489EA6296}"/>
            </c:ext>
          </c:extLst>
        </c:ser>
        <c:ser>
          <c:idx val="78"/>
          <c:order val="7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'99set'!$CB$10:$CB$104</c:f>
              <c:numCache>
                <c:formatCode>0.00000</c:formatCode>
                <c:ptCount val="95"/>
                <c:pt idx="0">
                  <c:v>0.12947</c:v>
                </c:pt>
                <c:pt idx="1">
                  <c:v>0.12947</c:v>
                </c:pt>
                <c:pt idx="2">
                  <c:v>0.12947</c:v>
                </c:pt>
                <c:pt idx="3">
                  <c:v>0.12947</c:v>
                </c:pt>
                <c:pt idx="4">
                  <c:v>0.12947</c:v>
                </c:pt>
                <c:pt idx="5">
                  <c:v>0.14166999999999999</c:v>
                </c:pt>
                <c:pt idx="6">
                  <c:v>0.15481</c:v>
                </c:pt>
                <c:pt idx="7">
                  <c:v>0.16893</c:v>
                </c:pt>
                <c:pt idx="8">
                  <c:v>0.1812</c:v>
                </c:pt>
                <c:pt idx="9">
                  <c:v>0.20172000000000001</c:v>
                </c:pt>
                <c:pt idx="10">
                  <c:v>0.21754000000000001</c:v>
                </c:pt>
                <c:pt idx="11">
                  <c:v>0.23408000000000001</c:v>
                </c:pt>
                <c:pt idx="12">
                  <c:v>0.25675999999999999</c:v>
                </c:pt>
                <c:pt idx="13">
                  <c:v>0.28939999999999999</c:v>
                </c:pt>
                <c:pt idx="14">
                  <c:v>0.32944000000000001</c:v>
                </c:pt>
                <c:pt idx="15">
                  <c:v>0.37206</c:v>
                </c:pt>
                <c:pt idx="16">
                  <c:v>0.40977000000000002</c:v>
                </c:pt>
                <c:pt idx="17">
                  <c:v>0.43567</c:v>
                </c:pt>
                <c:pt idx="18">
                  <c:v>0.44790000000000002</c:v>
                </c:pt>
                <c:pt idx="19">
                  <c:v>0.44653999999999999</c:v>
                </c:pt>
                <c:pt idx="20">
                  <c:v>0.43439</c:v>
                </c:pt>
                <c:pt idx="21">
                  <c:v>0.41471999999999998</c:v>
                </c:pt>
                <c:pt idx="22">
                  <c:v>0.39001000000000002</c:v>
                </c:pt>
                <c:pt idx="23">
                  <c:v>0.36264999999999997</c:v>
                </c:pt>
                <c:pt idx="24">
                  <c:v>0.33550000000000002</c:v>
                </c:pt>
                <c:pt idx="25">
                  <c:v>0.31098999999999999</c:v>
                </c:pt>
                <c:pt idx="26">
                  <c:v>0.28943000000000002</c:v>
                </c:pt>
                <c:pt idx="27">
                  <c:v>0.27027000000000001</c:v>
                </c:pt>
                <c:pt idx="28">
                  <c:v>0.25169999999999998</c:v>
                </c:pt>
                <c:pt idx="29">
                  <c:v>0.23219000000000001</c:v>
                </c:pt>
                <c:pt idx="30">
                  <c:v>0.21257999999999999</c:v>
                </c:pt>
                <c:pt idx="31">
                  <c:v>0.19420999999999999</c:v>
                </c:pt>
                <c:pt idx="32">
                  <c:v>0.17802999999999999</c:v>
                </c:pt>
                <c:pt idx="33">
                  <c:v>0.16458</c:v>
                </c:pt>
                <c:pt idx="34">
                  <c:v>0.15329999999999999</c:v>
                </c:pt>
                <c:pt idx="35">
                  <c:v>0.14323</c:v>
                </c:pt>
                <c:pt idx="36">
                  <c:v>0.13285</c:v>
                </c:pt>
                <c:pt idx="37">
                  <c:v>0.12098</c:v>
                </c:pt>
                <c:pt idx="38">
                  <c:v>0.10823000000000001</c:v>
                </c:pt>
                <c:pt idx="39">
                  <c:v>9.5699999999999993E-2</c:v>
                </c:pt>
                <c:pt idx="40">
                  <c:v>8.4690000000000001E-2</c:v>
                </c:pt>
                <c:pt idx="41">
                  <c:v>7.6329999999999995E-2</c:v>
                </c:pt>
                <c:pt idx="42">
                  <c:v>7.0690000000000003E-2</c:v>
                </c:pt>
                <c:pt idx="43">
                  <c:v>6.7659999999999998E-2</c:v>
                </c:pt>
                <c:pt idx="44">
                  <c:v>6.7220000000000002E-2</c:v>
                </c:pt>
                <c:pt idx="45">
                  <c:v>6.9320000000000007E-2</c:v>
                </c:pt>
                <c:pt idx="46">
                  <c:v>7.3480000000000004E-2</c:v>
                </c:pt>
                <c:pt idx="47">
                  <c:v>7.9000000000000001E-2</c:v>
                </c:pt>
                <c:pt idx="48">
                  <c:v>8.4790000000000004E-2</c:v>
                </c:pt>
                <c:pt idx="49">
                  <c:v>8.9660000000000004E-2</c:v>
                </c:pt>
                <c:pt idx="50">
                  <c:v>9.2539999999999997E-2</c:v>
                </c:pt>
                <c:pt idx="51">
                  <c:v>9.2740000000000003E-2</c:v>
                </c:pt>
                <c:pt idx="52">
                  <c:v>9.0950000000000003E-2</c:v>
                </c:pt>
                <c:pt idx="53">
                  <c:v>8.8200000000000001E-2</c:v>
                </c:pt>
                <c:pt idx="54">
                  <c:v>8.5589999999999999E-2</c:v>
                </c:pt>
                <c:pt idx="55">
                  <c:v>8.4150000000000003E-2</c:v>
                </c:pt>
                <c:pt idx="56">
                  <c:v>8.4500000000000006E-2</c:v>
                </c:pt>
                <c:pt idx="57">
                  <c:v>8.7010000000000004E-2</c:v>
                </c:pt>
                <c:pt idx="58">
                  <c:v>9.1550000000000006E-2</c:v>
                </c:pt>
                <c:pt idx="59">
                  <c:v>9.7739999999999994E-2</c:v>
                </c:pt>
                <c:pt idx="60">
                  <c:v>0.10495</c:v>
                </c:pt>
                <c:pt idx="61">
                  <c:v>0.11255999999999999</c:v>
                </c:pt>
                <c:pt idx="62">
                  <c:v>0.12024</c:v>
                </c:pt>
                <c:pt idx="63">
                  <c:v>0.1285</c:v>
                </c:pt>
                <c:pt idx="64">
                  <c:v>0.14079</c:v>
                </c:pt>
                <c:pt idx="65">
                  <c:v>0.16039</c:v>
                </c:pt>
                <c:pt idx="66">
                  <c:v>0.18676000000000001</c:v>
                </c:pt>
                <c:pt idx="67">
                  <c:v>0.21842</c:v>
                </c:pt>
                <c:pt idx="68">
                  <c:v>0.25387999999999999</c:v>
                </c:pt>
                <c:pt idx="69">
                  <c:v>0.29220000000000002</c:v>
                </c:pt>
                <c:pt idx="70">
                  <c:v>0.33405000000000001</c:v>
                </c:pt>
                <c:pt idx="71">
                  <c:v>0.37868000000000002</c:v>
                </c:pt>
                <c:pt idx="72">
                  <c:v>0.42547000000000001</c:v>
                </c:pt>
                <c:pt idx="73">
                  <c:v>0.47364000000000001</c:v>
                </c:pt>
                <c:pt idx="74">
                  <c:v>0.52229999999999999</c:v>
                </c:pt>
                <c:pt idx="75">
                  <c:v>0.57054000000000005</c:v>
                </c:pt>
                <c:pt idx="76">
                  <c:v>0.61746999999999996</c:v>
                </c:pt>
                <c:pt idx="77">
                  <c:v>0.66232000000000002</c:v>
                </c:pt>
                <c:pt idx="78">
                  <c:v>0.70442000000000005</c:v>
                </c:pt>
                <c:pt idx="79">
                  <c:v>0.74331000000000003</c:v>
                </c:pt>
                <c:pt idx="80">
                  <c:v>0.77868999999999999</c:v>
                </c:pt>
                <c:pt idx="81">
                  <c:v>0.81042999999999998</c:v>
                </c:pt>
                <c:pt idx="82">
                  <c:v>0.83857000000000004</c:v>
                </c:pt>
                <c:pt idx="83">
                  <c:v>0.86323000000000005</c:v>
                </c:pt>
                <c:pt idx="84">
                  <c:v>0.88465000000000005</c:v>
                </c:pt>
                <c:pt idx="85">
                  <c:v>0.88465000000000005</c:v>
                </c:pt>
                <c:pt idx="86">
                  <c:v>0.88465000000000005</c:v>
                </c:pt>
                <c:pt idx="87">
                  <c:v>0.88465000000000005</c:v>
                </c:pt>
                <c:pt idx="88">
                  <c:v>0.88465000000000005</c:v>
                </c:pt>
                <c:pt idx="89">
                  <c:v>0.88465000000000005</c:v>
                </c:pt>
                <c:pt idx="90">
                  <c:v>0.88465000000000005</c:v>
                </c:pt>
                <c:pt idx="91">
                  <c:v>0.88465000000000005</c:v>
                </c:pt>
                <c:pt idx="92">
                  <c:v>0.88465000000000005</c:v>
                </c:pt>
                <c:pt idx="93">
                  <c:v>0.88465000000000005</c:v>
                </c:pt>
                <c:pt idx="94">
                  <c:v>0.88465000000000005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D-3FE4-445B-8EEB-D88489EA6296}"/>
            </c:ext>
          </c:extLst>
        </c:ser>
        <c:ser>
          <c:idx val="79"/>
          <c:order val="7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'99set'!$CC$10:$CC$104</c:f>
              <c:numCache>
                <c:formatCode>0.00000</c:formatCode>
                <c:ptCount val="95"/>
                <c:pt idx="0">
                  <c:v>0.56749000000000005</c:v>
                </c:pt>
                <c:pt idx="1">
                  <c:v>0.56749000000000005</c:v>
                </c:pt>
                <c:pt idx="2">
                  <c:v>0.56749000000000005</c:v>
                </c:pt>
                <c:pt idx="3">
                  <c:v>0.56749000000000005</c:v>
                </c:pt>
                <c:pt idx="4">
                  <c:v>0.56749000000000005</c:v>
                </c:pt>
                <c:pt idx="5">
                  <c:v>0.57857000000000003</c:v>
                </c:pt>
                <c:pt idx="6">
                  <c:v>0.58955999999999997</c:v>
                </c:pt>
                <c:pt idx="7">
                  <c:v>0.60045999999999999</c:v>
                </c:pt>
                <c:pt idx="8">
                  <c:v>0.60662000000000005</c:v>
                </c:pt>
                <c:pt idx="9">
                  <c:v>0.62422</c:v>
                </c:pt>
                <c:pt idx="10">
                  <c:v>0.63353000000000004</c:v>
                </c:pt>
                <c:pt idx="11">
                  <c:v>0.63805000000000001</c:v>
                </c:pt>
                <c:pt idx="12">
                  <c:v>0.64127000000000001</c:v>
                </c:pt>
                <c:pt idx="13">
                  <c:v>0.64576</c:v>
                </c:pt>
                <c:pt idx="14">
                  <c:v>0.65031000000000005</c:v>
                </c:pt>
                <c:pt idx="15">
                  <c:v>0.65295000000000003</c:v>
                </c:pt>
                <c:pt idx="16">
                  <c:v>0.65239000000000003</c:v>
                </c:pt>
                <c:pt idx="17">
                  <c:v>0.64837</c:v>
                </c:pt>
                <c:pt idx="18">
                  <c:v>0.64415</c:v>
                </c:pt>
                <c:pt idx="19">
                  <c:v>0.64297000000000004</c:v>
                </c:pt>
                <c:pt idx="20">
                  <c:v>0.64444999999999997</c:v>
                </c:pt>
                <c:pt idx="21">
                  <c:v>0.64683999999999997</c:v>
                </c:pt>
                <c:pt idx="22">
                  <c:v>0.64673000000000003</c:v>
                </c:pt>
                <c:pt idx="23">
                  <c:v>0.64119000000000004</c:v>
                </c:pt>
                <c:pt idx="24">
                  <c:v>0.63104000000000005</c:v>
                </c:pt>
                <c:pt idx="25">
                  <c:v>0.61778</c:v>
                </c:pt>
                <c:pt idx="26">
                  <c:v>0.60175999999999996</c:v>
                </c:pt>
                <c:pt idx="27">
                  <c:v>0.58330000000000004</c:v>
                </c:pt>
                <c:pt idx="28">
                  <c:v>0.56372999999999995</c:v>
                </c:pt>
                <c:pt idx="29">
                  <c:v>0.54442999999999997</c:v>
                </c:pt>
                <c:pt idx="30">
                  <c:v>0.52600000000000002</c:v>
                </c:pt>
                <c:pt idx="31">
                  <c:v>0.50863000000000003</c:v>
                </c:pt>
                <c:pt idx="32">
                  <c:v>0.49145</c:v>
                </c:pt>
                <c:pt idx="33">
                  <c:v>0.47370000000000001</c:v>
                </c:pt>
                <c:pt idx="34">
                  <c:v>0.45601000000000003</c:v>
                </c:pt>
                <c:pt idx="35">
                  <c:v>0.43928</c:v>
                </c:pt>
                <c:pt idx="36">
                  <c:v>0.42403999999999997</c:v>
                </c:pt>
                <c:pt idx="37">
                  <c:v>0.41066000000000003</c:v>
                </c:pt>
                <c:pt idx="38">
                  <c:v>0.39922000000000002</c:v>
                </c:pt>
                <c:pt idx="39">
                  <c:v>0.38961000000000001</c:v>
                </c:pt>
                <c:pt idx="40">
                  <c:v>0.38145000000000001</c:v>
                </c:pt>
                <c:pt idx="41">
                  <c:v>0.37419999999999998</c:v>
                </c:pt>
                <c:pt idx="42">
                  <c:v>0.36714999999999998</c:v>
                </c:pt>
                <c:pt idx="43">
                  <c:v>0.35994999999999999</c:v>
                </c:pt>
                <c:pt idx="44">
                  <c:v>0.35393999999999998</c:v>
                </c:pt>
                <c:pt idx="45">
                  <c:v>0.35060000000000002</c:v>
                </c:pt>
                <c:pt idx="46">
                  <c:v>0.35016999999999998</c:v>
                </c:pt>
                <c:pt idx="47">
                  <c:v>0.35247000000000001</c:v>
                </c:pt>
                <c:pt idx="48">
                  <c:v>0.35671999999999998</c:v>
                </c:pt>
                <c:pt idx="49">
                  <c:v>0.36207</c:v>
                </c:pt>
                <c:pt idx="50">
                  <c:v>0.36793999999999999</c:v>
                </c:pt>
                <c:pt idx="51">
                  <c:v>0.37408000000000002</c:v>
                </c:pt>
                <c:pt idx="52">
                  <c:v>0.38114999999999999</c:v>
                </c:pt>
                <c:pt idx="53">
                  <c:v>0.39034999999999997</c:v>
                </c:pt>
                <c:pt idx="54">
                  <c:v>0.40398000000000001</c:v>
                </c:pt>
                <c:pt idx="55">
                  <c:v>0.42415000000000003</c:v>
                </c:pt>
                <c:pt idx="56">
                  <c:v>0.45113999999999999</c:v>
                </c:pt>
                <c:pt idx="57">
                  <c:v>0.48459999999999998</c:v>
                </c:pt>
                <c:pt idx="58">
                  <c:v>0.52342</c:v>
                </c:pt>
                <c:pt idx="59">
                  <c:v>0.56583000000000006</c:v>
                </c:pt>
                <c:pt idx="60">
                  <c:v>0.60811000000000004</c:v>
                </c:pt>
                <c:pt idx="61">
                  <c:v>0.64649999999999996</c:v>
                </c:pt>
                <c:pt idx="62">
                  <c:v>0.67910000000000004</c:v>
                </c:pt>
                <c:pt idx="63">
                  <c:v>0.70496000000000003</c:v>
                </c:pt>
                <c:pt idx="64">
                  <c:v>0.72516000000000003</c:v>
                </c:pt>
                <c:pt idx="65">
                  <c:v>0.74134</c:v>
                </c:pt>
                <c:pt idx="66">
                  <c:v>0.75524999999999998</c:v>
                </c:pt>
                <c:pt idx="67">
                  <c:v>0.76868000000000003</c:v>
                </c:pt>
                <c:pt idx="68">
                  <c:v>0.78344000000000003</c:v>
                </c:pt>
                <c:pt idx="69">
                  <c:v>0.79525000000000001</c:v>
                </c:pt>
                <c:pt idx="70">
                  <c:v>0.80745</c:v>
                </c:pt>
                <c:pt idx="71">
                  <c:v>0.81908000000000003</c:v>
                </c:pt>
                <c:pt idx="72">
                  <c:v>0.83016000000000001</c:v>
                </c:pt>
                <c:pt idx="73">
                  <c:v>0.84069000000000005</c:v>
                </c:pt>
                <c:pt idx="74">
                  <c:v>0.85068999999999995</c:v>
                </c:pt>
                <c:pt idx="75">
                  <c:v>0.86016000000000004</c:v>
                </c:pt>
                <c:pt idx="76">
                  <c:v>0.86912999999999996</c:v>
                </c:pt>
                <c:pt idx="77">
                  <c:v>0.87760000000000005</c:v>
                </c:pt>
                <c:pt idx="78">
                  <c:v>0.88558999999999999</c:v>
                </c:pt>
                <c:pt idx="79">
                  <c:v>0.89312999999999998</c:v>
                </c:pt>
                <c:pt idx="80">
                  <c:v>0.90022999999999997</c:v>
                </c:pt>
                <c:pt idx="81">
                  <c:v>0.90690000000000004</c:v>
                </c:pt>
                <c:pt idx="82">
                  <c:v>0.91317000000000004</c:v>
                </c:pt>
                <c:pt idx="83">
                  <c:v>0.91905999999999999</c:v>
                </c:pt>
                <c:pt idx="84">
                  <c:v>0.92457999999999996</c:v>
                </c:pt>
                <c:pt idx="85">
                  <c:v>0.92457999999999996</c:v>
                </c:pt>
                <c:pt idx="86">
                  <c:v>0.92457999999999996</c:v>
                </c:pt>
                <c:pt idx="87">
                  <c:v>0.92457999999999996</c:v>
                </c:pt>
                <c:pt idx="88">
                  <c:v>0.92457999999999996</c:v>
                </c:pt>
                <c:pt idx="89">
                  <c:v>0.92457999999999996</c:v>
                </c:pt>
                <c:pt idx="90">
                  <c:v>0.92457999999999996</c:v>
                </c:pt>
                <c:pt idx="91">
                  <c:v>0.92457999999999996</c:v>
                </c:pt>
                <c:pt idx="92">
                  <c:v>0.92457999999999996</c:v>
                </c:pt>
                <c:pt idx="93">
                  <c:v>0.92457999999999996</c:v>
                </c:pt>
                <c:pt idx="94">
                  <c:v>0.92457999999999996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E-3FE4-445B-8EEB-D88489EA6296}"/>
            </c:ext>
          </c:extLst>
        </c:ser>
        <c:ser>
          <c:idx val="80"/>
          <c:order val="7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'99set'!$CD$10:$CD$104</c:f>
              <c:numCache>
                <c:formatCode>0.00000</c:formatCode>
                <c:ptCount val="95"/>
                <c:pt idx="0">
                  <c:v>0.31684000000000001</c:v>
                </c:pt>
                <c:pt idx="1">
                  <c:v>0.31684000000000001</c:v>
                </c:pt>
                <c:pt idx="2">
                  <c:v>0.31684000000000001</c:v>
                </c:pt>
                <c:pt idx="3">
                  <c:v>0.31684000000000001</c:v>
                </c:pt>
                <c:pt idx="4">
                  <c:v>0.31684000000000001</c:v>
                </c:pt>
                <c:pt idx="5">
                  <c:v>0.34433000000000002</c:v>
                </c:pt>
                <c:pt idx="6">
                  <c:v>0.36971999999999999</c:v>
                </c:pt>
                <c:pt idx="7">
                  <c:v>0.39599000000000001</c:v>
                </c:pt>
                <c:pt idx="8">
                  <c:v>0.42314000000000002</c:v>
                </c:pt>
                <c:pt idx="9">
                  <c:v>0.45024999999999998</c:v>
                </c:pt>
                <c:pt idx="10">
                  <c:v>0.47575000000000001</c:v>
                </c:pt>
                <c:pt idx="11">
                  <c:v>0.49823000000000001</c:v>
                </c:pt>
                <c:pt idx="12">
                  <c:v>0.51751000000000003</c:v>
                </c:pt>
                <c:pt idx="13">
                  <c:v>0.53376999999999997</c:v>
                </c:pt>
                <c:pt idx="14">
                  <c:v>0.54732999999999998</c:v>
                </c:pt>
                <c:pt idx="15">
                  <c:v>0.55847000000000002</c:v>
                </c:pt>
                <c:pt idx="16">
                  <c:v>0.56720000000000004</c:v>
                </c:pt>
                <c:pt idx="17">
                  <c:v>0.57340000000000002</c:v>
                </c:pt>
                <c:pt idx="18">
                  <c:v>0.57682999999999995</c:v>
                </c:pt>
                <c:pt idx="19">
                  <c:v>0.57723000000000002</c:v>
                </c:pt>
                <c:pt idx="20">
                  <c:v>0.57440999999999998</c:v>
                </c:pt>
                <c:pt idx="21">
                  <c:v>0.56815000000000004</c:v>
                </c:pt>
                <c:pt idx="22">
                  <c:v>0.55801000000000001</c:v>
                </c:pt>
                <c:pt idx="23">
                  <c:v>0.54359999999999997</c:v>
                </c:pt>
                <c:pt idx="24">
                  <c:v>0.52497000000000005</c:v>
                </c:pt>
                <c:pt idx="25">
                  <c:v>0.50256000000000001</c:v>
                </c:pt>
                <c:pt idx="26">
                  <c:v>0.4778</c:v>
                </c:pt>
                <c:pt idx="27">
                  <c:v>0.45229000000000003</c:v>
                </c:pt>
                <c:pt idx="28">
                  <c:v>0.42720000000000002</c:v>
                </c:pt>
                <c:pt idx="29">
                  <c:v>0.40344000000000002</c:v>
                </c:pt>
                <c:pt idx="30">
                  <c:v>0.38140000000000002</c:v>
                </c:pt>
                <c:pt idx="31">
                  <c:v>0.36126999999999998</c:v>
                </c:pt>
                <c:pt idx="32">
                  <c:v>0.34288999999999997</c:v>
                </c:pt>
                <c:pt idx="33">
                  <c:v>0.32612000000000002</c:v>
                </c:pt>
                <c:pt idx="34">
                  <c:v>0.31137999999999999</c:v>
                </c:pt>
                <c:pt idx="35">
                  <c:v>0.29903000000000002</c:v>
                </c:pt>
                <c:pt idx="36">
                  <c:v>0.28877000000000003</c:v>
                </c:pt>
                <c:pt idx="37">
                  <c:v>0.28021000000000001</c:v>
                </c:pt>
                <c:pt idx="38">
                  <c:v>0.27333000000000002</c:v>
                </c:pt>
                <c:pt idx="39">
                  <c:v>0.26819999999999999</c:v>
                </c:pt>
                <c:pt idx="40">
                  <c:v>0.26479000000000003</c:v>
                </c:pt>
                <c:pt idx="41">
                  <c:v>0.26307000000000003</c:v>
                </c:pt>
                <c:pt idx="42">
                  <c:v>0.26304</c:v>
                </c:pt>
                <c:pt idx="43">
                  <c:v>0.26462000000000002</c:v>
                </c:pt>
                <c:pt idx="44">
                  <c:v>0.26728000000000002</c:v>
                </c:pt>
                <c:pt idx="45">
                  <c:v>0.27051999999999998</c:v>
                </c:pt>
                <c:pt idx="46">
                  <c:v>0.27437</c:v>
                </c:pt>
                <c:pt idx="47">
                  <c:v>0.27889999999999998</c:v>
                </c:pt>
                <c:pt idx="48">
                  <c:v>0.28389999999999999</c:v>
                </c:pt>
                <c:pt idx="49">
                  <c:v>0.28921000000000002</c:v>
                </c:pt>
                <c:pt idx="50">
                  <c:v>0.29508000000000001</c:v>
                </c:pt>
                <c:pt idx="51">
                  <c:v>0.30177999999999999</c:v>
                </c:pt>
                <c:pt idx="52">
                  <c:v>0.30937999999999999</c:v>
                </c:pt>
                <c:pt idx="53">
                  <c:v>0.31796000000000002</c:v>
                </c:pt>
                <c:pt idx="54">
                  <c:v>0.32801999999999998</c:v>
                </c:pt>
                <c:pt idx="55">
                  <c:v>0.34004000000000001</c:v>
                </c:pt>
                <c:pt idx="56">
                  <c:v>0.35415999999999997</c:v>
                </c:pt>
                <c:pt idx="57">
                  <c:v>0.37047999999999998</c:v>
                </c:pt>
                <c:pt idx="58">
                  <c:v>0.38943</c:v>
                </c:pt>
                <c:pt idx="59">
                  <c:v>0.41132999999999997</c:v>
                </c:pt>
                <c:pt idx="60">
                  <c:v>0.43586000000000003</c:v>
                </c:pt>
                <c:pt idx="61">
                  <c:v>0.46260000000000001</c:v>
                </c:pt>
                <c:pt idx="62">
                  <c:v>0.49134</c:v>
                </c:pt>
                <c:pt idx="63">
                  <c:v>0.52195999999999998</c:v>
                </c:pt>
                <c:pt idx="64">
                  <c:v>0.55435000000000001</c:v>
                </c:pt>
                <c:pt idx="65">
                  <c:v>0.58814999999999995</c:v>
                </c:pt>
                <c:pt idx="66">
                  <c:v>0.62190999999999996</c:v>
                </c:pt>
                <c:pt idx="67">
                  <c:v>0.65419000000000005</c:v>
                </c:pt>
                <c:pt idx="68">
                  <c:v>0.68462999999999996</c:v>
                </c:pt>
                <c:pt idx="69">
                  <c:v>0.71299000000000001</c:v>
                </c:pt>
                <c:pt idx="70">
                  <c:v>0.73843000000000003</c:v>
                </c:pt>
                <c:pt idx="71">
                  <c:v>0.76029000000000002</c:v>
                </c:pt>
                <c:pt idx="72">
                  <c:v>0.77927000000000002</c:v>
                </c:pt>
                <c:pt idx="73">
                  <c:v>0.79615000000000002</c:v>
                </c:pt>
                <c:pt idx="74">
                  <c:v>0.81061000000000005</c:v>
                </c:pt>
                <c:pt idx="75">
                  <c:v>0.82240999999999997</c:v>
                </c:pt>
                <c:pt idx="76">
                  <c:v>0.83267000000000002</c:v>
                </c:pt>
                <c:pt idx="77">
                  <c:v>0.84211000000000003</c:v>
                </c:pt>
                <c:pt idx="78">
                  <c:v>0.84838999999999998</c:v>
                </c:pt>
                <c:pt idx="79">
                  <c:v>0.84957000000000005</c:v>
                </c:pt>
                <c:pt idx="80">
                  <c:v>0.84838999999999998</c:v>
                </c:pt>
                <c:pt idx="81">
                  <c:v>0.84799999999999998</c:v>
                </c:pt>
                <c:pt idx="82">
                  <c:v>0.84838999999999998</c:v>
                </c:pt>
                <c:pt idx="83">
                  <c:v>0.84877999999999998</c:v>
                </c:pt>
                <c:pt idx="84">
                  <c:v>0.84838999999999998</c:v>
                </c:pt>
                <c:pt idx="85">
                  <c:v>0.84838999999999998</c:v>
                </c:pt>
                <c:pt idx="86">
                  <c:v>0.84838999999999998</c:v>
                </c:pt>
                <c:pt idx="87">
                  <c:v>0.84838999999999998</c:v>
                </c:pt>
                <c:pt idx="88">
                  <c:v>0.84838999999999998</c:v>
                </c:pt>
                <c:pt idx="89">
                  <c:v>0.84838999999999998</c:v>
                </c:pt>
                <c:pt idx="90">
                  <c:v>0.84838999999999998</c:v>
                </c:pt>
                <c:pt idx="91">
                  <c:v>0.84838999999999998</c:v>
                </c:pt>
                <c:pt idx="92">
                  <c:v>0.84838999999999998</c:v>
                </c:pt>
                <c:pt idx="93">
                  <c:v>0.84838999999999998</c:v>
                </c:pt>
                <c:pt idx="94">
                  <c:v>0.84838999999999998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F-3FE4-445B-8EEB-D88489EA6296}"/>
            </c:ext>
          </c:extLst>
        </c:ser>
        <c:ser>
          <c:idx val="81"/>
          <c:order val="8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'99set'!$CE$10:$CE$104</c:f>
              <c:numCache>
                <c:formatCode>0.00000</c:formatCode>
                <c:ptCount val="95"/>
                <c:pt idx="0">
                  <c:v>0.12067</c:v>
                </c:pt>
                <c:pt idx="1">
                  <c:v>0.12067</c:v>
                </c:pt>
                <c:pt idx="2">
                  <c:v>0.12067</c:v>
                </c:pt>
                <c:pt idx="3">
                  <c:v>0.12067</c:v>
                </c:pt>
                <c:pt idx="4">
                  <c:v>0.12067</c:v>
                </c:pt>
                <c:pt idx="5">
                  <c:v>0.17602000000000001</c:v>
                </c:pt>
                <c:pt idx="6">
                  <c:v>0.23297999999999999</c:v>
                </c:pt>
                <c:pt idx="7">
                  <c:v>0.27446999999999999</c:v>
                </c:pt>
                <c:pt idx="8">
                  <c:v>0.30442000000000002</c:v>
                </c:pt>
                <c:pt idx="9">
                  <c:v>0.32357000000000002</c:v>
                </c:pt>
                <c:pt idx="10">
                  <c:v>0.33682000000000001</c:v>
                </c:pt>
                <c:pt idx="11">
                  <c:v>0.34500999999999998</c:v>
                </c:pt>
                <c:pt idx="12">
                  <c:v>0.34762999999999999</c:v>
                </c:pt>
                <c:pt idx="13">
                  <c:v>0.35069</c:v>
                </c:pt>
                <c:pt idx="14">
                  <c:v>0.35499999999999998</c:v>
                </c:pt>
                <c:pt idx="15">
                  <c:v>0.35271000000000002</c:v>
                </c:pt>
                <c:pt idx="16">
                  <c:v>0.34519</c:v>
                </c:pt>
                <c:pt idx="17">
                  <c:v>0.33814</c:v>
                </c:pt>
                <c:pt idx="18">
                  <c:v>0.33334999999999998</c:v>
                </c:pt>
                <c:pt idx="19">
                  <c:v>0.32584999999999997</c:v>
                </c:pt>
                <c:pt idx="20">
                  <c:v>0.31342999999999999</c:v>
                </c:pt>
                <c:pt idx="21">
                  <c:v>0.30296000000000001</c:v>
                </c:pt>
                <c:pt idx="22">
                  <c:v>0.29343000000000002</c:v>
                </c:pt>
                <c:pt idx="23">
                  <c:v>0.27906999999999998</c:v>
                </c:pt>
                <c:pt idx="24">
                  <c:v>0.26179000000000002</c:v>
                </c:pt>
                <c:pt idx="25">
                  <c:v>0.24643999999999999</c:v>
                </c:pt>
                <c:pt idx="26">
                  <c:v>0.23007</c:v>
                </c:pt>
                <c:pt idx="27">
                  <c:v>0.21651999999999999</c:v>
                </c:pt>
                <c:pt idx="28">
                  <c:v>0.20355999999999999</c:v>
                </c:pt>
                <c:pt idx="29">
                  <c:v>0.18994</c:v>
                </c:pt>
                <c:pt idx="30">
                  <c:v>0.17480999999999999</c:v>
                </c:pt>
                <c:pt idx="31">
                  <c:v>0.15837999999999999</c:v>
                </c:pt>
                <c:pt idx="32">
                  <c:v>0.14046</c:v>
                </c:pt>
                <c:pt idx="33">
                  <c:v>0.12315</c:v>
                </c:pt>
                <c:pt idx="34">
                  <c:v>0.11069</c:v>
                </c:pt>
                <c:pt idx="35">
                  <c:v>0.10618</c:v>
                </c:pt>
                <c:pt idx="36">
                  <c:v>0.1031</c:v>
                </c:pt>
                <c:pt idx="37">
                  <c:v>9.9970000000000003E-2</c:v>
                </c:pt>
                <c:pt idx="38">
                  <c:v>9.7489999999999993E-2</c:v>
                </c:pt>
                <c:pt idx="39">
                  <c:v>9.1209999999999999E-2</c:v>
                </c:pt>
                <c:pt idx="40">
                  <c:v>8.2110000000000002E-2</c:v>
                </c:pt>
                <c:pt idx="41">
                  <c:v>7.4399999999999994E-2</c:v>
                </c:pt>
                <c:pt idx="42">
                  <c:v>6.7989999999999995E-2</c:v>
                </c:pt>
                <c:pt idx="43">
                  <c:v>6.7379999999999995E-2</c:v>
                </c:pt>
                <c:pt idx="44">
                  <c:v>7.1709999999999996E-2</c:v>
                </c:pt>
                <c:pt idx="45">
                  <c:v>8.1240000000000007E-2</c:v>
                </c:pt>
                <c:pt idx="46">
                  <c:v>9.0240000000000001E-2</c:v>
                </c:pt>
                <c:pt idx="47">
                  <c:v>9.6299999999999997E-2</c:v>
                </c:pt>
                <c:pt idx="48">
                  <c:v>0.10233</c:v>
                </c:pt>
                <c:pt idx="49">
                  <c:v>0.10517</c:v>
                </c:pt>
                <c:pt idx="50">
                  <c:v>0.10009999999999999</c:v>
                </c:pt>
                <c:pt idx="51">
                  <c:v>9.536E-2</c:v>
                </c:pt>
                <c:pt idx="52">
                  <c:v>9.9779999999999994E-2</c:v>
                </c:pt>
                <c:pt idx="53">
                  <c:v>0.11368</c:v>
                </c:pt>
                <c:pt idx="54">
                  <c:v>0.13297</c:v>
                </c:pt>
                <c:pt idx="55">
                  <c:v>0.16167000000000001</c:v>
                </c:pt>
                <c:pt idx="56">
                  <c:v>0.19616</c:v>
                </c:pt>
                <c:pt idx="57">
                  <c:v>0.23898</c:v>
                </c:pt>
                <c:pt idx="58">
                  <c:v>0.29172999999999999</c:v>
                </c:pt>
                <c:pt idx="59">
                  <c:v>0.34344999999999998</c:v>
                </c:pt>
                <c:pt idx="60">
                  <c:v>0.37835000000000002</c:v>
                </c:pt>
                <c:pt idx="61">
                  <c:v>0.40403</c:v>
                </c:pt>
                <c:pt idx="62">
                  <c:v>0.42471999999999999</c:v>
                </c:pt>
                <c:pt idx="63">
                  <c:v>0.436</c:v>
                </c:pt>
                <c:pt idx="64">
                  <c:v>0.44674000000000003</c:v>
                </c:pt>
                <c:pt idx="65">
                  <c:v>0.45590999999999998</c:v>
                </c:pt>
                <c:pt idx="66">
                  <c:v>0.46076</c:v>
                </c:pt>
                <c:pt idx="67">
                  <c:v>0.46165</c:v>
                </c:pt>
                <c:pt idx="68">
                  <c:v>0.46531</c:v>
                </c:pt>
                <c:pt idx="69">
                  <c:v>0.47144999999999998</c:v>
                </c:pt>
                <c:pt idx="70">
                  <c:v>0.47513</c:v>
                </c:pt>
                <c:pt idx="71">
                  <c:v>0.47881000000000001</c:v>
                </c:pt>
                <c:pt idx="72">
                  <c:v>0.48249999999999998</c:v>
                </c:pt>
                <c:pt idx="73">
                  <c:v>0.48618</c:v>
                </c:pt>
                <c:pt idx="74">
                  <c:v>0.48987000000000003</c:v>
                </c:pt>
                <c:pt idx="75">
                  <c:v>0.49356</c:v>
                </c:pt>
                <c:pt idx="76">
                  <c:v>0.49725000000000003</c:v>
                </c:pt>
                <c:pt idx="77">
                  <c:v>0.50094000000000005</c:v>
                </c:pt>
                <c:pt idx="78">
                  <c:v>0.50463000000000002</c:v>
                </c:pt>
                <c:pt idx="79">
                  <c:v>0.50831999999999999</c:v>
                </c:pt>
                <c:pt idx="80">
                  <c:v>0.51200999999999997</c:v>
                </c:pt>
                <c:pt idx="81">
                  <c:v>0.51570000000000005</c:v>
                </c:pt>
                <c:pt idx="82">
                  <c:v>0.51937999999999995</c:v>
                </c:pt>
                <c:pt idx="83">
                  <c:v>0.52307000000000003</c:v>
                </c:pt>
                <c:pt idx="84">
                  <c:v>0.52675000000000005</c:v>
                </c:pt>
                <c:pt idx="85">
                  <c:v>0.52675000000000005</c:v>
                </c:pt>
                <c:pt idx="86">
                  <c:v>0.52675000000000005</c:v>
                </c:pt>
                <c:pt idx="87">
                  <c:v>0.52675000000000005</c:v>
                </c:pt>
                <c:pt idx="88">
                  <c:v>0.52675000000000005</c:v>
                </c:pt>
                <c:pt idx="89">
                  <c:v>0.52675000000000005</c:v>
                </c:pt>
                <c:pt idx="90">
                  <c:v>0.52675000000000005</c:v>
                </c:pt>
                <c:pt idx="91">
                  <c:v>0.52675000000000005</c:v>
                </c:pt>
                <c:pt idx="92">
                  <c:v>0.52675000000000005</c:v>
                </c:pt>
                <c:pt idx="93">
                  <c:v>0.52675000000000005</c:v>
                </c:pt>
                <c:pt idx="94">
                  <c:v>0.52675000000000005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0-3FE4-445B-8EEB-D88489EA6296}"/>
            </c:ext>
          </c:extLst>
        </c:ser>
        <c:ser>
          <c:idx val="82"/>
          <c:order val="8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'99set'!$CF$10:$CF$104</c:f>
              <c:numCache>
                <c:formatCode>0.00000</c:formatCode>
                <c:ptCount val="95"/>
                <c:pt idx="0">
                  <c:v>0.73650000000000004</c:v>
                </c:pt>
                <c:pt idx="1">
                  <c:v>0.73650000000000004</c:v>
                </c:pt>
                <c:pt idx="2">
                  <c:v>0.73650000000000004</c:v>
                </c:pt>
                <c:pt idx="3">
                  <c:v>0.73650000000000004</c:v>
                </c:pt>
                <c:pt idx="4">
                  <c:v>0.73650000000000004</c:v>
                </c:pt>
                <c:pt idx="5">
                  <c:v>0.73650000000000004</c:v>
                </c:pt>
                <c:pt idx="6">
                  <c:v>0.73650000000000004</c:v>
                </c:pt>
                <c:pt idx="7">
                  <c:v>0.73650000000000004</c:v>
                </c:pt>
                <c:pt idx="8">
                  <c:v>0.73650000000000004</c:v>
                </c:pt>
                <c:pt idx="9">
                  <c:v>0.74377000000000004</c:v>
                </c:pt>
                <c:pt idx="10">
                  <c:v>0.75319999999999998</c:v>
                </c:pt>
                <c:pt idx="11">
                  <c:v>0.76058999999999999</c:v>
                </c:pt>
                <c:pt idx="12">
                  <c:v>0.76659999999999995</c:v>
                </c:pt>
                <c:pt idx="13">
                  <c:v>0.77259</c:v>
                </c:pt>
                <c:pt idx="14">
                  <c:v>0.77790000000000004</c:v>
                </c:pt>
                <c:pt idx="15">
                  <c:v>0.78171000000000002</c:v>
                </c:pt>
                <c:pt idx="16">
                  <c:v>0.78449999999999998</c:v>
                </c:pt>
                <c:pt idx="17">
                  <c:v>0.78681999999999996</c:v>
                </c:pt>
                <c:pt idx="18">
                  <c:v>0.78820000000000001</c:v>
                </c:pt>
                <c:pt idx="19">
                  <c:v>0.78803999999999996</c:v>
                </c:pt>
                <c:pt idx="20">
                  <c:v>0.78620000000000001</c:v>
                </c:pt>
                <c:pt idx="21">
                  <c:v>0.78261000000000003</c:v>
                </c:pt>
                <c:pt idx="22">
                  <c:v>0.77710000000000001</c:v>
                </c:pt>
                <c:pt idx="23">
                  <c:v>0.76963999999999999</c:v>
                </c:pt>
                <c:pt idx="24">
                  <c:v>0.76100000000000001</c:v>
                </c:pt>
                <c:pt idx="25">
                  <c:v>0.75185999999999997</c:v>
                </c:pt>
                <c:pt idx="26">
                  <c:v>0.74180000000000001</c:v>
                </c:pt>
                <c:pt idx="27">
                  <c:v>0.73043999999999998</c:v>
                </c:pt>
                <c:pt idx="28">
                  <c:v>0.71879999999999999</c:v>
                </c:pt>
                <c:pt idx="29">
                  <c:v>0.70796000000000003</c:v>
                </c:pt>
                <c:pt idx="30">
                  <c:v>0.69789999999999996</c:v>
                </c:pt>
                <c:pt idx="31">
                  <c:v>0.68833999999999995</c:v>
                </c:pt>
                <c:pt idx="32">
                  <c:v>0.67900000000000005</c:v>
                </c:pt>
                <c:pt idx="33">
                  <c:v>0.66979999999999995</c:v>
                </c:pt>
                <c:pt idx="34">
                  <c:v>0.66149999999999998</c:v>
                </c:pt>
                <c:pt idx="35">
                  <c:v>0.65483999999999998</c:v>
                </c:pt>
                <c:pt idx="36">
                  <c:v>0.64970000000000006</c:v>
                </c:pt>
                <c:pt idx="37">
                  <c:v>0.64587000000000006</c:v>
                </c:pt>
                <c:pt idx="38">
                  <c:v>0.64380000000000004</c:v>
                </c:pt>
                <c:pt idx="39">
                  <c:v>0.64380999999999999</c:v>
                </c:pt>
                <c:pt idx="40">
                  <c:v>0.64510000000000001</c:v>
                </c:pt>
                <c:pt idx="41">
                  <c:v>0.64673999999999998</c:v>
                </c:pt>
                <c:pt idx="42">
                  <c:v>0.64829999999999999</c:v>
                </c:pt>
                <c:pt idx="43">
                  <c:v>0.64956000000000003</c:v>
                </c:pt>
                <c:pt idx="44">
                  <c:v>0.65069999999999995</c:v>
                </c:pt>
                <c:pt idx="45">
                  <c:v>0.65200000000000002</c:v>
                </c:pt>
                <c:pt idx="46">
                  <c:v>0.65380000000000005</c:v>
                </c:pt>
                <c:pt idx="47">
                  <c:v>0.65629000000000004</c:v>
                </c:pt>
                <c:pt idx="48">
                  <c:v>0.65910000000000002</c:v>
                </c:pt>
                <c:pt idx="49">
                  <c:v>0.66176999999999997</c:v>
                </c:pt>
                <c:pt idx="50">
                  <c:v>0.66390000000000005</c:v>
                </c:pt>
                <c:pt idx="51">
                  <c:v>0.66527999999999998</c:v>
                </c:pt>
                <c:pt idx="52">
                  <c:v>0.6663</c:v>
                </c:pt>
                <c:pt idx="53">
                  <c:v>0.66737000000000002</c:v>
                </c:pt>
                <c:pt idx="54">
                  <c:v>0.66839999999999999</c:v>
                </c:pt>
                <c:pt idx="55">
                  <c:v>0.66966000000000003</c:v>
                </c:pt>
                <c:pt idx="56">
                  <c:v>0.67349999999999999</c:v>
                </c:pt>
                <c:pt idx="57">
                  <c:v>0.68201000000000001</c:v>
                </c:pt>
                <c:pt idx="58">
                  <c:v>0.69420000000000004</c:v>
                </c:pt>
                <c:pt idx="59">
                  <c:v>0.70870999999999995</c:v>
                </c:pt>
                <c:pt idx="60">
                  <c:v>0.7258</c:v>
                </c:pt>
                <c:pt idx="61">
                  <c:v>0.74587999999999999</c:v>
                </c:pt>
                <c:pt idx="62">
                  <c:v>0.76839999999999997</c:v>
                </c:pt>
                <c:pt idx="63">
                  <c:v>0.79213</c:v>
                </c:pt>
                <c:pt idx="64">
                  <c:v>0.81420000000000003</c:v>
                </c:pt>
                <c:pt idx="65">
                  <c:v>0.83252999999999999</c:v>
                </c:pt>
                <c:pt idx="66">
                  <c:v>0.84989999999999999</c:v>
                </c:pt>
                <c:pt idx="67">
                  <c:v>0.86826000000000003</c:v>
                </c:pt>
                <c:pt idx="68">
                  <c:v>0.88139999999999996</c:v>
                </c:pt>
                <c:pt idx="69">
                  <c:v>0.88139999999999996</c:v>
                </c:pt>
                <c:pt idx="70">
                  <c:v>0.88139999999999996</c:v>
                </c:pt>
                <c:pt idx="71">
                  <c:v>0.88139999999999996</c:v>
                </c:pt>
                <c:pt idx="72">
                  <c:v>0.88139999999999996</c:v>
                </c:pt>
                <c:pt idx="73">
                  <c:v>0.88139999999999996</c:v>
                </c:pt>
                <c:pt idx="74">
                  <c:v>0.88139999999999996</c:v>
                </c:pt>
                <c:pt idx="75">
                  <c:v>0.88139999999999996</c:v>
                </c:pt>
                <c:pt idx="76">
                  <c:v>0.88139999999999996</c:v>
                </c:pt>
                <c:pt idx="77">
                  <c:v>0.88139999999999996</c:v>
                </c:pt>
                <c:pt idx="78">
                  <c:v>0.88139999999999996</c:v>
                </c:pt>
                <c:pt idx="79">
                  <c:v>0.88139999999999996</c:v>
                </c:pt>
                <c:pt idx="80">
                  <c:v>0.88139999999999996</c:v>
                </c:pt>
                <c:pt idx="81">
                  <c:v>0.88139999999999996</c:v>
                </c:pt>
                <c:pt idx="82">
                  <c:v>0.88139999999999996</c:v>
                </c:pt>
                <c:pt idx="83">
                  <c:v>0.88139999999999996</c:v>
                </c:pt>
                <c:pt idx="84">
                  <c:v>0.88139999999999996</c:v>
                </c:pt>
                <c:pt idx="85">
                  <c:v>0.88139999999999996</c:v>
                </c:pt>
                <c:pt idx="86">
                  <c:v>0.88139999999999996</c:v>
                </c:pt>
                <c:pt idx="87">
                  <c:v>0.88139999999999996</c:v>
                </c:pt>
                <c:pt idx="88">
                  <c:v>0.88139999999999996</c:v>
                </c:pt>
                <c:pt idx="89">
                  <c:v>0.88139999999999996</c:v>
                </c:pt>
                <c:pt idx="90">
                  <c:v>0.88139999999999996</c:v>
                </c:pt>
                <c:pt idx="91">
                  <c:v>0.88139999999999996</c:v>
                </c:pt>
                <c:pt idx="92">
                  <c:v>0.88139999999999996</c:v>
                </c:pt>
                <c:pt idx="93">
                  <c:v>0.88139999999999996</c:v>
                </c:pt>
                <c:pt idx="94">
                  <c:v>0.88139999999999996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1-3FE4-445B-8EEB-D88489EA6296}"/>
            </c:ext>
          </c:extLst>
        </c:ser>
        <c:ser>
          <c:idx val="83"/>
          <c:order val="8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'99set'!$CG$10:$CG$104</c:f>
              <c:numCache>
                <c:formatCode>0.00000</c:formatCode>
                <c:ptCount val="95"/>
                <c:pt idx="0">
                  <c:v>0.59570000000000001</c:v>
                </c:pt>
                <c:pt idx="1">
                  <c:v>0.59570000000000001</c:v>
                </c:pt>
                <c:pt idx="2">
                  <c:v>0.59570000000000001</c:v>
                </c:pt>
                <c:pt idx="3">
                  <c:v>0.59570000000000001</c:v>
                </c:pt>
                <c:pt idx="4">
                  <c:v>0.59570000000000001</c:v>
                </c:pt>
                <c:pt idx="5">
                  <c:v>0.59570000000000001</c:v>
                </c:pt>
                <c:pt idx="6">
                  <c:v>0.59570000000000001</c:v>
                </c:pt>
                <c:pt idx="7">
                  <c:v>0.59570000000000001</c:v>
                </c:pt>
                <c:pt idx="8">
                  <c:v>0.59570000000000001</c:v>
                </c:pt>
                <c:pt idx="9">
                  <c:v>0.60396000000000005</c:v>
                </c:pt>
                <c:pt idx="10">
                  <c:v>0.61319999999999997</c:v>
                </c:pt>
                <c:pt idx="11">
                  <c:v>0.61738999999999999</c:v>
                </c:pt>
                <c:pt idx="12">
                  <c:v>0.61799999999999999</c:v>
                </c:pt>
                <c:pt idx="13">
                  <c:v>0.61761999999999995</c:v>
                </c:pt>
                <c:pt idx="14">
                  <c:v>0.6159</c:v>
                </c:pt>
                <c:pt idx="15">
                  <c:v>0.61212999999999995</c:v>
                </c:pt>
                <c:pt idx="16">
                  <c:v>0.60709999999999997</c:v>
                </c:pt>
                <c:pt idx="17">
                  <c:v>0.60152000000000005</c:v>
                </c:pt>
                <c:pt idx="18">
                  <c:v>0.59440000000000004</c:v>
                </c:pt>
                <c:pt idx="19">
                  <c:v>0.58477999999999997</c:v>
                </c:pt>
                <c:pt idx="20">
                  <c:v>0.5736</c:v>
                </c:pt>
                <c:pt idx="21">
                  <c:v>0.56172999999999995</c:v>
                </c:pt>
                <c:pt idx="22">
                  <c:v>0.54790000000000005</c:v>
                </c:pt>
                <c:pt idx="23">
                  <c:v>0.53110999999999997</c:v>
                </c:pt>
                <c:pt idx="24">
                  <c:v>0.51359999999999995</c:v>
                </c:pt>
                <c:pt idx="25">
                  <c:v>0.49765999999999999</c:v>
                </c:pt>
                <c:pt idx="26">
                  <c:v>0.48270000000000002</c:v>
                </c:pt>
                <c:pt idx="27">
                  <c:v>0.46771000000000001</c:v>
                </c:pt>
                <c:pt idx="28">
                  <c:v>0.45300000000000001</c:v>
                </c:pt>
                <c:pt idx="29">
                  <c:v>0.43915999999999999</c:v>
                </c:pt>
                <c:pt idx="30">
                  <c:v>0.42670000000000002</c:v>
                </c:pt>
                <c:pt idx="31">
                  <c:v>0.41592000000000001</c:v>
                </c:pt>
                <c:pt idx="32">
                  <c:v>0.40639999999999998</c:v>
                </c:pt>
                <c:pt idx="33">
                  <c:v>0.39768999999999999</c:v>
                </c:pt>
                <c:pt idx="34">
                  <c:v>0.39</c:v>
                </c:pt>
                <c:pt idx="35">
                  <c:v>0.38378000000000001</c:v>
                </c:pt>
                <c:pt idx="36">
                  <c:v>0.37969999999999998</c:v>
                </c:pt>
                <c:pt idx="37">
                  <c:v>0.37817000000000001</c:v>
                </c:pt>
                <c:pt idx="38">
                  <c:v>0.37830000000000003</c:v>
                </c:pt>
                <c:pt idx="39">
                  <c:v>0.37928000000000001</c:v>
                </c:pt>
                <c:pt idx="40">
                  <c:v>0.38179999999999997</c:v>
                </c:pt>
                <c:pt idx="41">
                  <c:v>0.38643</c:v>
                </c:pt>
                <c:pt idx="42">
                  <c:v>0.39179999999999998</c:v>
                </c:pt>
                <c:pt idx="43">
                  <c:v>0.39639000000000002</c:v>
                </c:pt>
                <c:pt idx="44">
                  <c:v>0.40010000000000001</c:v>
                </c:pt>
                <c:pt idx="45">
                  <c:v>0.40309</c:v>
                </c:pt>
                <c:pt idx="46">
                  <c:v>0.4052</c:v>
                </c:pt>
                <c:pt idx="47">
                  <c:v>0.40629999999999999</c:v>
                </c:pt>
                <c:pt idx="48">
                  <c:v>0.40670000000000001</c:v>
                </c:pt>
                <c:pt idx="49">
                  <c:v>0.40672000000000003</c:v>
                </c:pt>
                <c:pt idx="50">
                  <c:v>0.40620000000000001</c:v>
                </c:pt>
                <c:pt idx="51">
                  <c:v>0.40499000000000002</c:v>
                </c:pt>
                <c:pt idx="52">
                  <c:v>0.40329999999999999</c:v>
                </c:pt>
                <c:pt idx="53">
                  <c:v>0.40177000000000002</c:v>
                </c:pt>
                <c:pt idx="54">
                  <c:v>0.40239999999999998</c:v>
                </c:pt>
                <c:pt idx="55">
                  <c:v>0.40703</c:v>
                </c:pt>
                <c:pt idx="56">
                  <c:v>0.41560000000000002</c:v>
                </c:pt>
                <c:pt idx="57">
                  <c:v>0.42779</c:v>
                </c:pt>
                <c:pt idx="58">
                  <c:v>0.44419999999999998</c:v>
                </c:pt>
                <c:pt idx="59">
                  <c:v>0.46526000000000001</c:v>
                </c:pt>
                <c:pt idx="60">
                  <c:v>0.48980000000000001</c:v>
                </c:pt>
                <c:pt idx="61">
                  <c:v>0.51663999999999999</c:v>
                </c:pt>
                <c:pt idx="62">
                  <c:v>0.54610000000000003</c:v>
                </c:pt>
                <c:pt idx="63">
                  <c:v>0.57781000000000005</c:v>
                </c:pt>
                <c:pt idx="64">
                  <c:v>0.60699999999999998</c:v>
                </c:pt>
                <c:pt idx="65">
                  <c:v>0.63022999999999996</c:v>
                </c:pt>
                <c:pt idx="66">
                  <c:v>0.65359999999999996</c:v>
                </c:pt>
                <c:pt idx="67">
                  <c:v>0.68162</c:v>
                </c:pt>
                <c:pt idx="68">
                  <c:v>0.70289999999999997</c:v>
                </c:pt>
                <c:pt idx="69">
                  <c:v>0.70289999999999997</c:v>
                </c:pt>
                <c:pt idx="70">
                  <c:v>0.70289999999999997</c:v>
                </c:pt>
                <c:pt idx="71">
                  <c:v>0.70289999999999997</c:v>
                </c:pt>
                <c:pt idx="72">
                  <c:v>0.70289999999999997</c:v>
                </c:pt>
                <c:pt idx="73">
                  <c:v>0.70289999999999997</c:v>
                </c:pt>
                <c:pt idx="74">
                  <c:v>0.70289999999999997</c:v>
                </c:pt>
                <c:pt idx="75">
                  <c:v>0.70289999999999997</c:v>
                </c:pt>
                <c:pt idx="76">
                  <c:v>0.70289999999999997</c:v>
                </c:pt>
                <c:pt idx="77">
                  <c:v>0.70289999999999997</c:v>
                </c:pt>
                <c:pt idx="78">
                  <c:v>0.70289999999999997</c:v>
                </c:pt>
                <c:pt idx="79">
                  <c:v>0.70289999999999997</c:v>
                </c:pt>
                <c:pt idx="80">
                  <c:v>0.70289999999999997</c:v>
                </c:pt>
                <c:pt idx="81">
                  <c:v>0.70289999999999997</c:v>
                </c:pt>
                <c:pt idx="82">
                  <c:v>0.70289999999999997</c:v>
                </c:pt>
                <c:pt idx="83">
                  <c:v>0.70289999999999997</c:v>
                </c:pt>
                <c:pt idx="84">
                  <c:v>0.70289999999999997</c:v>
                </c:pt>
                <c:pt idx="85">
                  <c:v>0.70289999999999997</c:v>
                </c:pt>
                <c:pt idx="86">
                  <c:v>0.70289999999999997</c:v>
                </c:pt>
                <c:pt idx="87">
                  <c:v>0.70289999999999997</c:v>
                </c:pt>
                <c:pt idx="88">
                  <c:v>0.70289999999999997</c:v>
                </c:pt>
                <c:pt idx="89">
                  <c:v>0.70289999999999997</c:v>
                </c:pt>
                <c:pt idx="90">
                  <c:v>0.70289999999999997</c:v>
                </c:pt>
                <c:pt idx="91">
                  <c:v>0.70289999999999997</c:v>
                </c:pt>
                <c:pt idx="92">
                  <c:v>0.70289999999999997</c:v>
                </c:pt>
                <c:pt idx="93">
                  <c:v>0.70289999999999997</c:v>
                </c:pt>
                <c:pt idx="94">
                  <c:v>0.70289999999999997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2-3FE4-445B-8EEB-D88489EA6296}"/>
            </c:ext>
          </c:extLst>
        </c:ser>
        <c:ser>
          <c:idx val="84"/>
          <c:order val="8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'99set'!$CH$10:$CH$104</c:f>
              <c:numCache>
                <c:formatCode>0.00000</c:formatCode>
                <c:ptCount val="95"/>
                <c:pt idx="0">
                  <c:v>3.3750000000000002E-2</c:v>
                </c:pt>
                <c:pt idx="1">
                  <c:v>3.3750000000000002E-2</c:v>
                </c:pt>
                <c:pt idx="2">
                  <c:v>3.3750000000000002E-2</c:v>
                </c:pt>
                <c:pt idx="3">
                  <c:v>3.3750000000000002E-2</c:v>
                </c:pt>
                <c:pt idx="4">
                  <c:v>3.3750000000000002E-2</c:v>
                </c:pt>
                <c:pt idx="5">
                  <c:v>3.5549999999999998E-2</c:v>
                </c:pt>
                <c:pt idx="6">
                  <c:v>3.7449999999999997E-2</c:v>
                </c:pt>
                <c:pt idx="7">
                  <c:v>3.943E-2</c:v>
                </c:pt>
                <c:pt idx="8">
                  <c:v>4.138E-2</c:v>
                </c:pt>
                <c:pt idx="9">
                  <c:v>4.3790000000000003E-2</c:v>
                </c:pt>
                <c:pt idx="10">
                  <c:v>4.6050000000000001E-2</c:v>
                </c:pt>
                <c:pt idx="11">
                  <c:v>4.8300000000000003E-2</c:v>
                </c:pt>
                <c:pt idx="12">
                  <c:v>5.0709999999999998E-2</c:v>
                </c:pt>
                <c:pt idx="13">
                  <c:v>5.3339999999999999E-2</c:v>
                </c:pt>
                <c:pt idx="14">
                  <c:v>5.5969999999999999E-2</c:v>
                </c:pt>
                <c:pt idx="15">
                  <c:v>5.8290000000000002E-2</c:v>
                </c:pt>
                <c:pt idx="16">
                  <c:v>6.0040000000000003E-2</c:v>
                </c:pt>
                <c:pt idx="17">
                  <c:v>6.105E-2</c:v>
                </c:pt>
                <c:pt idx="18">
                  <c:v>6.1530000000000001E-2</c:v>
                </c:pt>
                <c:pt idx="19">
                  <c:v>6.1710000000000001E-2</c:v>
                </c:pt>
                <c:pt idx="20">
                  <c:v>6.1429999999999998E-2</c:v>
                </c:pt>
                <c:pt idx="21">
                  <c:v>6.0539999999999997E-2</c:v>
                </c:pt>
                <c:pt idx="22">
                  <c:v>5.935E-2</c:v>
                </c:pt>
                <c:pt idx="23">
                  <c:v>5.833E-2</c:v>
                </c:pt>
                <c:pt idx="24">
                  <c:v>5.8160000000000003E-2</c:v>
                </c:pt>
                <c:pt idx="25">
                  <c:v>5.926E-2</c:v>
                </c:pt>
                <c:pt idx="26">
                  <c:v>6.1030000000000001E-2</c:v>
                </c:pt>
                <c:pt idx="27">
                  <c:v>6.2670000000000003E-2</c:v>
                </c:pt>
                <c:pt idx="28">
                  <c:v>6.3509999999999997E-2</c:v>
                </c:pt>
                <c:pt idx="29">
                  <c:v>6.3149999999999998E-2</c:v>
                </c:pt>
                <c:pt idx="30">
                  <c:v>6.1929999999999999E-2</c:v>
                </c:pt>
                <c:pt idx="31">
                  <c:v>6.0269999999999997E-2</c:v>
                </c:pt>
                <c:pt idx="32">
                  <c:v>5.806E-2</c:v>
                </c:pt>
                <c:pt idx="33">
                  <c:v>5.5120000000000002E-2</c:v>
                </c:pt>
                <c:pt idx="34">
                  <c:v>5.1700000000000003E-2</c:v>
                </c:pt>
                <c:pt idx="35">
                  <c:v>4.8140000000000002E-2</c:v>
                </c:pt>
                <c:pt idx="36">
                  <c:v>4.4560000000000002E-2</c:v>
                </c:pt>
                <c:pt idx="37">
                  <c:v>4.1070000000000002E-2</c:v>
                </c:pt>
                <c:pt idx="38">
                  <c:v>3.7810000000000003E-2</c:v>
                </c:pt>
                <c:pt idx="39">
                  <c:v>3.4959999999999998E-2</c:v>
                </c:pt>
                <c:pt idx="40">
                  <c:v>3.2849999999999997E-2</c:v>
                </c:pt>
                <c:pt idx="41">
                  <c:v>3.177E-2</c:v>
                </c:pt>
                <c:pt idx="42">
                  <c:v>3.1559999999999998E-2</c:v>
                </c:pt>
                <c:pt idx="43">
                  <c:v>3.2120000000000003E-2</c:v>
                </c:pt>
                <c:pt idx="44">
                  <c:v>3.3939999999999998E-2</c:v>
                </c:pt>
                <c:pt idx="45">
                  <c:v>3.7420000000000002E-2</c:v>
                </c:pt>
                <c:pt idx="46">
                  <c:v>4.2079999999999999E-2</c:v>
                </c:pt>
                <c:pt idx="47">
                  <c:v>4.7160000000000001E-2</c:v>
                </c:pt>
                <c:pt idx="48">
                  <c:v>5.1700000000000003E-2</c:v>
                </c:pt>
                <c:pt idx="49">
                  <c:v>5.4960000000000002E-2</c:v>
                </c:pt>
                <c:pt idx="50">
                  <c:v>5.7259999999999998E-2</c:v>
                </c:pt>
                <c:pt idx="51">
                  <c:v>5.9069999999999998E-2</c:v>
                </c:pt>
                <c:pt idx="52">
                  <c:v>6.0440000000000001E-2</c:v>
                </c:pt>
                <c:pt idx="53">
                  <c:v>6.132E-2</c:v>
                </c:pt>
                <c:pt idx="54">
                  <c:v>6.1830000000000003E-2</c:v>
                </c:pt>
                <c:pt idx="55">
                  <c:v>6.2140000000000001E-2</c:v>
                </c:pt>
                <c:pt idx="56">
                  <c:v>6.2520000000000006E-2</c:v>
                </c:pt>
                <c:pt idx="57">
                  <c:v>6.3159999999999994E-2</c:v>
                </c:pt>
                <c:pt idx="58">
                  <c:v>6.3909999999999995E-2</c:v>
                </c:pt>
                <c:pt idx="59">
                  <c:v>6.4570000000000002E-2</c:v>
                </c:pt>
                <c:pt idx="60">
                  <c:v>6.5000000000000002E-2</c:v>
                </c:pt>
                <c:pt idx="61">
                  <c:v>6.5119999999999997E-2</c:v>
                </c:pt>
                <c:pt idx="62">
                  <c:v>6.5000000000000002E-2</c:v>
                </c:pt>
                <c:pt idx="63">
                  <c:v>6.4780000000000004E-2</c:v>
                </c:pt>
                <c:pt idx="64">
                  <c:v>6.4509999999999998E-2</c:v>
                </c:pt>
                <c:pt idx="65">
                  <c:v>6.4229999999999995E-2</c:v>
                </c:pt>
                <c:pt idx="66">
                  <c:v>6.3909999999999995E-2</c:v>
                </c:pt>
                <c:pt idx="67">
                  <c:v>6.3490000000000005E-2</c:v>
                </c:pt>
                <c:pt idx="68">
                  <c:v>6.2920000000000004E-2</c:v>
                </c:pt>
                <c:pt idx="69">
                  <c:v>6.2570000000000001E-2</c:v>
                </c:pt>
                <c:pt idx="70">
                  <c:v>6.2140000000000001E-2</c:v>
                </c:pt>
                <c:pt idx="71">
                  <c:v>6.1710000000000001E-2</c:v>
                </c:pt>
                <c:pt idx="72">
                  <c:v>6.1280000000000001E-2</c:v>
                </c:pt>
                <c:pt idx="73">
                  <c:v>6.0850000000000001E-2</c:v>
                </c:pt>
                <c:pt idx="74">
                  <c:v>6.0429999999999998E-2</c:v>
                </c:pt>
                <c:pt idx="75">
                  <c:v>6.0010000000000001E-2</c:v>
                </c:pt>
                <c:pt idx="76">
                  <c:v>5.9589999999999997E-2</c:v>
                </c:pt>
                <c:pt idx="77">
                  <c:v>5.9180000000000003E-2</c:v>
                </c:pt>
                <c:pt idx="78">
                  <c:v>5.8770000000000003E-2</c:v>
                </c:pt>
                <c:pt idx="79">
                  <c:v>5.8360000000000002E-2</c:v>
                </c:pt>
                <c:pt idx="80">
                  <c:v>5.7950000000000002E-2</c:v>
                </c:pt>
                <c:pt idx="81">
                  <c:v>5.7549999999999997E-2</c:v>
                </c:pt>
                <c:pt idx="82">
                  <c:v>5.7149999999999999E-2</c:v>
                </c:pt>
                <c:pt idx="83">
                  <c:v>5.6750000000000002E-2</c:v>
                </c:pt>
                <c:pt idx="84">
                  <c:v>5.6349999999999997E-2</c:v>
                </c:pt>
                <c:pt idx="85">
                  <c:v>5.6349999999999997E-2</c:v>
                </c:pt>
                <c:pt idx="86">
                  <c:v>5.6349999999999997E-2</c:v>
                </c:pt>
                <c:pt idx="87">
                  <c:v>5.6349999999999997E-2</c:v>
                </c:pt>
                <c:pt idx="88">
                  <c:v>5.6349999999999997E-2</c:v>
                </c:pt>
                <c:pt idx="89">
                  <c:v>5.6349999999999997E-2</c:v>
                </c:pt>
                <c:pt idx="90">
                  <c:v>5.6349999999999997E-2</c:v>
                </c:pt>
                <c:pt idx="91">
                  <c:v>5.6349999999999997E-2</c:v>
                </c:pt>
                <c:pt idx="92">
                  <c:v>5.6349999999999997E-2</c:v>
                </c:pt>
                <c:pt idx="93">
                  <c:v>5.6349999999999997E-2</c:v>
                </c:pt>
                <c:pt idx="94">
                  <c:v>5.6349999999999997E-2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3-3FE4-445B-8EEB-D88489EA6296}"/>
            </c:ext>
          </c:extLst>
        </c:ser>
        <c:ser>
          <c:idx val="85"/>
          <c:order val="8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'99set'!$CI$10:$CI$104</c:f>
              <c:numCache>
                <c:formatCode>0.00000</c:formatCode>
                <c:ptCount val="95"/>
                <c:pt idx="0">
                  <c:v>1.4250000000000001E-2</c:v>
                </c:pt>
                <c:pt idx="1">
                  <c:v>1.4250000000000001E-2</c:v>
                </c:pt>
                <c:pt idx="2">
                  <c:v>1.4250000000000001E-2</c:v>
                </c:pt>
                <c:pt idx="3">
                  <c:v>1.4250000000000001E-2</c:v>
                </c:pt>
                <c:pt idx="4">
                  <c:v>1.4250000000000001E-2</c:v>
                </c:pt>
                <c:pt idx="5">
                  <c:v>1.2919999999999999E-2</c:v>
                </c:pt>
                <c:pt idx="6">
                  <c:v>1.7309999999999999E-2</c:v>
                </c:pt>
                <c:pt idx="7">
                  <c:v>2.444E-2</c:v>
                </c:pt>
                <c:pt idx="8">
                  <c:v>3.8309999999999997E-2</c:v>
                </c:pt>
                <c:pt idx="9">
                  <c:v>4.9399999999999999E-2</c:v>
                </c:pt>
                <c:pt idx="10">
                  <c:v>6.3240000000000005E-2</c:v>
                </c:pt>
                <c:pt idx="11">
                  <c:v>7.9549999999999996E-2</c:v>
                </c:pt>
                <c:pt idx="12">
                  <c:v>9.5229999999999995E-2</c:v>
                </c:pt>
                <c:pt idx="13">
                  <c:v>0.11233</c:v>
                </c:pt>
                <c:pt idx="14">
                  <c:v>0.13166</c:v>
                </c:pt>
                <c:pt idx="15">
                  <c:v>0.14949999999999999</c:v>
                </c:pt>
                <c:pt idx="16">
                  <c:v>0.15820000000000001</c:v>
                </c:pt>
                <c:pt idx="17">
                  <c:v>0.16275000000000001</c:v>
                </c:pt>
                <c:pt idx="18">
                  <c:v>0.17107</c:v>
                </c:pt>
                <c:pt idx="19">
                  <c:v>0.17496</c:v>
                </c:pt>
                <c:pt idx="20">
                  <c:v>0.17394999999999999</c:v>
                </c:pt>
                <c:pt idx="21">
                  <c:v>0.17369999999999999</c:v>
                </c:pt>
                <c:pt idx="22">
                  <c:v>0.17216000000000001</c:v>
                </c:pt>
                <c:pt idx="23">
                  <c:v>0.16727</c:v>
                </c:pt>
                <c:pt idx="24">
                  <c:v>0.16006999999999999</c:v>
                </c:pt>
                <c:pt idx="25">
                  <c:v>0.15576000000000001</c:v>
                </c:pt>
                <c:pt idx="26">
                  <c:v>0.14927000000000001</c:v>
                </c:pt>
                <c:pt idx="27">
                  <c:v>0.14321</c:v>
                </c:pt>
                <c:pt idx="28">
                  <c:v>0.13436000000000001</c:v>
                </c:pt>
                <c:pt idx="29">
                  <c:v>0.12644</c:v>
                </c:pt>
                <c:pt idx="30">
                  <c:v>0.12123</c:v>
                </c:pt>
                <c:pt idx="31">
                  <c:v>0.11599</c:v>
                </c:pt>
                <c:pt idx="32">
                  <c:v>0.11004</c:v>
                </c:pt>
                <c:pt idx="33">
                  <c:v>0.104</c:v>
                </c:pt>
                <c:pt idx="34">
                  <c:v>9.7159999999999996E-2</c:v>
                </c:pt>
                <c:pt idx="35">
                  <c:v>9.3590000000000007E-2</c:v>
                </c:pt>
                <c:pt idx="36">
                  <c:v>9.2130000000000004E-2</c:v>
                </c:pt>
                <c:pt idx="37">
                  <c:v>9.2609999999999998E-2</c:v>
                </c:pt>
                <c:pt idx="38">
                  <c:v>9.0660000000000004E-2</c:v>
                </c:pt>
                <c:pt idx="39">
                  <c:v>8.9020000000000002E-2</c:v>
                </c:pt>
                <c:pt idx="40">
                  <c:v>8.9069999999999996E-2</c:v>
                </c:pt>
                <c:pt idx="41">
                  <c:v>8.7919999999999998E-2</c:v>
                </c:pt>
                <c:pt idx="42">
                  <c:v>8.7940000000000004E-2</c:v>
                </c:pt>
                <c:pt idx="43">
                  <c:v>8.5879999999999998E-2</c:v>
                </c:pt>
                <c:pt idx="44">
                  <c:v>8.4629999999999997E-2</c:v>
                </c:pt>
                <c:pt idx="45">
                  <c:v>8.7249999999999994E-2</c:v>
                </c:pt>
                <c:pt idx="46">
                  <c:v>9.0880000000000002E-2</c:v>
                </c:pt>
                <c:pt idx="47">
                  <c:v>9.758E-2</c:v>
                </c:pt>
                <c:pt idx="48">
                  <c:v>0.10274</c:v>
                </c:pt>
                <c:pt idx="49">
                  <c:v>0.10874</c:v>
                </c:pt>
                <c:pt idx="50">
                  <c:v>0.10959000000000001</c:v>
                </c:pt>
                <c:pt idx="51">
                  <c:v>0.11171</c:v>
                </c:pt>
                <c:pt idx="52">
                  <c:v>0.11602999999999999</c:v>
                </c:pt>
                <c:pt idx="53">
                  <c:v>0.12275999999999999</c:v>
                </c:pt>
                <c:pt idx="54">
                  <c:v>0.12916</c:v>
                </c:pt>
                <c:pt idx="55">
                  <c:v>0.13825999999999999</c:v>
                </c:pt>
                <c:pt idx="56">
                  <c:v>0.14463999999999999</c:v>
                </c:pt>
                <c:pt idx="57">
                  <c:v>0.15049000000000001</c:v>
                </c:pt>
                <c:pt idx="58">
                  <c:v>0.16785</c:v>
                </c:pt>
                <c:pt idx="59">
                  <c:v>0.19264999999999999</c:v>
                </c:pt>
                <c:pt idx="60">
                  <c:v>0.20784</c:v>
                </c:pt>
                <c:pt idx="61">
                  <c:v>0.22794</c:v>
                </c:pt>
                <c:pt idx="62">
                  <c:v>0.25255</c:v>
                </c:pt>
                <c:pt idx="63">
                  <c:v>0.26973999999999998</c:v>
                </c:pt>
                <c:pt idx="64">
                  <c:v>0.28737000000000001</c:v>
                </c:pt>
                <c:pt idx="65">
                  <c:v>0.30481000000000003</c:v>
                </c:pt>
                <c:pt idx="66">
                  <c:v>0.31630000000000003</c:v>
                </c:pt>
                <c:pt idx="67">
                  <c:v>0.32417000000000001</c:v>
                </c:pt>
                <c:pt idx="68">
                  <c:v>0.33878000000000003</c:v>
                </c:pt>
                <c:pt idx="69">
                  <c:v>0.34908</c:v>
                </c:pt>
                <c:pt idx="70">
                  <c:v>0.36054000000000003</c:v>
                </c:pt>
                <c:pt idx="71">
                  <c:v>0.37214999999999998</c:v>
                </c:pt>
                <c:pt idx="72">
                  <c:v>0.38391999999999998</c:v>
                </c:pt>
                <c:pt idx="73">
                  <c:v>0.39582000000000001</c:v>
                </c:pt>
                <c:pt idx="74">
                  <c:v>0.40784999999999999</c:v>
                </c:pt>
                <c:pt idx="75">
                  <c:v>0.41998999999999997</c:v>
                </c:pt>
                <c:pt idx="76">
                  <c:v>0.43223</c:v>
                </c:pt>
                <c:pt idx="77">
                  <c:v>0.44455</c:v>
                </c:pt>
                <c:pt idx="78">
                  <c:v>0.45694000000000001</c:v>
                </c:pt>
                <c:pt idx="79">
                  <c:v>0.46938000000000002</c:v>
                </c:pt>
                <c:pt idx="80">
                  <c:v>0.48186000000000001</c:v>
                </c:pt>
                <c:pt idx="81">
                  <c:v>0.49436000000000002</c:v>
                </c:pt>
                <c:pt idx="82">
                  <c:v>0.50687000000000004</c:v>
                </c:pt>
                <c:pt idx="83">
                  <c:v>0.51937999999999995</c:v>
                </c:pt>
                <c:pt idx="84">
                  <c:v>0.53185000000000004</c:v>
                </c:pt>
                <c:pt idx="85">
                  <c:v>0.53185000000000004</c:v>
                </c:pt>
                <c:pt idx="86">
                  <c:v>0.53185000000000004</c:v>
                </c:pt>
                <c:pt idx="87">
                  <c:v>0.53185000000000004</c:v>
                </c:pt>
                <c:pt idx="88">
                  <c:v>0.53185000000000004</c:v>
                </c:pt>
                <c:pt idx="89">
                  <c:v>0.53185000000000004</c:v>
                </c:pt>
                <c:pt idx="90">
                  <c:v>0.53185000000000004</c:v>
                </c:pt>
                <c:pt idx="91">
                  <c:v>0.53185000000000004</c:v>
                </c:pt>
                <c:pt idx="92">
                  <c:v>0.53185000000000004</c:v>
                </c:pt>
                <c:pt idx="93">
                  <c:v>0.53185000000000004</c:v>
                </c:pt>
                <c:pt idx="94">
                  <c:v>0.53185000000000004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4-3FE4-445B-8EEB-D88489EA6296}"/>
            </c:ext>
          </c:extLst>
        </c:ser>
        <c:ser>
          <c:idx val="86"/>
          <c:order val="8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'99set'!$CJ$10:$CJ$104</c:f>
              <c:numCache>
                <c:formatCode>0.00000</c:formatCode>
                <c:ptCount val="95"/>
                <c:pt idx="0">
                  <c:v>0.50251999999999997</c:v>
                </c:pt>
                <c:pt idx="1">
                  <c:v>0.50251999999999997</c:v>
                </c:pt>
                <c:pt idx="2">
                  <c:v>0.50251999999999997</c:v>
                </c:pt>
                <c:pt idx="3">
                  <c:v>0.50251999999999997</c:v>
                </c:pt>
                <c:pt idx="4">
                  <c:v>0.50251999999999997</c:v>
                </c:pt>
                <c:pt idx="5">
                  <c:v>0.51400000000000001</c:v>
                </c:pt>
                <c:pt idx="6">
                  <c:v>0.52546000000000004</c:v>
                </c:pt>
                <c:pt idx="7">
                  <c:v>0.53688999999999998</c:v>
                </c:pt>
                <c:pt idx="8">
                  <c:v>0.54635999999999996</c:v>
                </c:pt>
                <c:pt idx="9">
                  <c:v>0.56055999999999995</c:v>
                </c:pt>
                <c:pt idx="10">
                  <c:v>0.57138</c:v>
                </c:pt>
                <c:pt idx="11">
                  <c:v>0.57981000000000005</c:v>
                </c:pt>
                <c:pt idx="12">
                  <c:v>0.58686000000000005</c:v>
                </c:pt>
                <c:pt idx="13">
                  <c:v>0.59284000000000003</c:v>
                </c:pt>
                <c:pt idx="14">
                  <c:v>0.59519999999999995</c:v>
                </c:pt>
                <c:pt idx="15">
                  <c:v>0.59175999999999995</c:v>
                </c:pt>
                <c:pt idx="16">
                  <c:v>0.58448</c:v>
                </c:pt>
                <c:pt idx="17">
                  <c:v>0.57574999999999998</c:v>
                </c:pt>
                <c:pt idx="18">
                  <c:v>0.56542000000000003</c:v>
                </c:pt>
                <c:pt idx="19">
                  <c:v>0.55286999999999997</c:v>
                </c:pt>
                <c:pt idx="20">
                  <c:v>0.53820999999999997</c:v>
                </c:pt>
                <c:pt idx="21">
                  <c:v>0.52173999999999998</c:v>
                </c:pt>
                <c:pt idx="22">
                  <c:v>0.50366</c:v>
                </c:pt>
                <c:pt idx="23">
                  <c:v>0.48437000000000002</c:v>
                </c:pt>
                <c:pt idx="24">
                  <c:v>0.46483999999999998</c:v>
                </c:pt>
                <c:pt idx="25">
                  <c:v>0.44596999999999998</c:v>
                </c:pt>
                <c:pt idx="26">
                  <c:v>0.42760999999999999</c:v>
                </c:pt>
                <c:pt idx="27">
                  <c:v>0.40933999999999998</c:v>
                </c:pt>
                <c:pt idx="28">
                  <c:v>0.39068000000000003</c:v>
                </c:pt>
                <c:pt idx="29">
                  <c:v>0.37145</c:v>
                </c:pt>
                <c:pt idx="30">
                  <c:v>0.35265000000000002</c:v>
                </c:pt>
                <c:pt idx="31">
                  <c:v>0.33549000000000001</c:v>
                </c:pt>
                <c:pt idx="32">
                  <c:v>0.32078000000000001</c:v>
                </c:pt>
                <c:pt idx="33">
                  <c:v>0.30890000000000001</c:v>
                </c:pt>
                <c:pt idx="34">
                  <c:v>0.29883999999999999</c:v>
                </c:pt>
                <c:pt idx="35">
                  <c:v>0.28927000000000003</c:v>
                </c:pt>
                <c:pt idx="36">
                  <c:v>0.27878999999999998</c:v>
                </c:pt>
                <c:pt idx="37">
                  <c:v>0.26663999999999999</c:v>
                </c:pt>
                <c:pt idx="38">
                  <c:v>0.25456000000000001</c:v>
                </c:pt>
                <c:pt idx="39">
                  <c:v>0.24482999999999999</c:v>
                </c:pt>
                <c:pt idx="40">
                  <c:v>0.23946999999999999</c:v>
                </c:pt>
                <c:pt idx="41">
                  <c:v>0.23968999999999999</c:v>
                </c:pt>
                <c:pt idx="42">
                  <c:v>0.24364</c:v>
                </c:pt>
                <c:pt idx="43">
                  <c:v>0.24875</c:v>
                </c:pt>
                <c:pt idx="44">
                  <c:v>0.25258000000000003</c:v>
                </c:pt>
                <c:pt idx="45">
                  <c:v>0.25330999999999998</c:v>
                </c:pt>
                <c:pt idx="46">
                  <c:v>0.25139</c:v>
                </c:pt>
                <c:pt idx="47">
                  <c:v>0.24833</c:v>
                </c:pt>
                <c:pt idx="48">
                  <c:v>0.24771000000000001</c:v>
                </c:pt>
                <c:pt idx="49">
                  <c:v>0.25339</c:v>
                </c:pt>
                <c:pt idx="50">
                  <c:v>0.26835999999999999</c:v>
                </c:pt>
                <c:pt idx="51">
                  <c:v>0.29491000000000001</c:v>
                </c:pt>
                <c:pt idx="52">
                  <c:v>0.33339000000000002</c:v>
                </c:pt>
                <c:pt idx="53">
                  <c:v>0.38324999999999998</c:v>
                </c:pt>
                <c:pt idx="54">
                  <c:v>0.44220999999999999</c:v>
                </c:pt>
                <c:pt idx="55">
                  <c:v>0.50670000000000004</c:v>
                </c:pt>
                <c:pt idx="56">
                  <c:v>0.56969000000000003</c:v>
                </c:pt>
                <c:pt idx="57">
                  <c:v>0.62438000000000005</c:v>
                </c:pt>
                <c:pt idx="58">
                  <c:v>0.66837000000000002</c:v>
                </c:pt>
                <c:pt idx="59">
                  <c:v>0.70086999999999999</c:v>
                </c:pt>
                <c:pt idx="60">
                  <c:v>0.72318000000000005</c:v>
                </c:pt>
                <c:pt idx="61">
                  <c:v>0.73733000000000004</c:v>
                </c:pt>
                <c:pt idx="62">
                  <c:v>0.74600999999999995</c:v>
                </c:pt>
                <c:pt idx="63">
                  <c:v>0.75185000000000002</c:v>
                </c:pt>
                <c:pt idx="64">
                  <c:v>0.75644</c:v>
                </c:pt>
                <c:pt idx="65">
                  <c:v>0.76102000000000003</c:v>
                </c:pt>
                <c:pt idx="66">
                  <c:v>0.76637</c:v>
                </c:pt>
                <c:pt idx="67">
                  <c:v>0.77312999999999998</c:v>
                </c:pt>
                <c:pt idx="68">
                  <c:v>0.78195000000000003</c:v>
                </c:pt>
                <c:pt idx="69">
                  <c:v>0.78747</c:v>
                </c:pt>
                <c:pt idx="70">
                  <c:v>0.79408999999999996</c:v>
                </c:pt>
                <c:pt idx="71">
                  <c:v>0.80056000000000005</c:v>
                </c:pt>
                <c:pt idx="72">
                  <c:v>0.80686999999999998</c:v>
                </c:pt>
                <c:pt idx="73">
                  <c:v>0.81303000000000003</c:v>
                </c:pt>
                <c:pt idx="74">
                  <c:v>0.81903999999999999</c:v>
                </c:pt>
                <c:pt idx="75">
                  <c:v>0.82489999999999997</c:v>
                </c:pt>
                <c:pt idx="76">
                  <c:v>0.8306</c:v>
                </c:pt>
                <c:pt idx="77">
                  <c:v>0.83616000000000001</c:v>
                </c:pt>
                <c:pt idx="78">
                  <c:v>0.84157000000000004</c:v>
                </c:pt>
                <c:pt idx="79">
                  <c:v>0.84682999999999997</c:v>
                </c:pt>
                <c:pt idx="80">
                  <c:v>0.85194999999999999</c:v>
                </c:pt>
                <c:pt idx="81">
                  <c:v>0.85692999999999997</c:v>
                </c:pt>
                <c:pt idx="82">
                  <c:v>0.86177000000000004</c:v>
                </c:pt>
                <c:pt idx="83">
                  <c:v>0.86646999999999996</c:v>
                </c:pt>
                <c:pt idx="84">
                  <c:v>0.87102999999999997</c:v>
                </c:pt>
                <c:pt idx="85">
                  <c:v>0.87102999999999997</c:v>
                </c:pt>
                <c:pt idx="86">
                  <c:v>0.87102999999999997</c:v>
                </c:pt>
                <c:pt idx="87">
                  <c:v>0.87102999999999997</c:v>
                </c:pt>
                <c:pt idx="88">
                  <c:v>0.87102999999999997</c:v>
                </c:pt>
                <c:pt idx="89">
                  <c:v>0.87102999999999997</c:v>
                </c:pt>
                <c:pt idx="90">
                  <c:v>0.87102999999999997</c:v>
                </c:pt>
                <c:pt idx="91">
                  <c:v>0.87102999999999997</c:v>
                </c:pt>
                <c:pt idx="92">
                  <c:v>0.87102999999999997</c:v>
                </c:pt>
                <c:pt idx="93">
                  <c:v>0.87102999999999997</c:v>
                </c:pt>
                <c:pt idx="94">
                  <c:v>0.87102999999999997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5-3FE4-445B-8EEB-D88489EA6296}"/>
            </c:ext>
          </c:extLst>
        </c:ser>
        <c:ser>
          <c:idx val="87"/>
          <c:order val="8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'99set'!$CK$10:$CK$104</c:f>
              <c:numCache>
                <c:formatCode>0.00000</c:formatCode>
                <c:ptCount val="95"/>
                <c:pt idx="0">
                  <c:v>0.10613</c:v>
                </c:pt>
                <c:pt idx="1">
                  <c:v>0.10613</c:v>
                </c:pt>
                <c:pt idx="2">
                  <c:v>0.10613</c:v>
                </c:pt>
                <c:pt idx="3">
                  <c:v>0.10613</c:v>
                </c:pt>
                <c:pt idx="4">
                  <c:v>0.10613</c:v>
                </c:pt>
                <c:pt idx="5">
                  <c:v>0.11586</c:v>
                </c:pt>
                <c:pt idx="6">
                  <c:v>0.12634999999999999</c:v>
                </c:pt>
                <c:pt idx="7">
                  <c:v>0.13764000000000001</c:v>
                </c:pt>
                <c:pt idx="8">
                  <c:v>0.14596000000000001</c:v>
                </c:pt>
                <c:pt idx="9">
                  <c:v>0.16475999999999999</c:v>
                </c:pt>
                <c:pt idx="10">
                  <c:v>0.17752999999999999</c:v>
                </c:pt>
                <c:pt idx="11">
                  <c:v>0.18653</c:v>
                </c:pt>
                <c:pt idx="12">
                  <c:v>0.19400999999999999</c:v>
                </c:pt>
                <c:pt idx="13">
                  <c:v>0.20193</c:v>
                </c:pt>
                <c:pt idx="14">
                  <c:v>0.21099000000000001</c:v>
                </c:pt>
                <c:pt idx="15">
                  <c:v>0.22114</c:v>
                </c:pt>
                <c:pt idx="16">
                  <c:v>0.23055</c:v>
                </c:pt>
                <c:pt idx="17">
                  <c:v>0.23699999999999999</c:v>
                </c:pt>
                <c:pt idx="18">
                  <c:v>0.23849000000000001</c:v>
                </c:pt>
                <c:pt idx="19">
                  <c:v>0.23383999999999999</c:v>
                </c:pt>
                <c:pt idx="20">
                  <c:v>0.22469</c:v>
                </c:pt>
                <c:pt idx="21">
                  <c:v>0.21321999999999999</c:v>
                </c:pt>
                <c:pt idx="22">
                  <c:v>0.20075999999999999</c:v>
                </c:pt>
                <c:pt idx="23">
                  <c:v>0.18829000000000001</c:v>
                </c:pt>
                <c:pt idx="24">
                  <c:v>0.17613999999999999</c:v>
                </c:pt>
                <c:pt idx="25">
                  <c:v>0.16447999999999999</c:v>
                </c:pt>
                <c:pt idx="26">
                  <c:v>0.15340000000000001</c:v>
                </c:pt>
                <c:pt idx="27">
                  <c:v>0.1429</c:v>
                </c:pt>
                <c:pt idx="28">
                  <c:v>0.13255</c:v>
                </c:pt>
                <c:pt idx="29">
                  <c:v>0.12197</c:v>
                </c:pt>
                <c:pt idx="30">
                  <c:v>0.11119999999999999</c:v>
                </c:pt>
                <c:pt idx="31">
                  <c:v>0.10054</c:v>
                </c:pt>
                <c:pt idx="32">
                  <c:v>9.085E-2</c:v>
                </c:pt>
                <c:pt idx="33">
                  <c:v>8.2960000000000006E-2</c:v>
                </c:pt>
                <c:pt idx="34">
                  <c:v>7.7049999999999993E-2</c:v>
                </c:pt>
                <c:pt idx="35">
                  <c:v>7.288E-2</c:v>
                </c:pt>
                <c:pt idx="36">
                  <c:v>6.9209999999999994E-2</c:v>
                </c:pt>
                <c:pt idx="37">
                  <c:v>6.4820000000000003E-2</c:v>
                </c:pt>
                <c:pt idx="38">
                  <c:v>5.9569999999999998E-2</c:v>
                </c:pt>
                <c:pt idx="39">
                  <c:v>5.3749999999999999E-2</c:v>
                </c:pt>
                <c:pt idx="40">
                  <c:v>4.8259999999999997E-2</c:v>
                </c:pt>
                <c:pt idx="41">
                  <c:v>4.403E-2</c:v>
                </c:pt>
                <c:pt idx="42">
                  <c:v>4.1399999999999999E-2</c:v>
                </c:pt>
                <c:pt idx="43">
                  <c:v>4.1110000000000001E-2</c:v>
                </c:pt>
                <c:pt idx="44">
                  <c:v>4.6170000000000003E-2</c:v>
                </c:pt>
                <c:pt idx="45">
                  <c:v>5.9270000000000003E-2</c:v>
                </c:pt>
                <c:pt idx="46">
                  <c:v>7.9329999999999998E-2</c:v>
                </c:pt>
                <c:pt idx="47">
                  <c:v>0.10352</c:v>
                </c:pt>
                <c:pt idx="48">
                  <c:v>0.1255</c:v>
                </c:pt>
                <c:pt idx="49">
                  <c:v>0.13983999999999999</c:v>
                </c:pt>
                <c:pt idx="50">
                  <c:v>0.14804</c:v>
                </c:pt>
                <c:pt idx="51">
                  <c:v>0.15301000000000001</c:v>
                </c:pt>
                <c:pt idx="52">
                  <c:v>0.15637999999999999</c:v>
                </c:pt>
                <c:pt idx="53">
                  <c:v>0.15926999999999999</c:v>
                </c:pt>
                <c:pt idx="54">
                  <c:v>0.16203999999999999</c:v>
                </c:pt>
                <c:pt idx="55">
                  <c:v>0.16492000000000001</c:v>
                </c:pt>
                <c:pt idx="56">
                  <c:v>0.16819999999999999</c:v>
                </c:pt>
                <c:pt idx="57">
                  <c:v>0.17215</c:v>
                </c:pt>
                <c:pt idx="58">
                  <c:v>0.17684</c:v>
                </c:pt>
                <c:pt idx="59">
                  <c:v>0.182</c:v>
                </c:pt>
                <c:pt idx="60">
                  <c:v>0.18626999999999999</c:v>
                </c:pt>
                <c:pt idx="61">
                  <c:v>0.1883</c:v>
                </c:pt>
                <c:pt idx="62">
                  <c:v>0.18795999999999999</c:v>
                </c:pt>
                <c:pt idx="63">
                  <c:v>0.18570999999999999</c:v>
                </c:pt>
                <c:pt idx="64">
                  <c:v>0.18318999999999999</c:v>
                </c:pt>
                <c:pt idx="65">
                  <c:v>0.18185000000000001</c:v>
                </c:pt>
                <c:pt idx="66">
                  <c:v>0.1812</c:v>
                </c:pt>
                <c:pt idx="67">
                  <c:v>0.18026</c:v>
                </c:pt>
                <c:pt idx="68">
                  <c:v>0.17802999999999999</c:v>
                </c:pt>
                <c:pt idx="69">
                  <c:v>0.17751</c:v>
                </c:pt>
                <c:pt idx="70">
                  <c:v>0.17632</c:v>
                </c:pt>
                <c:pt idx="71">
                  <c:v>0.17513000000000001</c:v>
                </c:pt>
                <c:pt idx="72">
                  <c:v>0.17394999999999999</c:v>
                </c:pt>
                <c:pt idx="73">
                  <c:v>0.17277999999999999</c:v>
                </c:pt>
                <c:pt idx="74">
                  <c:v>0.17161000000000001</c:v>
                </c:pt>
                <c:pt idx="75">
                  <c:v>0.17044999999999999</c:v>
                </c:pt>
                <c:pt idx="76">
                  <c:v>0.16929</c:v>
                </c:pt>
                <c:pt idx="77">
                  <c:v>0.16814000000000001</c:v>
                </c:pt>
                <c:pt idx="78">
                  <c:v>0.16700000000000001</c:v>
                </c:pt>
                <c:pt idx="79">
                  <c:v>0.16586000000000001</c:v>
                </c:pt>
                <c:pt idx="80">
                  <c:v>0.16472999999999999</c:v>
                </c:pt>
                <c:pt idx="81">
                  <c:v>0.16361000000000001</c:v>
                </c:pt>
                <c:pt idx="82">
                  <c:v>0.16249</c:v>
                </c:pt>
                <c:pt idx="83">
                  <c:v>0.16138</c:v>
                </c:pt>
                <c:pt idx="84">
                  <c:v>0.16027</c:v>
                </c:pt>
                <c:pt idx="85">
                  <c:v>0.16027</c:v>
                </c:pt>
                <c:pt idx="86">
                  <c:v>0.16027</c:v>
                </c:pt>
                <c:pt idx="87">
                  <c:v>0.16027</c:v>
                </c:pt>
                <c:pt idx="88">
                  <c:v>0.16027</c:v>
                </c:pt>
                <c:pt idx="89">
                  <c:v>0.16027</c:v>
                </c:pt>
                <c:pt idx="90">
                  <c:v>0.16027</c:v>
                </c:pt>
                <c:pt idx="91">
                  <c:v>0.16027</c:v>
                </c:pt>
                <c:pt idx="92">
                  <c:v>0.16027</c:v>
                </c:pt>
                <c:pt idx="93">
                  <c:v>0.16027</c:v>
                </c:pt>
                <c:pt idx="94">
                  <c:v>0.16027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6-3FE4-445B-8EEB-D88489EA6296}"/>
            </c:ext>
          </c:extLst>
        </c:ser>
        <c:ser>
          <c:idx val="88"/>
          <c:order val="8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'99set'!$CL$10:$CL$104</c:f>
              <c:numCache>
                <c:formatCode>0.00000</c:formatCode>
                <c:ptCount val="95"/>
                <c:pt idx="0">
                  <c:v>0.4264</c:v>
                </c:pt>
                <c:pt idx="1">
                  <c:v>0.4264</c:v>
                </c:pt>
                <c:pt idx="2">
                  <c:v>0.4264</c:v>
                </c:pt>
                <c:pt idx="3">
                  <c:v>0.4264</c:v>
                </c:pt>
                <c:pt idx="4">
                  <c:v>0.4264</c:v>
                </c:pt>
                <c:pt idx="5">
                  <c:v>0.44033</c:v>
                </c:pt>
                <c:pt idx="6">
                  <c:v>0.45434999999999998</c:v>
                </c:pt>
                <c:pt idx="7">
                  <c:v>0.46844999999999998</c:v>
                </c:pt>
                <c:pt idx="8">
                  <c:v>0.47489999999999999</c:v>
                </c:pt>
                <c:pt idx="9">
                  <c:v>0.50053999999999998</c:v>
                </c:pt>
                <c:pt idx="10">
                  <c:v>0.51283000000000001</c:v>
                </c:pt>
                <c:pt idx="11">
                  <c:v>0.51583999999999997</c:v>
                </c:pt>
                <c:pt idx="12">
                  <c:v>0.51363000000000003</c:v>
                </c:pt>
                <c:pt idx="13">
                  <c:v>0.50938000000000005</c:v>
                </c:pt>
                <c:pt idx="14">
                  <c:v>0.50280000000000002</c:v>
                </c:pt>
                <c:pt idx="15">
                  <c:v>0.49313000000000001</c:v>
                </c:pt>
                <c:pt idx="16">
                  <c:v>0.48115999999999998</c:v>
                </c:pt>
                <c:pt idx="17">
                  <c:v>0.46804000000000001</c:v>
                </c:pt>
                <c:pt idx="18">
                  <c:v>0.45465</c:v>
                </c:pt>
                <c:pt idx="19">
                  <c:v>0.44163999999999998</c:v>
                </c:pt>
                <c:pt idx="20">
                  <c:v>0.42903000000000002</c:v>
                </c:pt>
                <c:pt idx="21">
                  <c:v>0.41661999999999999</c:v>
                </c:pt>
                <c:pt idx="22">
                  <c:v>0.40400999999999998</c:v>
                </c:pt>
                <c:pt idx="23">
                  <c:v>0.39068000000000003</c:v>
                </c:pt>
                <c:pt idx="24">
                  <c:v>0.37591000000000002</c:v>
                </c:pt>
                <c:pt idx="25">
                  <c:v>0.35911999999999999</c:v>
                </c:pt>
                <c:pt idx="26">
                  <c:v>0.34055999999999997</c:v>
                </c:pt>
                <c:pt idx="27">
                  <c:v>0.32102999999999998</c:v>
                </c:pt>
                <c:pt idx="28">
                  <c:v>0.30253999999999998</c:v>
                </c:pt>
                <c:pt idx="29">
                  <c:v>0.28661999999999999</c:v>
                </c:pt>
                <c:pt idx="30">
                  <c:v>0.27176</c:v>
                </c:pt>
                <c:pt idx="31">
                  <c:v>0.25597999999999999</c:v>
                </c:pt>
                <c:pt idx="32">
                  <c:v>0.23869000000000001</c:v>
                </c:pt>
                <c:pt idx="33">
                  <c:v>0.22042</c:v>
                </c:pt>
                <c:pt idx="34">
                  <c:v>0.20493</c:v>
                </c:pt>
                <c:pt idx="35">
                  <c:v>0.1958</c:v>
                </c:pt>
                <c:pt idx="36">
                  <c:v>0.19252</c:v>
                </c:pt>
                <c:pt idx="37">
                  <c:v>0.19314999999999999</c:v>
                </c:pt>
                <c:pt idx="38">
                  <c:v>0.19400999999999999</c:v>
                </c:pt>
                <c:pt idx="39">
                  <c:v>0.19189999999999999</c:v>
                </c:pt>
                <c:pt idx="40">
                  <c:v>0.18706</c:v>
                </c:pt>
                <c:pt idx="41">
                  <c:v>0.18151</c:v>
                </c:pt>
                <c:pt idx="42">
                  <c:v>0.18071000000000001</c:v>
                </c:pt>
                <c:pt idx="43">
                  <c:v>0.18983</c:v>
                </c:pt>
                <c:pt idx="44">
                  <c:v>0.2094</c:v>
                </c:pt>
                <c:pt idx="45">
                  <c:v>0.23794999999999999</c:v>
                </c:pt>
                <c:pt idx="46">
                  <c:v>0.27076</c:v>
                </c:pt>
                <c:pt idx="47">
                  <c:v>0.30302000000000001</c:v>
                </c:pt>
                <c:pt idx="48">
                  <c:v>0.33272000000000002</c:v>
                </c:pt>
                <c:pt idx="49">
                  <c:v>0.35882999999999998</c:v>
                </c:pt>
                <c:pt idx="50">
                  <c:v>0.38146999999999998</c:v>
                </c:pt>
                <c:pt idx="51">
                  <c:v>0.40076000000000001</c:v>
                </c:pt>
                <c:pt idx="52">
                  <c:v>0.41563</c:v>
                </c:pt>
                <c:pt idx="53">
                  <c:v>0.42508000000000001</c:v>
                </c:pt>
                <c:pt idx="54">
                  <c:v>0.42953000000000002</c:v>
                </c:pt>
                <c:pt idx="55">
                  <c:v>0.4299</c:v>
                </c:pt>
                <c:pt idx="56">
                  <c:v>0.42774000000000001</c:v>
                </c:pt>
                <c:pt idx="57">
                  <c:v>0.42497000000000001</c:v>
                </c:pt>
                <c:pt idx="58">
                  <c:v>0.42426999999999998</c:v>
                </c:pt>
                <c:pt idx="59">
                  <c:v>0.42832999999999999</c:v>
                </c:pt>
                <c:pt idx="60">
                  <c:v>0.43925999999999998</c:v>
                </c:pt>
                <c:pt idx="61">
                  <c:v>0.45877000000000001</c:v>
                </c:pt>
                <c:pt idx="62">
                  <c:v>0.48760999999999999</c:v>
                </c:pt>
                <c:pt idx="63">
                  <c:v>0.52561999999999998</c:v>
                </c:pt>
                <c:pt idx="64">
                  <c:v>0.56991999999999998</c:v>
                </c:pt>
                <c:pt idx="65">
                  <c:v>0.61695</c:v>
                </c:pt>
                <c:pt idx="66">
                  <c:v>0.66286</c:v>
                </c:pt>
                <c:pt idx="67">
                  <c:v>0.70374999999999999</c:v>
                </c:pt>
                <c:pt idx="68">
                  <c:v>0.73573999999999995</c:v>
                </c:pt>
                <c:pt idx="69">
                  <c:v>0.77275000000000005</c:v>
                </c:pt>
                <c:pt idx="70">
                  <c:v>0.80334000000000005</c:v>
                </c:pt>
                <c:pt idx="71">
                  <c:v>0.83070999999999995</c:v>
                </c:pt>
                <c:pt idx="72">
                  <c:v>0.85496000000000005</c:v>
                </c:pt>
                <c:pt idx="73">
                  <c:v>0.87624999999999997</c:v>
                </c:pt>
                <c:pt idx="74">
                  <c:v>0.89480999999999999</c:v>
                </c:pt>
                <c:pt idx="75">
                  <c:v>0.91086</c:v>
                </c:pt>
                <c:pt idx="76">
                  <c:v>0.92466999999999999</c:v>
                </c:pt>
                <c:pt idx="77">
                  <c:v>0.93649000000000004</c:v>
                </c:pt>
                <c:pt idx="78">
                  <c:v>0.94655999999999996</c:v>
                </c:pt>
                <c:pt idx="79">
                  <c:v>0.95511000000000001</c:v>
                </c:pt>
                <c:pt idx="80">
                  <c:v>0.96235000000000004</c:v>
                </c:pt>
                <c:pt idx="81">
                  <c:v>0.96845999999999999</c:v>
                </c:pt>
                <c:pt idx="82">
                  <c:v>0.97360000000000002</c:v>
                </c:pt>
                <c:pt idx="83">
                  <c:v>0.97792999999999997</c:v>
                </c:pt>
                <c:pt idx="84">
                  <c:v>0.98155999999999999</c:v>
                </c:pt>
                <c:pt idx="85">
                  <c:v>0.98155999999999999</c:v>
                </c:pt>
                <c:pt idx="86">
                  <c:v>0.98155999999999999</c:v>
                </c:pt>
                <c:pt idx="87">
                  <c:v>0.98155999999999999</c:v>
                </c:pt>
                <c:pt idx="88">
                  <c:v>0.98155999999999999</c:v>
                </c:pt>
                <c:pt idx="89">
                  <c:v>0.98155999999999999</c:v>
                </c:pt>
                <c:pt idx="90">
                  <c:v>0.98155999999999999</c:v>
                </c:pt>
                <c:pt idx="91">
                  <c:v>0.98155999999999999</c:v>
                </c:pt>
                <c:pt idx="92">
                  <c:v>0.98155999999999999</c:v>
                </c:pt>
                <c:pt idx="93">
                  <c:v>0.98155999999999999</c:v>
                </c:pt>
                <c:pt idx="94">
                  <c:v>0.98155999999999999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7-3FE4-445B-8EEB-D88489EA6296}"/>
            </c:ext>
          </c:extLst>
        </c:ser>
        <c:ser>
          <c:idx val="89"/>
          <c:order val="8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'99set'!$CM$10:$CM$104</c:f>
              <c:numCache>
                <c:formatCode>0.00000</c:formatCode>
                <c:ptCount val="95"/>
                <c:pt idx="0">
                  <c:v>7.2749999999999995E-2</c:v>
                </c:pt>
                <c:pt idx="1">
                  <c:v>7.2749999999999995E-2</c:v>
                </c:pt>
                <c:pt idx="2">
                  <c:v>7.2749999999999995E-2</c:v>
                </c:pt>
                <c:pt idx="3">
                  <c:v>7.2749999999999995E-2</c:v>
                </c:pt>
                <c:pt idx="4">
                  <c:v>7.2749999999999995E-2</c:v>
                </c:pt>
                <c:pt idx="5">
                  <c:v>8.208E-2</c:v>
                </c:pt>
                <c:pt idx="6">
                  <c:v>9.2490000000000003E-2</c:v>
                </c:pt>
                <c:pt idx="7">
                  <c:v>0.10408000000000001</c:v>
                </c:pt>
                <c:pt idx="8">
                  <c:v>0.11545999999999999</c:v>
                </c:pt>
                <c:pt idx="9">
                  <c:v>0.13191</c:v>
                </c:pt>
                <c:pt idx="10">
                  <c:v>0.14757000000000001</c:v>
                </c:pt>
                <c:pt idx="11">
                  <c:v>0.16011</c:v>
                </c:pt>
                <c:pt idx="12">
                  <c:v>0.16724</c:v>
                </c:pt>
                <c:pt idx="13">
                  <c:v>0.16828000000000001</c:v>
                </c:pt>
                <c:pt idx="14">
                  <c:v>0.16927</c:v>
                </c:pt>
                <c:pt idx="15">
                  <c:v>0.17537</c:v>
                </c:pt>
                <c:pt idx="16">
                  <c:v>0.18160000000000001</c:v>
                </c:pt>
                <c:pt idx="17">
                  <c:v>0.18229999999999999</c:v>
                </c:pt>
                <c:pt idx="18">
                  <c:v>0.17906</c:v>
                </c:pt>
                <c:pt idx="19">
                  <c:v>0.17458000000000001</c:v>
                </c:pt>
                <c:pt idx="20">
                  <c:v>0.16855999999999999</c:v>
                </c:pt>
                <c:pt idx="21">
                  <c:v>0.16017000000000001</c:v>
                </c:pt>
                <c:pt idx="22">
                  <c:v>0.14940000000000001</c:v>
                </c:pt>
                <c:pt idx="23">
                  <c:v>0.13678999999999999</c:v>
                </c:pt>
                <c:pt idx="24">
                  <c:v>0.12422999999999999</c:v>
                </c:pt>
                <c:pt idx="25">
                  <c:v>0.11336</c:v>
                </c:pt>
                <c:pt idx="26">
                  <c:v>0.10344</c:v>
                </c:pt>
                <c:pt idx="27">
                  <c:v>9.3579999999999997E-2</c:v>
                </c:pt>
                <c:pt idx="28">
                  <c:v>8.4589999999999999E-2</c:v>
                </c:pt>
                <c:pt idx="29">
                  <c:v>7.7410000000000007E-2</c:v>
                </c:pt>
                <c:pt idx="30">
                  <c:v>7.195E-2</c:v>
                </c:pt>
                <c:pt idx="31">
                  <c:v>6.7760000000000001E-2</c:v>
                </c:pt>
                <c:pt idx="32">
                  <c:v>6.4199999999999993E-2</c:v>
                </c:pt>
                <c:pt idx="33">
                  <c:v>6.0780000000000001E-2</c:v>
                </c:pt>
                <c:pt idx="34">
                  <c:v>5.7680000000000002E-2</c:v>
                </c:pt>
                <c:pt idx="35">
                  <c:v>5.5259999999999997E-2</c:v>
                </c:pt>
                <c:pt idx="36">
                  <c:v>5.3809999999999997E-2</c:v>
                </c:pt>
                <c:pt idx="37">
                  <c:v>5.3580000000000003E-2</c:v>
                </c:pt>
                <c:pt idx="38">
                  <c:v>5.4829999999999997E-2</c:v>
                </c:pt>
                <c:pt idx="39">
                  <c:v>5.7630000000000001E-2</c:v>
                </c:pt>
                <c:pt idx="40">
                  <c:v>6.1449999999999998E-2</c:v>
                </c:pt>
                <c:pt idx="41">
                  <c:v>6.5640000000000004E-2</c:v>
                </c:pt>
                <c:pt idx="42">
                  <c:v>6.9610000000000005E-2</c:v>
                </c:pt>
                <c:pt idx="43">
                  <c:v>7.3039999999999994E-2</c:v>
                </c:pt>
                <c:pt idx="44">
                  <c:v>7.664E-2</c:v>
                </c:pt>
                <c:pt idx="45">
                  <c:v>8.1199999999999994E-2</c:v>
                </c:pt>
                <c:pt idx="46">
                  <c:v>8.6929999999999993E-2</c:v>
                </c:pt>
                <c:pt idx="47">
                  <c:v>9.3859999999999999E-2</c:v>
                </c:pt>
                <c:pt idx="48">
                  <c:v>0.10181</c:v>
                </c:pt>
                <c:pt idx="49">
                  <c:v>0.11045000000000001</c:v>
                </c:pt>
                <c:pt idx="50">
                  <c:v>0.11913</c:v>
                </c:pt>
                <c:pt idx="51">
                  <c:v>0.12714</c:v>
                </c:pt>
                <c:pt idx="52">
                  <c:v>0.13391</c:v>
                </c:pt>
                <c:pt idx="53">
                  <c:v>0.13922000000000001</c:v>
                </c:pt>
                <c:pt idx="54">
                  <c:v>0.1439</c:v>
                </c:pt>
                <c:pt idx="55">
                  <c:v>0.14909</c:v>
                </c:pt>
                <c:pt idx="56">
                  <c:v>0.15603</c:v>
                </c:pt>
                <c:pt idx="57">
                  <c:v>0.16583000000000001</c:v>
                </c:pt>
                <c:pt idx="58">
                  <c:v>0.17906</c:v>
                </c:pt>
                <c:pt idx="59">
                  <c:v>0.19606999999999999</c:v>
                </c:pt>
                <c:pt idx="60">
                  <c:v>0.21697</c:v>
                </c:pt>
                <c:pt idx="61">
                  <c:v>0.2417</c:v>
                </c:pt>
                <c:pt idx="62">
                  <c:v>0.26985999999999999</c:v>
                </c:pt>
                <c:pt idx="63">
                  <c:v>0.30107</c:v>
                </c:pt>
                <c:pt idx="64">
                  <c:v>0.33549000000000001</c:v>
                </c:pt>
                <c:pt idx="65">
                  <c:v>0.37308999999999998</c:v>
                </c:pt>
                <c:pt idx="66">
                  <c:v>0.41253000000000001</c:v>
                </c:pt>
                <c:pt idx="67">
                  <c:v>0.45218999999999998</c:v>
                </c:pt>
                <c:pt idx="68">
                  <c:v>0.49038999999999999</c:v>
                </c:pt>
                <c:pt idx="69">
                  <c:v>0.53154999999999997</c:v>
                </c:pt>
                <c:pt idx="70">
                  <c:v>0.57116999999999996</c:v>
                </c:pt>
                <c:pt idx="71">
                  <c:v>0.60989000000000004</c:v>
                </c:pt>
                <c:pt idx="72">
                  <c:v>0.64727999999999997</c:v>
                </c:pt>
                <c:pt idx="73">
                  <c:v>0.68293999999999999</c:v>
                </c:pt>
                <c:pt idx="74">
                  <c:v>0.71657999999999999</c:v>
                </c:pt>
                <c:pt idx="75">
                  <c:v>0.74797000000000002</c:v>
                </c:pt>
                <c:pt idx="76">
                  <c:v>0.77695999999999998</c:v>
                </c:pt>
                <c:pt idx="77">
                  <c:v>0.80349999999999999</c:v>
                </c:pt>
                <c:pt idx="78">
                  <c:v>0.82757000000000003</c:v>
                </c:pt>
                <c:pt idx="79">
                  <c:v>0.84924999999999995</c:v>
                </c:pt>
                <c:pt idx="80">
                  <c:v>0.86863999999999997</c:v>
                </c:pt>
                <c:pt idx="81">
                  <c:v>0.88587000000000005</c:v>
                </c:pt>
                <c:pt idx="82">
                  <c:v>0.90110000000000001</c:v>
                </c:pt>
                <c:pt idx="83">
                  <c:v>0.91449000000000003</c:v>
                </c:pt>
                <c:pt idx="84">
                  <c:v>0.92620999999999998</c:v>
                </c:pt>
                <c:pt idx="85">
                  <c:v>0.92620999999999998</c:v>
                </c:pt>
                <c:pt idx="86">
                  <c:v>0.92620999999999998</c:v>
                </c:pt>
                <c:pt idx="87">
                  <c:v>0.92620999999999998</c:v>
                </c:pt>
                <c:pt idx="88">
                  <c:v>0.92620999999999998</c:v>
                </c:pt>
                <c:pt idx="89">
                  <c:v>0.92620999999999998</c:v>
                </c:pt>
                <c:pt idx="90">
                  <c:v>0.92620999999999998</c:v>
                </c:pt>
                <c:pt idx="91">
                  <c:v>0.92620999999999998</c:v>
                </c:pt>
                <c:pt idx="92">
                  <c:v>0.92620999999999998</c:v>
                </c:pt>
                <c:pt idx="93">
                  <c:v>0.92620999999999998</c:v>
                </c:pt>
                <c:pt idx="94">
                  <c:v>0.92620999999999998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8-3FE4-445B-8EEB-D88489EA6296}"/>
            </c:ext>
          </c:extLst>
        </c:ser>
        <c:ser>
          <c:idx val="90"/>
          <c:order val="8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'99set'!$CN$10:$CN$104</c:f>
              <c:numCache>
                <c:formatCode>0.00000</c:formatCode>
                <c:ptCount val="95"/>
                <c:pt idx="0">
                  <c:v>0.26169999999999999</c:v>
                </c:pt>
                <c:pt idx="1">
                  <c:v>0.26169999999999999</c:v>
                </c:pt>
                <c:pt idx="2">
                  <c:v>0.26169999999999999</c:v>
                </c:pt>
                <c:pt idx="3">
                  <c:v>0.26169999999999999</c:v>
                </c:pt>
                <c:pt idx="4">
                  <c:v>0.26169999999999999</c:v>
                </c:pt>
                <c:pt idx="5">
                  <c:v>0.26169999999999999</c:v>
                </c:pt>
                <c:pt idx="6">
                  <c:v>0.26169999999999999</c:v>
                </c:pt>
                <c:pt idx="7">
                  <c:v>0.26169999999999999</c:v>
                </c:pt>
                <c:pt idx="8">
                  <c:v>0.26169999999999999</c:v>
                </c:pt>
                <c:pt idx="9">
                  <c:v>0.27271000000000001</c:v>
                </c:pt>
                <c:pt idx="10">
                  <c:v>0.2838</c:v>
                </c:pt>
                <c:pt idx="11">
                  <c:v>0.28598000000000001</c:v>
                </c:pt>
                <c:pt idx="12">
                  <c:v>0.28220000000000001</c:v>
                </c:pt>
                <c:pt idx="13">
                  <c:v>0.27711000000000002</c:v>
                </c:pt>
                <c:pt idx="14">
                  <c:v>0.27029999999999998</c:v>
                </c:pt>
                <c:pt idx="15">
                  <c:v>0.26062999999999997</c:v>
                </c:pt>
                <c:pt idx="16">
                  <c:v>0.249</c:v>
                </c:pt>
                <c:pt idx="17">
                  <c:v>0.23663000000000001</c:v>
                </c:pt>
                <c:pt idx="18">
                  <c:v>0.22389999999999999</c:v>
                </c:pt>
                <c:pt idx="19">
                  <c:v>0.21107000000000001</c:v>
                </c:pt>
                <c:pt idx="20">
                  <c:v>0.19869999999999999</c:v>
                </c:pt>
                <c:pt idx="21">
                  <c:v>0.18718000000000001</c:v>
                </c:pt>
                <c:pt idx="22">
                  <c:v>0.1759</c:v>
                </c:pt>
                <c:pt idx="23">
                  <c:v>0.16417000000000001</c:v>
                </c:pt>
                <c:pt idx="24">
                  <c:v>0.152</c:v>
                </c:pt>
                <c:pt idx="25">
                  <c:v>0.13979</c:v>
                </c:pt>
                <c:pt idx="26">
                  <c:v>0.12870000000000001</c:v>
                </c:pt>
                <c:pt idx="27">
                  <c:v>0.11977</c:v>
                </c:pt>
                <c:pt idx="28">
                  <c:v>0.11260000000000001</c:v>
                </c:pt>
                <c:pt idx="29">
                  <c:v>0.10642</c:v>
                </c:pt>
                <c:pt idx="30">
                  <c:v>0.1002</c:v>
                </c:pt>
                <c:pt idx="31">
                  <c:v>9.3210000000000001E-2</c:v>
                </c:pt>
                <c:pt idx="32">
                  <c:v>8.5999999999999993E-2</c:v>
                </c:pt>
                <c:pt idx="33">
                  <c:v>7.9450000000000007E-2</c:v>
                </c:pt>
                <c:pt idx="34">
                  <c:v>7.4300000000000005E-2</c:v>
                </c:pt>
                <c:pt idx="35">
                  <c:v>7.1139999999999995E-2</c:v>
                </c:pt>
                <c:pt idx="36">
                  <c:v>6.9900000000000004E-2</c:v>
                </c:pt>
                <c:pt idx="37">
                  <c:v>7.0190000000000002E-2</c:v>
                </c:pt>
                <c:pt idx="38">
                  <c:v>7.0900000000000005E-2</c:v>
                </c:pt>
                <c:pt idx="39">
                  <c:v>7.109E-2</c:v>
                </c:pt>
                <c:pt idx="40">
                  <c:v>7.1099999999999997E-2</c:v>
                </c:pt>
                <c:pt idx="41">
                  <c:v>7.1749999999999994E-2</c:v>
                </c:pt>
                <c:pt idx="42">
                  <c:v>7.4499999999999997E-2</c:v>
                </c:pt>
                <c:pt idx="43">
                  <c:v>8.0839999999999995E-2</c:v>
                </c:pt>
                <c:pt idx="44">
                  <c:v>9.1899999999999996E-2</c:v>
                </c:pt>
                <c:pt idx="45">
                  <c:v>0.10811</c:v>
                </c:pt>
                <c:pt idx="46">
                  <c:v>0.12759999999999999</c:v>
                </c:pt>
                <c:pt idx="47">
                  <c:v>0.14791000000000001</c:v>
                </c:pt>
                <c:pt idx="48">
                  <c:v>0.16650000000000001</c:v>
                </c:pt>
                <c:pt idx="49">
                  <c:v>0.18129999999999999</c:v>
                </c:pt>
                <c:pt idx="50">
                  <c:v>0.1923</c:v>
                </c:pt>
                <c:pt idx="51">
                  <c:v>0.20011000000000001</c:v>
                </c:pt>
                <c:pt idx="52">
                  <c:v>0.20569999999999999</c:v>
                </c:pt>
                <c:pt idx="53">
                  <c:v>0.20999000000000001</c:v>
                </c:pt>
                <c:pt idx="54">
                  <c:v>0.21340000000000001</c:v>
                </c:pt>
                <c:pt idx="55">
                  <c:v>0.21626000000000001</c:v>
                </c:pt>
                <c:pt idx="56">
                  <c:v>0.21890000000000001</c:v>
                </c:pt>
                <c:pt idx="57">
                  <c:v>0.22164</c:v>
                </c:pt>
                <c:pt idx="58">
                  <c:v>0.22459999999999999</c:v>
                </c:pt>
                <c:pt idx="59">
                  <c:v>0.22767999999999999</c:v>
                </c:pt>
                <c:pt idx="60">
                  <c:v>0.2301</c:v>
                </c:pt>
                <c:pt idx="61">
                  <c:v>0.23136999999999999</c:v>
                </c:pt>
                <c:pt idx="62">
                  <c:v>0.2329</c:v>
                </c:pt>
                <c:pt idx="63">
                  <c:v>0.23605999999999999</c:v>
                </c:pt>
                <c:pt idx="64">
                  <c:v>0.24010000000000001</c:v>
                </c:pt>
                <c:pt idx="65">
                  <c:v>0.24393000000000001</c:v>
                </c:pt>
                <c:pt idx="66">
                  <c:v>0.2472</c:v>
                </c:pt>
                <c:pt idx="67">
                  <c:v>0.24973000000000001</c:v>
                </c:pt>
                <c:pt idx="68">
                  <c:v>0.25119999999999998</c:v>
                </c:pt>
                <c:pt idx="69">
                  <c:v>0.25119999999999998</c:v>
                </c:pt>
                <c:pt idx="70">
                  <c:v>0.25119999999999998</c:v>
                </c:pt>
                <c:pt idx="71">
                  <c:v>0.25119999999999998</c:v>
                </c:pt>
                <c:pt idx="72">
                  <c:v>0.25119999999999998</c:v>
                </c:pt>
                <c:pt idx="73">
                  <c:v>0.25119999999999998</c:v>
                </c:pt>
                <c:pt idx="74">
                  <c:v>0.25119999999999998</c:v>
                </c:pt>
                <c:pt idx="75">
                  <c:v>0.25119999999999998</c:v>
                </c:pt>
                <c:pt idx="76">
                  <c:v>0.25119999999999998</c:v>
                </c:pt>
                <c:pt idx="77">
                  <c:v>0.25119999999999998</c:v>
                </c:pt>
                <c:pt idx="78">
                  <c:v>0.25119999999999998</c:v>
                </c:pt>
                <c:pt idx="79">
                  <c:v>0.25119999999999998</c:v>
                </c:pt>
                <c:pt idx="80">
                  <c:v>0.25119999999999998</c:v>
                </c:pt>
                <c:pt idx="81">
                  <c:v>0.25119999999999998</c:v>
                </c:pt>
                <c:pt idx="82">
                  <c:v>0.25119999999999998</c:v>
                </c:pt>
                <c:pt idx="83">
                  <c:v>0.25119999999999998</c:v>
                </c:pt>
                <c:pt idx="84">
                  <c:v>0.25119999999999998</c:v>
                </c:pt>
                <c:pt idx="85">
                  <c:v>0.25119999999999998</c:v>
                </c:pt>
                <c:pt idx="86">
                  <c:v>0.25119999999999998</c:v>
                </c:pt>
                <c:pt idx="87">
                  <c:v>0.25119999999999998</c:v>
                </c:pt>
                <c:pt idx="88">
                  <c:v>0.25119999999999998</c:v>
                </c:pt>
                <c:pt idx="89">
                  <c:v>0.25119999999999998</c:v>
                </c:pt>
                <c:pt idx="90">
                  <c:v>0.25119999999999998</c:v>
                </c:pt>
                <c:pt idx="91">
                  <c:v>0.25119999999999998</c:v>
                </c:pt>
                <c:pt idx="92">
                  <c:v>0.25119999999999998</c:v>
                </c:pt>
                <c:pt idx="93">
                  <c:v>0.25119999999999998</c:v>
                </c:pt>
                <c:pt idx="94">
                  <c:v>0.25119999999999998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9-3FE4-445B-8EEB-D88489EA6296}"/>
            </c:ext>
          </c:extLst>
        </c:ser>
        <c:ser>
          <c:idx val="91"/>
          <c:order val="9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'99set'!$CO$10:$CO$104</c:f>
              <c:numCache>
                <c:formatCode>0.00000</c:formatCode>
                <c:ptCount val="95"/>
                <c:pt idx="0">
                  <c:v>2.9659999999999999E-2</c:v>
                </c:pt>
                <c:pt idx="1">
                  <c:v>2.9659999999999999E-2</c:v>
                </c:pt>
                <c:pt idx="2">
                  <c:v>2.9659999999999999E-2</c:v>
                </c:pt>
                <c:pt idx="3">
                  <c:v>2.9659999999999999E-2</c:v>
                </c:pt>
                <c:pt idx="4">
                  <c:v>2.9659999999999999E-2</c:v>
                </c:pt>
                <c:pt idx="5">
                  <c:v>3.3790000000000001E-2</c:v>
                </c:pt>
                <c:pt idx="6">
                  <c:v>4.777E-2</c:v>
                </c:pt>
                <c:pt idx="7">
                  <c:v>7.9170000000000004E-2</c:v>
                </c:pt>
                <c:pt idx="8">
                  <c:v>0.13075000000000001</c:v>
                </c:pt>
                <c:pt idx="9">
                  <c:v>0.17691000000000001</c:v>
                </c:pt>
                <c:pt idx="10">
                  <c:v>0.22905</c:v>
                </c:pt>
                <c:pt idx="11">
                  <c:v>0.28445999999999999</c:v>
                </c:pt>
                <c:pt idx="12">
                  <c:v>0.34278999999999998</c:v>
                </c:pt>
                <c:pt idx="13">
                  <c:v>0.40110000000000001</c:v>
                </c:pt>
                <c:pt idx="14">
                  <c:v>0.45479000000000003</c:v>
                </c:pt>
                <c:pt idx="15">
                  <c:v>0.50149999999999995</c:v>
                </c:pt>
                <c:pt idx="16">
                  <c:v>0.53963000000000005</c:v>
                </c:pt>
                <c:pt idx="17">
                  <c:v>0.56762000000000001</c:v>
                </c:pt>
                <c:pt idx="18">
                  <c:v>0.58708000000000005</c:v>
                </c:pt>
                <c:pt idx="19">
                  <c:v>0.60060999999999998</c:v>
                </c:pt>
                <c:pt idx="20">
                  <c:v>0.60850000000000004</c:v>
                </c:pt>
                <c:pt idx="21">
                  <c:v>0.61063999999999996</c:v>
                </c:pt>
                <c:pt idx="22">
                  <c:v>0.60879000000000005</c:v>
                </c:pt>
                <c:pt idx="23">
                  <c:v>0.60406000000000004</c:v>
                </c:pt>
                <c:pt idx="24">
                  <c:v>0.59733999999999998</c:v>
                </c:pt>
                <c:pt idx="25">
                  <c:v>0.59009</c:v>
                </c:pt>
                <c:pt idx="26">
                  <c:v>0.58274999999999999</c:v>
                </c:pt>
                <c:pt idx="27">
                  <c:v>0.57511000000000001</c:v>
                </c:pt>
                <c:pt idx="28">
                  <c:v>0.56691999999999998</c:v>
                </c:pt>
                <c:pt idx="29">
                  <c:v>0.55949000000000004</c:v>
                </c:pt>
                <c:pt idx="30">
                  <c:v>0.55296999999999996</c:v>
                </c:pt>
                <c:pt idx="31">
                  <c:v>0.54596999999999996</c:v>
                </c:pt>
                <c:pt idx="32">
                  <c:v>0.53793000000000002</c:v>
                </c:pt>
                <c:pt idx="33">
                  <c:v>0.52942999999999996</c:v>
                </c:pt>
                <c:pt idx="34">
                  <c:v>0.52207000000000003</c:v>
                </c:pt>
                <c:pt idx="35">
                  <c:v>0.51668999999999998</c:v>
                </c:pt>
                <c:pt idx="36">
                  <c:v>0.51244000000000001</c:v>
                </c:pt>
                <c:pt idx="37">
                  <c:v>0.50807000000000002</c:v>
                </c:pt>
                <c:pt idx="38">
                  <c:v>0.50370999999999999</c:v>
                </c:pt>
                <c:pt idx="39">
                  <c:v>0.50097000000000003</c:v>
                </c:pt>
                <c:pt idx="40">
                  <c:v>0.50109000000000004</c:v>
                </c:pt>
                <c:pt idx="41">
                  <c:v>0.50341999999999998</c:v>
                </c:pt>
                <c:pt idx="42">
                  <c:v>0.50600999999999996</c:v>
                </c:pt>
                <c:pt idx="43">
                  <c:v>0.50809000000000004</c:v>
                </c:pt>
                <c:pt idx="44">
                  <c:v>0.51071999999999995</c:v>
                </c:pt>
                <c:pt idx="45">
                  <c:v>0.51512999999999998</c:v>
                </c:pt>
                <c:pt idx="46">
                  <c:v>0.52154</c:v>
                </c:pt>
                <c:pt idx="47">
                  <c:v>0.52925</c:v>
                </c:pt>
                <c:pt idx="48">
                  <c:v>0.53705000000000003</c:v>
                </c:pt>
                <c:pt idx="49">
                  <c:v>0.54510999999999998</c:v>
                </c:pt>
                <c:pt idx="50">
                  <c:v>0.55457999999999996</c:v>
                </c:pt>
                <c:pt idx="51">
                  <c:v>0.56537000000000004</c:v>
                </c:pt>
                <c:pt idx="52">
                  <c:v>0.57660999999999996</c:v>
                </c:pt>
                <c:pt idx="53">
                  <c:v>0.58748999999999996</c:v>
                </c:pt>
                <c:pt idx="54">
                  <c:v>0.59585999999999995</c:v>
                </c:pt>
                <c:pt idx="55">
                  <c:v>0.60145999999999999</c:v>
                </c:pt>
                <c:pt idx="56">
                  <c:v>0.60694000000000004</c:v>
                </c:pt>
                <c:pt idx="57">
                  <c:v>0.61324000000000001</c:v>
                </c:pt>
                <c:pt idx="58">
                  <c:v>0.61885999999999997</c:v>
                </c:pt>
                <c:pt idx="59">
                  <c:v>0.62331000000000003</c:v>
                </c:pt>
                <c:pt idx="60">
                  <c:v>0.62790000000000001</c:v>
                </c:pt>
                <c:pt idx="61">
                  <c:v>0.63149999999999995</c:v>
                </c:pt>
                <c:pt idx="62">
                  <c:v>0.63258000000000003</c:v>
                </c:pt>
                <c:pt idx="63">
                  <c:v>0.63234000000000001</c:v>
                </c:pt>
                <c:pt idx="64">
                  <c:v>0.63234999999999997</c:v>
                </c:pt>
                <c:pt idx="65">
                  <c:v>0.62883999999999995</c:v>
                </c:pt>
                <c:pt idx="66">
                  <c:v>0.62321000000000004</c:v>
                </c:pt>
                <c:pt idx="67">
                  <c:v>0.61633000000000004</c:v>
                </c:pt>
                <c:pt idx="68">
                  <c:v>0.60748999999999997</c:v>
                </c:pt>
                <c:pt idx="69">
                  <c:v>0.59714999999999996</c:v>
                </c:pt>
                <c:pt idx="70">
                  <c:v>0.58830000000000005</c:v>
                </c:pt>
                <c:pt idx="71">
                  <c:v>0.58145999999999998</c:v>
                </c:pt>
                <c:pt idx="72">
                  <c:v>0.57354000000000005</c:v>
                </c:pt>
                <c:pt idx="73">
                  <c:v>0.56537999999999999</c:v>
                </c:pt>
                <c:pt idx="74">
                  <c:v>0.55745</c:v>
                </c:pt>
                <c:pt idx="75">
                  <c:v>0.54949000000000003</c:v>
                </c:pt>
                <c:pt idx="76">
                  <c:v>0.54151000000000005</c:v>
                </c:pt>
                <c:pt idx="77">
                  <c:v>0.53349999999999997</c:v>
                </c:pt>
                <c:pt idx="78">
                  <c:v>0.52547999999999995</c:v>
                </c:pt>
                <c:pt idx="79">
                  <c:v>0.51744000000000001</c:v>
                </c:pt>
                <c:pt idx="80">
                  <c:v>0.50939999999999996</c:v>
                </c:pt>
                <c:pt idx="81">
                  <c:v>0.50134999999999996</c:v>
                </c:pt>
                <c:pt idx="82">
                  <c:v>0.49329000000000001</c:v>
                </c:pt>
                <c:pt idx="83">
                  <c:v>0.48522999999999999</c:v>
                </c:pt>
                <c:pt idx="84">
                  <c:v>0.47717999999999999</c:v>
                </c:pt>
                <c:pt idx="85">
                  <c:v>0.47717999999999999</c:v>
                </c:pt>
                <c:pt idx="86">
                  <c:v>0.47717999999999999</c:v>
                </c:pt>
                <c:pt idx="87">
                  <c:v>0.47717999999999999</c:v>
                </c:pt>
                <c:pt idx="88">
                  <c:v>0.47717999999999999</c:v>
                </c:pt>
                <c:pt idx="89">
                  <c:v>0.47717999999999999</c:v>
                </c:pt>
                <c:pt idx="90">
                  <c:v>0.47717999999999999</c:v>
                </c:pt>
                <c:pt idx="91">
                  <c:v>0.47717999999999999</c:v>
                </c:pt>
                <c:pt idx="92">
                  <c:v>0.47717999999999999</c:v>
                </c:pt>
                <c:pt idx="93">
                  <c:v>0.47717999999999999</c:v>
                </c:pt>
                <c:pt idx="94">
                  <c:v>0.47717999999999999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A-3FE4-445B-8EEB-D88489EA6296}"/>
            </c:ext>
          </c:extLst>
        </c:ser>
        <c:ser>
          <c:idx val="92"/>
          <c:order val="9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'99set'!$CP$10:$CP$104</c:f>
              <c:numCache>
                <c:formatCode>0.00000</c:formatCode>
                <c:ptCount val="95"/>
                <c:pt idx="0">
                  <c:v>5.2599999999999999E-3</c:v>
                </c:pt>
                <c:pt idx="1">
                  <c:v>5.2599999999999999E-3</c:v>
                </c:pt>
                <c:pt idx="2">
                  <c:v>5.2599999999999999E-3</c:v>
                </c:pt>
                <c:pt idx="3">
                  <c:v>5.2599999999999999E-3</c:v>
                </c:pt>
                <c:pt idx="4">
                  <c:v>5.2599999999999999E-3</c:v>
                </c:pt>
                <c:pt idx="5">
                  <c:v>2.4479999999999998E-2</c:v>
                </c:pt>
                <c:pt idx="6">
                  <c:v>5.1650000000000001E-2</c:v>
                </c:pt>
                <c:pt idx="7">
                  <c:v>7.3730000000000004E-2</c:v>
                </c:pt>
                <c:pt idx="8">
                  <c:v>9.6699999999999994E-2</c:v>
                </c:pt>
                <c:pt idx="9">
                  <c:v>0.12048</c:v>
                </c:pt>
                <c:pt idx="10">
                  <c:v>0.14704999999999999</c:v>
                </c:pt>
                <c:pt idx="11">
                  <c:v>0.17355000000000001</c:v>
                </c:pt>
                <c:pt idx="12">
                  <c:v>0.19903000000000001</c:v>
                </c:pt>
                <c:pt idx="13">
                  <c:v>0.22337000000000001</c:v>
                </c:pt>
                <c:pt idx="14">
                  <c:v>0.24496999999999999</c:v>
                </c:pt>
                <c:pt idx="15">
                  <c:v>0.26321</c:v>
                </c:pt>
                <c:pt idx="16">
                  <c:v>0.27932000000000001</c:v>
                </c:pt>
                <c:pt idx="17">
                  <c:v>0.29203000000000001</c:v>
                </c:pt>
                <c:pt idx="18">
                  <c:v>0.2999</c:v>
                </c:pt>
                <c:pt idx="19">
                  <c:v>0.30270000000000002</c:v>
                </c:pt>
                <c:pt idx="20">
                  <c:v>0.30153999999999997</c:v>
                </c:pt>
                <c:pt idx="21">
                  <c:v>0.29826000000000003</c:v>
                </c:pt>
                <c:pt idx="22">
                  <c:v>0.29386000000000001</c:v>
                </c:pt>
                <c:pt idx="23">
                  <c:v>0.28892000000000001</c:v>
                </c:pt>
                <c:pt idx="24">
                  <c:v>0.28247</c:v>
                </c:pt>
                <c:pt idx="25">
                  <c:v>0.27445000000000003</c:v>
                </c:pt>
                <c:pt idx="26">
                  <c:v>0.26513999999999999</c:v>
                </c:pt>
                <c:pt idx="27">
                  <c:v>0.25488</c:v>
                </c:pt>
                <c:pt idx="28">
                  <c:v>0.24532000000000001</c:v>
                </c:pt>
                <c:pt idx="29">
                  <c:v>0.23679</c:v>
                </c:pt>
                <c:pt idx="30">
                  <c:v>0.22756000000000001</c:v>
                </c:pt>
                <c:pt idx="31">
                  <c:v>0.21695999999999999</c:v>
                </c:pt>
                <c:pt idx="32">
                  <c:v>0.20634</c:v>
                </c:pt>
                <c:pt idx="33">
                  <c:v>0.19675999999999999</c:v>
                </c:pt>
                <c:pt idx="34">
                  <c:v>0.18815999999999999</c:v>
                </c:pt>
                <c:pt idx="35">
                  <c:v>0.18045</c:v>
                </c:pt>
                <c:pt idx="36">
                  <c:v>0.1734</c:v>
                </c:pt>
                <c:pt idx="37">
                  <c:v>0.16725000000000001</c:v>
                </c:pt>
                <c:pt idx="38">
                  <c:v>0.16263</c:v>
                </c:pt>
                <c:pt idx="39">
                  <c:v>0.16</c:v>
                </c:pt>
                <c:pt idx="40">
                  <c:v>0.15892999999999999</c:v>
                </c:pt>
                <c:pt idx="41">
                  <c:v>0.15867999999999999</c:v>
                </c:pt>
                <c:pt idx="42">
                  <c:v>0.15917999999999999</c:v>
                </c:pt>
                <c:pt idx="43">
                  <c:v>0.16048000000000001</c:v>
                </c:pt>
                <c:pt idx="44">
                  <c:v>0.16283</c:v>
                </c:pt>
                <c:pt idx="45">
                  <c:v>0.16661000000000001</c:v>
                </c:pt>
                <c:pt idx="46">
                  <c:v>0.17222000000000001</c:v>
                </c:pt>
                <c:pt idx="47">
                  <c:v>0.18040999999999999</c:v>
                </c:pt>
                <c:pt idx="48">
                  <c:v>0.19233</c:v>
                </c:pt>
                <c:pt idx="49">
                  <c:v>0.20952999999999999</c:v>
                </c:pt>
                <c:pt idx="50">
                  <c:v>0.23350000000000001</c:v>
                </c:pt>
                <c:pt idx="51">
                  <c:v>0.26384000000000002</c:v>
                </c:pt>
                <c:pt idx="52">
                  <c:v>0.29849999999999999</c:v>
                </c:pt>
                <c:pt idx="53">
                  <c:v>0.33517999999999998</c:v>
                </c:pt>
                <c:pt idx="54">
                  <c:v>0.37373000000000001</c:v>
                </c:pt>
                <c:pt idx="55">
                  <c:v>0.41399000000000002</c:v>
                </c:pt>
                <c:pt idx="56">
                  <c:v>0.45456000000000002</c:v>
                </c:pt>
                <c:pt idx="57">
                  <c:v>0.49236000000000002</c:v>
                </c:pt>
                <c:pt idx="58">
                  <c:v>0.52439000000000002</c:v>
                </c:pt>
                <c:pt idx="59">
                  <c:v>0.55001</c:v>
                </c:pt>
                <c:pt idx="60">
                  <c:v>0.57049000000000005</c:v>
                </c:pt>
                <c:pt idx="61">
                  <c:v>0.58799000000000001</c:v>
                </c:pt>
                <c:pt idx="62">
                  <c:v>0.60570000000000002</c:v>
                </c:pt>
                <c:pt idx="63">
                  <c:v>0.62287000000000003</c:v>
                </c:pt>
                <c:pt idx="64">
                  <c:v>0.63522999999999996</c:v>
                </c:pt>
                <c:pt idx="65">
                  <c:v>0.64717000000000002</c:v>
                </c:pt>
                <c:pt idx="66">
                  <c:v>0.65930999999999995</c:v>
                </c:pt>
                <c:pt idx="67">
                  <c:v>0.67212000000000005</c:v>
                </c:pt>
                <c:pt idx="68">
                  <c:v>0.68574999999999997</c:v>
                </c:pt>
                <c:pt idx="69">
                  <c:v>0.7006</c:v>
                </c:pt>
                <c:pt idx="70">
                  <c:v>0.71303000000000005</c:v>
                </c:pt>
                <c:pt idx="71">
                  <c:v>0.72275</c:v>
                </c:pt>
                <c:pt idx="72">
                  <c:v>0.73370000000000002</c:v>
                </c:pt>
                <c:pt idx="73">
                  <c:v>0.74439</c:v>
                </c:pt>
                <c:pt idx="74">
                  <c:v>0.75455000000000005</c:v>
                </c:pt>
                <c:pt idx="75">
                  <c:v>0.76441999999999999</c:v>
                </c:pt>
                <c:pt idx="76">
                  <c:v>0.77403</c:v>
                </c:pt>
                <c:pt idx="77">
                  <c:v>0.78334999999999999</c:v>
                </c:pt>
                <c:pt idx="78">
                  <c:v>0.79239000000000004</c:v>
                </c:pt>
                <c:pt idx="79">
                  <c:v>0.80115000000000003</c:v>
                </c:pt>
                <c:pt idx="80">
                  <c:v>0.80962999999999996</c:v>
                </c:pt>
                <c:pt idx="81">
                  <c:v>0.81816</c:v>
                </c:pt>
                <c:pt idx="82">
                  <c:v>0.82632000000000005</c:v>
                </c:pt>
                <c:pt idx="83">
                  <c:v>0.83411000000000002</c:v>
                </c:pt>
                <c:pt idx="84">
                  <c:v>0.84153999999999995</c:v>
                </c:pt>
                <c:pt idx="85">
                  <c:v>0.84153999999999995</c:v>
                </c:pt>
                <c:pt idx="86">
                  <c:v>0.84153999999999995</c:v>
                </c:pt>
                <c:pt idx="87">
                  <c:v>0.84153999999999995</c:v>
                </c:pt>
                <c:pt idx="88">
                  <c:v>0.84153999999999995</c:v>
                </c:pt>
                <c:pt idx="89">
                  <c:v>0.84153999999999995</c:v>
                </c:pt>
                <c:pt idx="90">
                  <c:v>0.84153999999999995</c:v>
                </c:pt>
                <c:pt idx="91">
                  <c:v>0.84153999999999995</c:v>
                </c:pt>
                <c:pt idx="92">
                  <c:v>0.84153999999999995</c:v>
                </c:pt>
                <c:pt idx="93">
                  <c:v>0.84153999999999995</c:v>
                </c:pt>
                <c:pt idx="94">
                  <c:v>0.84153999999999995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B-3FE4-445B-8EEB-D88489EA6296}"/>
            </c:ext>
          </c:extLst>
        </c:ser>
        <c:ser>
          <c:idx val="93"/>
          <c:order val="9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'99set'!$CQ$10:$CQ$104</c:f>
              <c:numCache>
                <c:formatCode>0.00000</c:formatCode>
                <c:ptCount val="95"/>
                <c:pt idx="0">
                  <c:v>0.23077</c:v>
                </c:pt>
                <c:pt idx="1">
                  <c:v>0.23077</c:v>
                </c:pt>
                <c:pt idx="2">
                  <c:v>0.23077</c:v>
                </c:pt>
                <c:pt idx="3">
                  <c:v>0.23077</c:v>
                </c:pt>
                <c:pt idx="4">
                  <c:v>0.23077</c:v>
                </c:pt>
                <c:pt idx="5">
                  <c:v>0.24351999999999999</c:v>
                </c:pt>
                <c:pt idx="6">
                  <c:v>0.25635999999999998</c:v>
                </c:pt>
                <c:pt idx="7">
                  <c:v>0.26919999999999999</c:v>
                </c:pt>
                <c:pt idx="8">
                  <c:v>0.28194999999999998</c:v>
                </c:pt>
                <c:pt idx="9">
                  <c:v>0.29459999999999997</c:v>
                </c:pt>
                <c:pt idx="10">
                  <c:v>0.30753999999999998</c:v>
                </c:pt>
                <c:pt idx="11">
                  <c:v>0.32129999999999997</c:v>
                </c:pt>
                <c:pt idx="12">
                  <c:v>0.33661999999999997</c:v>
                </c:pt>
                <c:pt idx="13">
                  <c:v>0.35357</c:v>
                </c:pt>
                <c:pt idx="14">
                  <c:v>0.36925000000000002</c:v>
                </c:pt>
                <c:pt idx="15">
                  <c:v>0.38105</c:v>
                </c:pt>
                <c:pt idx="16">
                  <c:v>0.39054</c:v>
                </c:pt>
                <c:pt idx="17">
                  <c:v>0.39974999999999999</c:v>
                </c:pt>
                <c:pt idx="18">
                  <c:v>0.40838999999999998</c:v>
                </c:pt>
                <c:pt idx="19">
                  <c:v>0.41538999999999998</c:v>
                </c:pt>
                <c:pt idx="20">
                  <c:v>0.41876999999999998</c:v>
                </c:pt>
                <c:pt idx="21">
                  <c:v>0.41719000000000001</c:v>
                </c:pt>
                <c:pt idx="22">
                  <c:v>0.41282999999999997</c:v>
                </c:pt>
                <c:pt idx="23">
                  <c:v>0.40771000000000002</c:v>
                </c:pt>
                <c:pt idx="24">
                  <c:v>0.39971000000000001</c:v>
                </c:pt>
                <c:pt idx="25">
                  <c:v>0.38682</c:v>
                </c:pt>
                <c:pt idx="26">
                  <c:v>0.37157000000000001</c:v>
                </c:pt>
                <c:pt idx="27">
                  <c:v>0.35699999999999998</c:v>
                </c:pt>
                <c:pt idx="28">
                  <c:v>0.34355999999999998</c:v>
                </c:pt>
                <c:pt idx="29">
                  <c:v>0.33107999999999999</c:v>
                </c:pt>
                <c:pt idx="30">
                  <c:v>0.31952000000000003</c:v>
                </c:pt>
                <c:pt idx="31">
                  <c:v>0.30897000000000002</c:v>
                </c:pt>
                <c:pt idx="32">
                  <c:v>0.30003000000000002</c:v>
                </c:pt>
                <c:pt idx="33">
                  <c:v>0.29315999999999998</c:v>
                </c:pt>
                <c:pt idx="34">
                  <c:v>0.28788000000000002</c:v>
                </c:pt>
                <c:pt idx="35">
                  <c:v>0.28365000000000001</c:v>
                </c:pt>
                <c:pt idx="36">
                  <c:v>0.28066000000000002</c:v>
                </c:pt>
                <c:pt idx="37">
                  <c:v>0.27914</c:v>
                </c:pt>
                <c:pt idx="38">
                  <c:v>0.27879999999999999</c:v>
                </c:pt>
                <c:pt idx="39">
                  <c:v>0.27934999999999999</c:v>
                </c:pt>
                <c:pt idx="40">
                  <c:v>0.28106999999999999</c:v>
                </c:pt>
                <c:pt idx="41">
                  <c:v>0.28419</c:v>
                </c:pt>
                <c:pt idx="42">
                  <c:v>0.28827000000000003</c:v>
                </c:pt>
                <c:pt idx="43">
                  <c:v>0.29294999999999999</c:v>
                </c:pt>
                <c:pt idx="44">
                  <c:v>0.29888999999999999</c:v>
                </c:pt>
                <c:pt idx="45">
                  <c:v>0.30682999999999999</c:v>
                </c:pt>
                <c:pt idx="46">
                  <c:v>0.31669999999999998</c:v>
                </c:pt>
                <c:pt idx="47">
                  <c:v>0.32832</c:v>
                </c:pt>
                <c:pt idx="48">
                  <c:v>0.34189000000000003</c:v>
                </c:pt>
                <c:pt idx="49">
                  <c:v>0.35764000000000001</c:v>
                </c:pt>
                <c:pt idx="50">
                  <c:v>0.37558000000000002</c:v>
                </c:pt>
                <c:pt idx="51">
                  <c:v>0.39567000000000002</c:v>
                </c:pt>
                <c:pt idx="52">
                  <c:v>0.41782999999999998</c:v>
                </c:pt>
                <c:pt idx="53">
                  <c:v>0.44203999999999999</c:v>
                </c:pt>
                <c:pt idx="54">
                  <c:v>0.46839999999999998</c:v>
                </c:pt>
                <c:pt idx="55">
                  <c:v>0.49679000000000001</c:v>
                </c:pt>
                <c:pt idx="56">
                  <c:v>0.52605999999999997</c:v>
                </c:pt>
                <c:pt idx="57">
                  <c:v>0.55501999999999996</c:v>
                </c:pt>
                <c:pt idx="58">
                  <c:v>0.58337000000000006</c:v>
                </c:pt>
                <c:pt idx="59">
                  <c:v>0.61087999999999998</c:v>
                </c:pt>
                <c:pt idx="60">
                  <c:v>0.63663000000000003</c:v>
                </c:pt>
                <c:pt idx="61">
                  <c:v>0.65968000000000004</c:v>
                </c:pt>
                <c:pt idx="62">
                  <c:v>0.67984</c:v>
                </c:pt>
                <c:pt idx="63">
                  <c:v>0.69708999999999999</c:v>
                </c:pt>
                <c:pt idx="64">
                  <c:v>0.71148</c:v>
                </c:pt>
                <c:pt idx="65">
                  <c:v>0.72321000000000002</c:v>
                </c:pt>
                <c:pt idx="66">
                  <c:v>0.73309000000000002</c:v>
                </c:pt>
                <c:pt idx="67">
                  <c:v>0.74189000000000005</c:v>
                </c:pt>
                <c:pt idx="68">
                  <c:v>0.74956999999999996</c:v>
                </c:pt>
                <c:pt idx="69">
                  <c:v>0.75580999999999998</c:v>
                </c:pt>
                <c:pt idx="70">
                  <c:v>0.76012999999999997</c:v>
                </c:pt>
                <c:pt idx="71">
                  <c:v>0.76226000000000005</c:v>
                </c:pt>
                <c:pt idx="72">
                  <c:v>0.76305999999999996</c:v>
                </c:pt>
                <c:pt idx="73">
                  <c:v>0.76368999999999998</c:v>
                </c:pt>
                <c:pt idx="74">
                  <c:v>0.76529999999999998</c:v>
                </c:pt>
                <c:pt idx="75">
                  <c:v>0.76570000000000005</c:v>
                </c:pt>
                <c:pt idx="76">
                  <c:v>0.76658000000000004</c:v>
                </c:pt>
                <c:pt idx="77">
                  <c:v>0.76746000000000003</c:v>
                </c:pt>
                <c:pt idx="78">
                  <c:v>0.76832999999999996</c:v>
                </c:pt>
                <c:pt idx="79">
                  <c:v>0.76919999999999999</c:v>
                </c:pt>
                <c:pt idx="80">
                  <c:v>0.77007000000000003</c:v>
                </c:pt>
                <c:pt idx="81">
                  <c:v>0.77093999999999996</c:v>
                </c:pt>
                <c:pt idx="82">
                  <c:v>0.77181</c:v>
                </c:pt>
                <c:pt idx="83">
                  <c:v>0.77266999999999997</c:v>
                </c:pt>
                <c:pt idx="84">
                  <c:v>0.77353000000000005</c:v>
                </c:pt>
                <c:pt idx="85">
                  <c:v>0.77353000000000005</c:v>
                </c:pt>
                <c:pt idx="86">
                  <c:v>0.77353000000000005</c:v>
                </c:pt>
                <c:pt idx="87">
                  <c:v>0.77353000000000005</c:v>
                </c:pt>
                <c:pt idx="88">
                  <c:v>0.77353000000000005</c:v>
                </c:pt>
                <c:pt idx="89">
                  <c:v>0.77353000000000005</c:v>
                </c:pt>
                <c:pt idx="90">
                  <c:v>0.77353000000000005</c:v>
                </c:pt>
                <c:pt idx="91">
                  <c:v>0.77353000000000005</c:v>
                </c:pt>
                <c:pt idx="92">
                  <c:v>0.77353000000000005</c:v>
                </c:pt>
                <c:pt idx="93">
                  <c:v>0.77353000000000005</c:v>
                </c:pt>
                <c:pt idx="94">
                  <c:v>0.77353000000000005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C-3FE4-445B-8EEB-D88489EA6296}"/>
            </c:ext>
          </c:extLst>
        </c:ser>
        <c:ser>
          <c:idx val="94"/>
          <c:order val="9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'99set'!$CR$10:$CR$104</c:f>
              <c:numCache>
                <c:formatCode>0.00000</c:formatCode>
                <c:ptCount val="95"/>
                <c:pt idx="0">
                  <c:v>6.1019999999999998E-2</c:v>
                </c:pt>
                <c:pt idx="1">
                  <c:v>6.1019999999999998E-2</c:v>
                </c:pt>
                <c:pt idx="2">
                  <c:v>6.1019999999999998E-2</c:v>
                </c:pt>
                <c:pt idx="3">
                  <c:v>6.1019999999999998E-2</c:v>
                </c:pt>
                <c:pt idx="4">
                  <c:v>6.1019999999999998E-2</c:v>
                </c:pt>
                <c:pt idx="5">
                  <c:v>6.701E-2</c:v>
                </c:pt>
                <c:pt idx="6">
                  <c:v>7.3539999999999994E-2</c:v>
                </c:pt>
                <c:pt idx="7">
                  <c:v>8.0649999999999999E-2</c:v>
                </c:pt>
                <c:pt idx="8">
                  <c:v>8.8099999999999998E-2</c:v>
                </c:pt>
                <c:pt idx="9">
                  <c:v>9.6939999999999998E-2</c:v>
                </c:pt>
                <c:pt idx="10">
                  <c:v>0.10607</c:v>
                </c:pt>
                <c:pt idx="11">
                  <c:v>0.11496000000000001</c:v>
                </c:pt>
                <c:pt idx="12">
                  <c:v>0.12311999999999999</c:v>
                </c:pt>
                <c:pt idx="13">
                  <c:v>0.13016</c:v>
                </c:pt>
                <c:pt idx="14">
                  <c:v>0.13628999999999999</c:v>
                </c:pt>
                <c:pt idx="15">
                  <c:v>0.14162</c:v>
                </c:pt>
                <c:pt idx="16">
                  <c:v>0.14546999999999999</c:v>
                </c:pt>
                <c:pt idx="17">
                  <c:v>0.14718000000000001</c:v>
                </c:pt>
                <c:pt idx="18">
                  <c:v>0.14699999999999999</c:v>
                </c:pt>
                <c:pt idx="19">
                  <c:v>0.14527999999999999</c:v>
                </c:pt>
                <c:pt idx="20">
                  <c:v>0.14180000000000001</c:v>
                </c:pt>
                <c:pt idx="21">
                  <c:v>0.13636999999999999</c:v>
                </c:pt>
                <c:pt idx="22">
                  <c:v>0.12955</c:v>
                </c:pt>
                <c:pt idx="23">
                  <c:v>0.12194000000000001</c:v>
                </c:pt>
                <c:pt idx="24">
                  <c:v>0.11362</c:v>
                </c:pt>
                <c:pt idx="25">
                  <c:v>0.10476000000000001</c:v>
                </c:pt>
                <c:pt idx="26">
                  <c:v>9.6369999999999997E-2</c:v>
                </c:pt>
                <c:pt idx="27">
                  <c:v>8.9370000000000005E-2</c:v>
                </c:pt>
                <c:pt idx="28">
                  <c:v>8.3409999999999998E-2</c:v>
                </c:pt>
                <c:pt idx="29">
                  <c:v>7.7950000000000005E-2</c:v>
                </c:pt>
                <c:pt idx="30">
                  <c:v>7.2989999999999999E-2</c:v>
                </c:pt>
                <c:pt idx="31">
                  <c:v>6.8650000000000003E-2</c:v>
                </c:pt>
                <c:pt idx="32">
                  <c:v>6.4930000000000002E-2</c:v>
                </c:pt>
                <c:pt idx="33">
                  <c:v>6.1850000000000002E-2</c:v>
                </c:pt>
                <c:pt idx="34">
                  <c:v>5.9520000000000003E-2</c:v>
                </c:pt>
                <c:pt idx="35">
                  <c:v>5.8000000000000003E-2</c:v>
                </c:pt>
                <c:pt idx="36">
                  <c:v>5.7270000000000001E-2</c:v>
                </c:pt>
                <c:pt idx="37">
                  <c:v>5.7270000000000001E-2</c:v>
                </c:pt>
                <c:pt idx="38">
                  <c:v>5.7880000000000001E-2</c:v>
                </c:pt>
                <c:pt idx="39">
                  <c:v>5.8959999999999999E-2</c:v>
                </c:pt>
                <c:pt idx="40">
                  <c:v>6.0330000000000002E-2</c:v>
                </c:pt>
                <c:pt idx="41">
                  <c:v>6.1870000000000001E-2</c:v>
                </c:pt>
                <c:pt idx="42">
                  <c:v>6.3700000000000007E-2</c:v>
                </c:pt>
                <c:pt idx="43">
                  <c:v>6.5989999999999993E-2</c:v>
                </c:pt>
                <c:pt idx="44">
                  <c:v>6.8909999999999999E-2</c:v>
                </c:pt>
                <c:pt idx="45">
                  <c:v>7.2639999999999996E-2</c:v>
                </c:pt>
                <c:pt idx="46">
                  <c:v>7.7479999999999993E-2</c:v>
                </c:pt>
                <c:pt idx="47">
                  <c:v>8.3809999999999996E-2</c:v>
                </c:pt>
                <c:pt idx="48">
                  <c:v>9.2179999999999998E-2</c:v>
                </c:pt>
                <c:pt idx="49">
                  <c:v>0.10310999999999999</c:v>
                </c:pt>
                <c:pt idx="50">
                  <c:v>0.11679</c:v>
                </c:pt>
                <c:pt idx="51">
                  <c:v>0.13341</c:v>
                </c:pt>
                <c:pt idx="52">
                  <c:v>0.15364</c:v>
                </c:pt>
                <c:pt idx="53">
                  <c:v>0.17791000000000001</c:v>
                </c:pt>
                <c:pt idx="54">
                  <c:v>0.20530000000000001</c:v>
                </c:pt>
                <c:pt idx="55">
                  <c:v>0.23477000000000001</c:v>
                </c:pt>
                <c:pt idx="56">
                  <c:v>0.26623999999999998</c:v>
                </c:pt>
                <c:pt idx="57">
                  <c:v>0.29975000000000002</c:v>
                </c:pt>
                <c:pt idx="58">
                  <c:v>0.33484000000000003</c:v>
                </c:pt>
                <c:pt idx="59">
                  <c:v>0.37096000000000001</c:v>
                </c:pt>
                <c:pt idx="60">
                  <c:v>0.40772999999999998</c:v>
                </c:pt>
                <c:pt idx="61">
                  <c:v>0.44474999999999998</c:v>
                </c:pt>
                <c:pt idx="62">
                  <c:v>0.48133999999999999</c:v>
                </c:pt>
                <c:pt idx="63">
                  <c:v>0.51685999999999999</c:v>
                </c:pt>
                <c:pt idx="64">
                  <c:v>0.55127000000000004</c:v>
                </c:pt>
                <c:pt idx="65">
                  <c:v>0.58455000000000001</c:v>
                </c:pt>
                <c:pt idx="66">
                  <c:v>0.61629999999999996</c:v>
                </c:pt>
                <c:pt idx="67">
                  <c:v>0.64600000000000002</c:v>
                </c:pt>
                <c:pt idx="68">
                  <c:v>0.67315999999999998</c:v>
                </c:pt>
                <c:pt idx="69">
                  <c:v>0.70121</c:v>
                </c:pt>
                <c:pt idx="70">
                  <c:v>0.72706999999999999</c:v>
                </c:pt>
                <c:pt idx="71">
                  <c:v>0.75148000000000004</c:v>
                </c:pt>
                <c:pt idx="72">
                  <c:v>0.77439000000000002</c:v>
                </c:pt>
                <c:pt idx="73">
                  <c:v>0.79576000000000002</c:v>
                </c:pt>
                <c:pt idx="74">
                  <c:v>0.81557999999999997</c:v>
                </c:pt>
                <c:pt idx="75">
                  <c:v>0.83389000000000002</c:v>
                </c:pt>
                <c:pt idx="76">
                  <c:v>0.85070999999999997</c:v>
                </c:pt>
                <c:pt idx="77">
                  <c:v>0.86609999999999998</c:v>
                </c:pt>
                <c:pt idx="78">
                  <c:v>0.88012000000000001</c:v>
                </c:pt>
                <c:pt idx="79">
                  <c:v>0.89285999999999999</c:v>
                </c:pt>
                <c:pt idx="80">
                  <c:v>0.90439999999999998</c:v>
                </c:pt>
                <c:pt idx="81">
                  <c:v>0.91481000000000001</c:v>
                </c:pt>
                <c:pt idx="82">
                  <c:v>0.92418</c:v>
                </c:pt>
                <c:pt idx="83">
                  <c:v>0.93259000000000003</c:v>
                </c:pt>
                <c:pt idx="84">
                  <c:v>0.94013999999999998</c:v>
                </c:pt>
                <c:pt idx="85">
                  <c:v>0.94013999999999998</c:v>
                </c:pt>
                <c:pt idx="86">
                  <c:v>0.94013999999999998</c:v>
                </c:pt>
                <c:pt idx="87">
                  <c:v>0.94013999999999998</c:v>
                </c:pt>
                <c:pt idx="88">
                  <c:v>0.94013999999999998</c:v>
                </c:pt>
                <c:pt idx="89">
                  <c:v>0.94013999999999998</c:v>
                </c:pt>
                <c:pt idx="90">
                  <c:v>0.94013999999999998</c:v>
                </c:pt>
                <c:pt idx="91">
                  <c:v>0.94013999999999998</c:v>
                </c:pt>
                <c:pt idx="92">
                  <c:v>0.94013999999999998</c:v>
                </c:pt>
                <c:pt idx="93">
                  <c:v>0.94013999999999998</c:v>
                </c:pt>
                <c:pt idx="94">
                  <c:v>0.94013999999999998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D-3FE4-445B-8EEB-D88489EA6296}"/>
            </c:ext>
          </c:extLst>
        </c:ser>
        <c:ser>
          <c:idx val="95"/>
          <c:order val="9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'99set'!$CS$10:$CS$104</c:f>
              <c:numCache>
                <c:formatCode>0.00000</c:formatCode>
                <c:ptCount val="95"/>
                <c:pt idx="0">
                  <c:v>7.3719999999999994E-2</c:v>
                </c:pt>
                <c:pt idx="1">
                  <c:v>7.3719999999999994E-2</c:v>
                </c:pt>
                <c:pt idx="2">
                  <c:v>7.3719999999999994E-2</c:v>
                </c:pt>
                <c:pt idx="3">
                  <c:v>7.3719999999999994E-2</c:v>
                </c:pt>
                <c:pt idx="4">
                  <c:v>7.3719999999999994E-2</c:v>
                </c:pt>
                <c:pt idx="5">
                  <c:v>9.0649999999999994E-2</c:v>
                </c:pt>
                <c:pt idx="6">
                  <c:v>0.111</c:v>
                </c:pt>
                <c:pt idx="7">
                  <c:v>0.13525000000000001</c:v>
                </c:pt>
                <c:pt idx="8">
                  <c:v>0.16428000000000001</c:v>
                </c:pt>
                <c:pt idx="9">
                  <c:v>0.19678000000000001</c:v>
                </c:pt>
                <c:pt idx="10">
                  <c:v>0.23541000000000001</c:v>
                </c:pt>
                <c:pt idx="11">
                  <c:v>0.27694999999999997</c:v>
                </c:pt>
                <c:pt idx="12">
                  <c:v>0.31816</c:v>
                </c:pt>
                <c:pt idx="13">
                  <c:v>0.35643000000000002</c:v>
                </c:pt>
                <c:pt idx="14">
                  <c:v>0.39144000000000001</c:v>
                </c:pt>
                <c:pt idx="15">
                  <c:v>0.42266999999999999</c:v>
                </c:pt>
                <c:pt idx="16">
                  <c:v>0.44627</c:v>
                </c:pt>
                <c:pt idx="17">
                  <c:v>0.45905000000000001</c:v>
                </c:pt>
                <c:pt idx="18">
                  <c:v>0.46389999999999998</c:v>
                </c:pt>
                <c:pt idx="19">
                  <c:v>0.46464</c:v>
                </c:pt>
                <c:pt idx="20">
                  <c:v>0.46288000000000001</c:v>
                </c:pt>
                <c:pt idx="21">
                  <c:v>0.45926</c:v>
                </c:pt>
                <c:pt idx="22">
                  <c:v>0.45279000000000003</c:v>
                </c:pt>
                <c:pt idx="23">
                  <c:v>0.44268999999999997</c:v>
                </c:pt>
                <c:pt idx="24">
                  <c:v>0.43067</c:v>
                </c:pt>
                <c:pt idx="25">
                  <c:v>0.41861999999999999</c:v>
                </c:pt>
                <c:pt idx="26">
                  <c:v>0.40661999999999998</c:v>
                </c:pt>
                <c:pt idx="27">
                  <c:v>0.39437</c:v>
                </c:pt>
                <c:pt idx="28">
                  <c:v>0.38166</c:v>
                </c:pt>
                <c:pt idx="29">
                  <c:v>0.36831999999999998</c:v>
                </c:pt>
                <c:pt idx="30">
                  <c:v>0.35444999999999999</c:v>
                </c:pt>
                <c:pt idx="31">
                  <c:v>0.34032000000000001</c:v>
                </c:pt>
                <c:pt idx="32">
                  <c:v>0.32702999999999999</c:v>
                </c:pt>
                <c:pt idx="33">
                  <c:v>0.31562000000000001</c:v>
                </c:pt>
                <c:pt idx="34">
                  <c:v>0.30624000000000001</c:v>
                </c:pt>
                <c:pt idx="35">
                  <c:v>0.29880000000000001</c:v>
                </c:pt>
                <c:pt idx="36">
                  <c:v>0.29298999999999997</c:v>
                </c:pt>
                <c:pt idx="37">
                  <c:v>0.28848000000000001</c:v>
                </c:pt>
                <c:pt idx="38">
                  <c:v>0.28494000000000003</c:v>
                </c:pt>
                <c:pt idx="39">
                  <c:v>0.28227000000000002</c:v>
                </c:pt>
                <c:pt idx="40">
                  <c:v>0.28116999999999998</c:v>
                </c:pt>
                <c:pt idx="41">
                  <c:v>0.28238000000000002</c:v>
                </c:pt>
                <c:pt idx="42">
                  <c:v>0.28595999999999999</c:v>
                </c:pt>
                <c:pt idx="43">
                  <c:v>0.29205999999999999</c:v>
                </c:pt>
                <c:pt idx="44">
                  <c:v>0.30186000000000002</c:v>
                </c:pt>
                <c:pt idx="45">
                  <c:v>0.31662000000000001</c:v>
                </c:pt>
                <c:pt idx="46">
                  <c:v>0.33692</c:v>
                </c:pt>
                <c:pt idx="47">
                  <c:v>0.36292999999999997</c:v>
                </c:pt>
                <c:pt idx="48">
                  <c:v>0.39399000000000001</c:v>
                </c:pt>
                <c:pt idx="49">
                  <c:v>0.42914999999999998</c:v>
                </c:pt>
                <c:pt idx="50">
                  <c:v>0.46745999999999999</c:v>
                </c:pt>
                <c:pt idx="51">
                  <c:v>0.50749999999999995</c:v>
                </c:pt>
                <c:pt idx="52">
                  <c:v>0.54613999999999996</c:v>
                </c:pt>
                <c:pt idx="53">
                  <c:v>0.58067999999999997</c:v>
                </c:pt>
                <c:pt idx="54">
                  <c:v>0.61187000000000002</c:v>
                </c:pt>
                <c:pt idx="55">
                  <c:v>0.64119000000000004</c:v>
                </c:pt>
                <c:pt idx="56">
                  <c:v>0.66964999999999997</c:v>
                </c:pt>
                <c:pt idx="57">
                  <c:v>0.69796000000000002</c:v>
                </c:pt>
                <c:pt idx="58">
                  <c:v>0.72611000000000003</c:v>
                </c:pt>
                <c:pt idx="59">
                  <c:v>0.75366999999999995</c:v>
                </c:pt>
                <c:pt idx="60">
                  <c:v>0.77900000000000003</c:v>
                </c:pt>
                <c:pt idx="61">
                  <c:v>0.80047999999999997</c:v>
                </c:pt>
                <c:pt idx="62">
                  <c:v>0.81742000000000004</c:v>
                </c:pt>
                <c:pt idx="63">
                  <c:v>0.82987999999999995</c:v>
                </c:pt>
                <c:pt idx="64">
                  <c:v>0.83974000000000004</c:v>
                </c:pt>
                <c:pt idx="65">
                  <c:v>0.84880999999999995</c:v>
                </c:pt>
                <c:pt idx="66">
                  <c:v>0.85665999999999998</c:v>
                </c:pt>
                <c:pt idx="67">
                  <c:v>0.86234999999999995</c:v>
                </c:pt>
                <c:pt idx="68">
                  <c:v>0.86492000000000002</c:v>
                </c:pt>
                <c:pt idx="69">
                  <c:v>0.87151000000000001</c:v>
                </c:pt>
                <c:pt idx="70">
                  <c:v>0.87626999999999999</c:v>
                </c:pt>
                <c:pt idx="71">
                  <c:v>0.88088999999999995</c:v>
                </c:pt>
                <c:pt idx="72">
                  <c:v>0.88534999999999997</c:v>
                </c:pt>
                <c:pt idx="73">
                  <c:v>0.88966000000000001</c:v>
                </c:pt>
                <c:pt idx="74">
                  <c:v>0.89383999999999997</c:v>
                </c:pt>
                <c:pt idx="75">
                  <c:v>0.89786999999999995</c:v>
                </c:pt>
                <c:pt idx="76">
                  <c:v>0.90176999999999996</c:v>
                </c:pt>
                <c:pt idx="77">
                  <c:v>0.90552999999999995</c:v>
                </c:pt>
                <c:pt idx="78">
                  <c:v>0.90917000000000003</c:v>
                </c:pt>
                <c:pt idx="79">
                  <c:v>0.91266999999999998</c:v>
                </c:pt>
                <c:pt idx="80">
                  <c:v>0.91605999999999999</c:v>
                </c:pt>
                <c:pt idx="81">
                  <c:v>0.91932000000000003</c:v>
                </c:pt>
                <c:pt idx="82">
                  <c:v>0.92247000000000001</c:v>
                </c:pt>
                <c:pt idx="83">
                  <c:v>0.92551000000000005</c:v>
                </c:pt>
                <c:pt idx="84">
                  <c:v>0.92844000000000004</c:v>
                </c:pt>
                <c:pt idx="85">
                  <c:v>0.92844000000000004</c:v>
                </c:pt>
                <c:pt idx="86">
                  <c:v>0.92844000000000004</c:v>
                </c:pt>
                <c:pt idx="87">
                  <c:v>0.92844000000000004</c:v>
                </c:pt>
                <c:pt idx="88">
                  <c:v>0.92844000000000004</c:v>
                </c:pt>
                <c:pt idx="89">
                  <c:v>0.92844000000000004</c:v>
                </c:pt>
                <c:pt idx="90">
                  <c:v>0.92844000000000004</c:v>
                </c:pt>
                <c:pt idx="91">
                  <c:v>0.92844000000000004</c:v>
                </c:pt>
                <c:pt idx="92">
                  <c:v>0.92844000000000004</c:v>
                </c:pt>
                <c:pt idx="93">
                  <c:v>0.92844000000000004</c:v>
                </c:pt>
                <c:pt idx="94">
                  <c:v>0.92844000000000004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E-3FE4-445B-8EEB-D88489EA6296}"/>
            </c:ext>
          </c:extLst>
        </c:ser>
        <c:ser>
          <c:idx val="96"/>
          <c:order val="9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'99set'!$CT$10:$CT$104</c:f>
              <c:numCache>
                <c:formatCode>0.00000</c:formatCode>
                <c:ptCount val="95"/>
                <c:pt idx="0">
                  <c:v>0.33850999999999998</c:v>
                </c:pt>
                <c:pt idx="1">
                  <c:v>0.33850999999999998</c:v>
                </c:pt>
                <c:pt idx="2">
                  <c:v>0.33850999999999998</c:v>
                </c:pt>
                <c:pt idx="3">
                  <c:v>0.33850999999999998</c:v>
                </c:pt>
                <c:pt idx="4">
                  <c:v>0.33850999999999998</c:v>
                </c:pt>
                <c:pt idx="5">
                  <c:v>0.36144999999999999</c:v>
                </c:pt>
                <c:pt idx="6">
                  <c:v>0.38503999999999999</c:v>
                </c:pt>
                <c:pt idx="7">
                  <c:v>0.40917999999999999</c:v>
                </c:pt>
                <c:pt idx="8">
                  <c:v>0.43393999999999999</c:v>
                </c:pt>
                <c:pt idx="9">
                  <c:v>0.45859</c:v>
                </c:pt>
                <c:pt idx="10">
                  <c:v>0.48408000000000001</c:v>
                </c:pt>
                <c:pt idx="11">
                  <c:v>0.50807999999999998</c:v>
                </c:pt>
                <c:pt idx="12">
                  <c:v>0.52829999999999999</c:v>
                </c:pt>
                <c:pt idx="13">
                  <c:v>0.54339999999999999</c:v>
                </c:pt>
                <c:pt idx="14">
                  <c:v>0.55591999999999997</c:v>
                </c:pt>
                <c:pt idx="15">
                  <c:v>0.56810000000000005</c:v>
                </c:pt>
                <c:pt idx="16">
                  <c:v>0.57701999999999998</c:v>
                </c:pt>
                <c:pt idx="17">
                  <c:v>0.5796</c:v>
                </c:pt>
                <c:pt idx="18">
                  <c:v>0.57732000000000006</c:v>
                </c:pt>
                <c:pt idx="19">
                  <c:v>0.57245000000000001</c:v>
                </c:pt>
                <c:pt idx="20">
                  <c:v>0.56571000000000005</c:v>
                </c:pt>
                <c:pt idx="21">
                  <c:v>0.55730999999999997</c:v>
                </c:pt>
                <c:pt idx="22">
                  <c:v>0.54695000000000005</c:v>
                </c:pt>
                <c:pt idx="23">
                  <c:v>0.53442999999999996</c:v>
                </c:pt>
                <c:pt idx="24">
                  <c:v>0.52046000000000003</c:v>
                </c:pt>
                <c:pt idx="25">
                  <c:v>0.50592999999999999</c:v>
                </c:pt>
                <c:pt idx="26">
                  <c:v>0.49141000000000001</c:v>
                </c:pt>
                <c:pt idx="27">
                  <c:v>0.47728999999999999</c:v>
                </c:pt>
                <c:pt idx="28">
                  <c:v>0.46359</c:v>
                </c:pt>
                <c:pt idx="29">
                  <c:v>0.45024999999999998</c:v>
                </c:pt>
                <c:pt idx="30">
                  <c:v>0.43719999999999998</c:v>
                </c:pt>
                <c:pt idx="31">
                  <c:v>0.42459000000000002</c:v>
                </c:pt>
                <c:pt idx="32">
                  <c:v>0.41354999999999997</c:v>
                </c:pt>
                <c:pt idx="33">
                  <c:v>0.40516999999999997</c:v>
                </c:pt>
                <c:pt idx="34">
                  <c:v>0.39949000000000001</c:v>
                </c:pt>
                <c:pt idx="35">
                  <c:v>0.39624999999999999</c:v>
                </c:pt>
                <c:pt idx="36">
                  <c:v>0.39511000000000002</c:v>
                </c:pt>
                <c:pt idx="37">
                  <c:v>0.39574999999999999</c:v>
                </c:pt>
                <c:pt idx="38">
                  <c:v>0.39816000000000001</c:v>
                </c:pt>
                <c:pt idx="39">
                  <c:v>0.40244000000000002</c:v>
                </c:pt>
                <c:pt idx="40">
                  <c:v>0.40897</c:v>
                </c:pt>
                <c:pt idx="41">
                  <c:v>0.41799999999999998</c:v>
                </c:pt>
                <c:pt idx="42">
                  <c:v>0.42914999999999998</c:v>
                </c:pt>
                <c:pt idx="43">
                  <c:v>0.44206000000000001</c:v>
                </c:pt>
                <c:pt idx="44">
                  <c:v>0.45737</c:v>
                </c:pt>
                <c:pt idx="45">
                  <c:v>0.47574</c:v>
                </c:pt>
                <c:pt idx="46">
                  <c:v>0.49691999999999997</c:v>
                </c:pt>
                <c:pt idx="47">
                  <c:v>0.52053000000000005</c:v>
                </c:pt>
                <c:pt idx="48">
                  <c:v>0.54654999999999998</c:v>
                </c:pt>
                <c:pt idx="49">
                  <c:v>0.57499999999999996</c:v>
                </c:pt>
                <c:pt idx="50">
                  <c:v>0.60596000000000005</c:v>
                </c:pt>
                <c:pt idx="51">
                  <c:v>0.63909000000000005</c:v>
                </c:pt>
                <c:pt idx="52">
                  <c:v>0.67240999999999995</c:v>
                </c:pt>
                <c:pt idx="53">
                  <c:v>0.70387</c:v>
                </c:pt>
                <c:pt idx="54">
                  <c:v>0.73294000000000004</c:v>
                </c:pt>
                <c:pt idx="55">
                  <c:v>0.75943000000000005</c:v>
                </c:pt>
                <c:pt idx="56">
                  <c:v>0.78317999999999999</c:v>
                </c:pt>
                <c:pt idx="57">
                  <c:v>0.80405000000000004</c:v>
                </c:pt>
                <c:pt idx="58">
                  <c:v>0.82201000000000002</c:v>
                </c:pt>
                <c:pt idx="59">
                  <c:v>0.83704000000000001</c:v>
                </c:pt>
                <c:pt idx="60">
                  <c:v>0.84892000000000001</c:v>
                </c:pt>
                <c:pt idx="61">
                  <c:v>0.85750999999999999</c:v>
                </c:pt>
                <c:pt idx="62">
                  <c:v>0.86338999999999999</c:v>
                </c:pt>
                <c:pt idx="63">
                  <c:v>0.86748999999999998</c:v>
                </c:pt>
                <c:pt idx="64">
                  <c:v>0.87173999999999996</c:v>
                </c:pt>
                <c:pt idx="65">
                  <c:v>0.87761</c:v>
                </c:pt>
                <c:pt idx="66">
                  <c:v>0.88387000000000004</c:v>
                </c:pt>
                <c:pt idx="67">
                  <c:v>0.88859999999999995</c:v>
                </c:pt>
                <c:pt idx="68">
                  <c:v>0.88988</c:v>
                </c:pt>
                <c:pt idx="69">
                  <c:v>0.89554</c:v>
                </c:pt>
                <c:pt idx="70">
                  <c:v>0.89927999999999997</c:v>
                </c:pt>
                <c:pt idx="71">
                  <c:v>0.90290000000000004</c:v>
                </c:pt>
                <c:pt idx="72">
                  <c:v>0.90639999999999998</c:v>
                </c:pt>
                <c:pt idx="73">
                  <c:v>0.90978999999999999</c:v>
                </c:pt>
                <c:pt idx="74">
                  <c:v>0.91307000000000005</c:v>
                </c:pt>
                <c:pt idx="75">
                  <c:v>0.91624000000000005</c:v>
                </c:pt>
                <c:pt idx="76">
                  <c:v>0.91930000000000001</c:v>
                </c:pt>
                <c:pt idx="77">
                  <c:v>0.92225999999999997</c:v>
                </c:pt>
                <c:pt idx="78">
                  <c:v>0.92513000000000001</c:v>
                </c:pt>
                <c:pt idx="79">
                  <c:v>0.92788999999999999</c:v>
                </c:pt>
                <c:pt idx="80">
                  <c:v>0.93056000000000005</c:v>
                </c:pt>
                <c:pt idx="81">
                  <c:v>0.93313999999999997</c:v>
                </c:pt>
                <c:pt idx="82">
                  <c:v>0.93562999999999996</c:v>
                </c:pt>
                <c:pt idx="83">
                  <c:v>0.93803000000000003</c:v>
                </c:pt>
                <c:pt idx="84">
                  <c:v>0.94035000000000002</c:v>
                </c:pt>
                <c:pt idx="85">
                  <c:v>0.94035000000000002</c:v>
                </c:pt>
                <c:pt idx="86">
                  <c:v>0.94035000000000002</c:v>
                </c:pt>
                <c:pt idx="87">
                  <c:v>0.94035000000000002</c:v>
                </c:pt>
                <c:pt idx="88">
                  <c:v>0.94035000000000002</c:v>
                </c:pt>
                <c:pt idx="89">
                  <c:v>0.94035000000000002</c:v>
                </c:pt>
                <c:pt idx="90">
                  <c:v>0.94035000000000002</c:v>
                </c:pt>
                <c:pt idx="91">
                  <c:v>0.94035000000000002</c:v>
                </c:pt>
                <c:pt idx="92">
                  <c:v>0.94035000000000002</c:v>
                </c:pt>
                <c:pt idx="93">
                  <c:v>0.94035000000000002</c:v>
                </c:pt>
                <c:pt idx="94">
                  <c:v>0.94035000000000002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F-3FE4-445B-8EEB-D88489EA6296}"/>
            </c:ext>
          </c:extLst>
        </c:ser>
        <c:ser>
          <c:idx val="97"/>
          <c:order val="9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'99set'!$CU$10:$CU$104</c:f>
              <c:numCache>
                <c:formatCode>0.00000</c:formatCode>
                <c:ptCount val="95"/>
                <c:pt idx="0">
                  <c:v>0.17660000000000001</c:v>
                </c:pt>
                <c:pt idx="1">
                  <c:v>0.17660000000000001</c:v>
                </c:pt>
                <c:pt idx="2">
                  <c:v>0.17660000000000001</c:v>
                </c:pt>
                <c:pt idx="3">
                  <c:v>0.17660000000000001</c:v>
                </c:pt>
                <c:pt idx="4">
                  <c:v>0.17660000000000001</c:v>
                </c:pt>
                <c:pt idx="5">
                  <c:v>0.17660000000000001</c:v>
                </c:pt>
                <c:pt idx="6">
                  <c:v>0.17660000000000001</c:v>
                </c:pt>
                <c:pt idx="7">
                  <c:v>0.17660000000000001</c:v>
                </c:pt>
                <c:pt idx="8">
                  <c:v>0.17660000000000001</c:v>
                </c:pt>
                <c:pt idx="9">
                  <c:v>0.19450999999999999</c:v>
                </c:pt>
                <c:pt idx="10">
                  <c:v>0.2147</c:v>
                </c:pt>
                <c:pt idx="11">
                  <c:v>0.22438</c:v>
                </c:pt>
                <c:pt idx="12">
                  <c:v>0.22750000000000001</c:v>
                </c:pt>
                <c:pt idx="13">
                  <c:v>0.23063</c:v>
                </c:pt>
                <c:pt idx="14">
                  <c:v>0.23419999999999999</c:v>
                </c:pt>
                <c:pt idx="15">
                  <c:v>0.23707</c:v>
                </c:pt>
                <c:pt idx="16">
                  <c:v>0.23810000000000001</c:v>
                </c:pt>
                <c:pt idx="17">
                  <c:v>0.23624999999999999</c:v>
                </c:pt>
                <c:pt idx="18">
                  <c:v>0.23089999999999999</c:v>
                </c:pt>
                <c:pt idx="19">
                  <c:v>0.22181999999999999</c:v>
                </c:pt>
                <c:pt idx="20">
                  <c:v>0.20979999999999999</c:v>
                </c:pt>
                <c:pt idx="21">
                  <c:v>0.19595000000000001</c:v>
                </c:pt>
                <c:pt idx="22">
                  <c:v>0.1817</c:v>
                </c:pt>
                <c:pt idx="23">
                  <c:v>0.16814000000000001</c:v>
                </c:pt>
                <c:pt idx="24">
                  <c:v>0.15479999999999999</c:v>
                </c:pt>
                <c:pt idx="25">
                  <c:v>0.14093</c:v>
                </c:pt>
                <c:pt idx="26">
                  <c:v>0.12640000000000001</c:v>
                </c:pt>
                <c:pt idx="27">
                  <c:v>0.11162999999999999</c:v>
                </c:pt>
                <c:pt idx="28">
                  <c:v>9.8799999999999999E-2</c:v>
                </c:pt>
                <c:pt idx="29">
                  <c:v>8.9929999999999996E-2</c:v>
                </c:pt>
                <c:pt idx="30">
                  <c:v>8.48E-2</c:v>
                </c:pt>
                <c:pt idx="31">
                  <c:v>8.2339999999999997E-2</c:v>
                </c:pt>
                <c:pt idx="32">
                  <c:v>8.0299999999999996E-2</c:v>
                </c:pt>
                <c:pt idx="33">
                  <c:v>7.6590000000000005E-2</c:v>
                </c:pt>
                <c:pt idx="34">
                  <c:v>7.0999999999999994E-2</c:v>
                </c:pt>
                <c:pt idx="35">
                  <c:v>6.4140000000000003E-2</c:v>
                </c:pt>
                <c:pt idx="36">
                  <c:v>5.8200000000000002E-2</c:v>
                </c:pt>
                <c:pt idx="37">
                  <c:v>5.6230000000000002E-2</c:v>
                </c:pt>
                <c:pt idx="38">
                  <c:v>6.3299999999999995E-2</c:v>
                </c:pt>
                <c:pt idx="39">
                  <c:v>8.3960000000000007E-2</c:v>
                </c:pt>
                <c:pt idx="40">
                  <c:v>0.1187</c:v>
                </c:pt>
                <c:pt idx="41">
                  <c:v>0.16497999999999999</c:v>
                </c:pt>
                <c:pt idx="42">
                  <c:v>0.21210000000000001</c:v>
                </c:pt>
                <c:pt idx="43">
                  <c:v>0.24926999999999999</c:v>
                </c:pt>
                <c:pt idx="44">
                  <c:v>0.27350000000000002</c:v>
                </c:pt>
                <c:pt idx="45">
                  <c:v>0.28466000000000002</c:v>
                </c:pt>
                <c:pt idx="46">
                  <c:v>0.28610000000000002</c:v>
                </c:pt>
                <c:pt idx="47">
                  <c:v>0.28181</c:v>
                </c:pt>
                <c:pt idx="48">
                  <c:v>0.2747</c:v>
                </c:pt>
                <c:pt idx="49">
                  <c:v>0.26721</c:v>
                </c:pt>
                <c:pt idx="50">
                  <c:v>0.26090000000000002</c:v>
                </c:pt>
                <c:pt idx="51">
                  <c:v>0.25685000000000002</c:v>
                </c:pt>
                <c:pt idx="52">
                  <c:v>0.255</c:v>
                </c:pt>
                <c:pt idx="53">
                  <c:v>0.25496000000000002</c:v>
                </c:pt>
                <c:pt idx="54">
                  <c:v>0.25619999999999998</c:v>
                </c:pt>
                <c:pt idx="55">
                  <c:v>0.25835000000000002</c:v>
                </c:pt>
                <c:pt idx="56">
                  <c:v>0.26200000000000001</c:v>
                </c:pt>
                <c:pt idx="57">
                  <c:v>0.26778000000000002</c:v>
                </c:pt>
                <c:pt idx="58">
                  <c:v>0.2757</c:v>
                </c:pt>
                <c:pt idx="59">
                  <c:v>0.28525</c:v>
                </c:pt>
                <c:pt idx="60">
                  <c:v>0.29449999999999998</c:v>
                </c:pt>
                <c:pt idx="61">
                  <c:v>0.30142000000000002</c:v>
                </c:pt>
                <c:pt idx="62">
                  <c:v>0.3049</c:v>
                </c:pt>
                <c:pt idx="63">
                  <c:v>0.30449999999999999</c:v>
                </c:pt>
                <c:pt idx="64">
                  <c:v>0.3014</c:v>
                </c:pt>
                <c:pt idx="65">
                  <c:v>0.29672999999999999</c:v>
                </c:pt>
                <c:pt idx="66">
                  <c:v>0.28970000000000001</c:v>
                </c:pt>
                <c:pt idx="67">
                  <c:v>0.28021000000000001</c:v>
                </c:pt>
                <c:pt idx="68">
                  <c:v>0.27279999999999999</c:v>
                </c:pt>
                <c:pt idx="69">
                  <c:v>0.27279999999999999</c:v>
                </c:pt>
                <c:pt idx="70">
                  <c:v>0.27279999999999999</c:v>
                </c:pt>
                <c:pt idx="71">
                  <c:v>0.27279999999999999</c:v>
                </c:pt>
                <c:pt idx="72">
                  <c:v>0.27279999999999999</c:v>
                </c:pt>
                <c:pt idx="73">
                  <c:v>0.27279999999999999</c:v>
                </c:pt>
                <c:pt idx="74">
                  <c:v>0.27279999999999999</c:v>
                </c:pt>
                <c:pt idx="75">
                  <c:v>0.27279999999999999</c:v>
                </c:pt>
                <c:pt idx="76">
                  <c:v>0.27279999999999999</c:v>
                </c:pt>
                <c:pt idx="77">
                  <c:v>0.27279999999999999</c:v>
                </c:pt>
                <c:pt idx="78">
                  <c:v>0.27279999999999999</c:v>
                </c:pt>
                <c:pt idx="79">
                  <c:v>0.27279999999999999</c:v>
                </c:pt>
                <c:pt idx="80">
                  <c:v>0.27279999999999999</c:v>
                </c:pt>
                <c:pt idx="81">
                  <c:v>0.27279999999999999</c:v>
                </c:pt>
                <c:pt idx="82">
                  <c:v>0.27279999999999999</c:v>
                </c:pt>
                <c:pt idx="83">
                  <c:v>0.27279999999999999</c:v>
                </c:pt>
                <c:pt idx="84">
                  <c:v>0.27279999999999999</c:v>
                </c:pt>
                <c:pt idx="85">
                  <c:v>0.27279999999999999</c:v>
                </c:pt>
                <c:pt idx="86">
                  <c:v>0.27279999999999999</c:v>
                </c:pt>
                <c:pt idx="87">
                  <c:v>0.27279999999999999</c:v>
                </c:pt>
                <c:pt idx="88">
                  <c:v>0.27279999999999999</c:v>
                </c:pt>
                <c:pt idx="89">
                  <c:v>0.27279999999999999</c:v>
                </c:pt>
                <c:pt idx="90">
                  <c:v>0.27279999999999999</c:v>
                </c:pt>
                <c:pt idx="91">
                  <c:v>0.27279999999999999</c:v>
                </c:pt>
                <c:pt idx="92">
                  <c:v>0.27279999999999999</c:v>
                </c:pt>
                <c:pt idx="93">
                  <c:v>0.27279999999999999</c:v>
                </c:pt>
                <c:pt idx="94">
                  <c:v>0.27279999999999999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0-3FE4-445B-8EEB-D88489EA6296}"/>
            </c:ext>
          </c:extLst>
        </c:ser>
        <c:ser>
          <c:idx val="98"/>
          <c:order val="9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'99set'!$CV$10:$CV$104</c:f>
              <c:numCache>
                <c:formatCode>0.00000</c:formatCode>
                <c:ptCount val="95"/>
                <c:pt idx="0">
                  <c:v>0.31040000000000001</c:v>
                </c:pt>
                <c:pt idx="1">
                  <c:v>0.31040000000000001</c:v>
                </c:pt>
                <c:pt idx="2">
                  <c:v>0.31040000000000001</c:v>
                </c:pt>
                <c:pt idx="3">
                  <c:v>0.31040000000000001</c:v>
                </c:pt>
                <c:pt idx="4">
                  <c:v>0.31040000000000001</c:v>
                </c:pt>
                <c:pt idx="5">
                  <c:v>0.31040000000000001</c:v>
                </c:pt>
                <c:pt idx="6">
                  <c:v>0.31040000000000001</c:v>
                </c:pt>
                <c:pt idx="7">
                  <c:v>0.31040000000000001</c:v>
                </c:pt>
                <c:pt idx="8">
                  <c:v>0.31040000000000001</c:v>
                </c:pt>
                <c:pt idx="9">
                  <c:v>0.32028000000000001</c:v>
                </c:pt>
                <c:pt idx="10">
                  <c:v>0.33277000000000001</c:v>
                </c:pt>
                <c:pt idx="11">
                  <c:v>0.34183999999999998</c:v>
                </c:pt>
                <c:pt idx="12">
                  <c:v>0.34836</c:v>
                </c:pt>
                <c:pt idx="13">
                  <c:v>0.35424</c:v>
                </c:pt>
                <c:pt idx="14">
                  <c:v>0.35854999999999998</c:v>
                </c:pt>
                <c:pt idx="15">
                  <c:v>0.35975000000000001</c:v>
                </c:pt>
                <c:pt idx="16">
                  <c:v>0.35649999999999998</c:v>
                </c:pt>
                <c:pt idx="17">
                  <c:v>0.34788999999999998</c:v>
                </c:pt>
                <c:pt idx="18">
                  <c:v>0.33439999999999998</c:v>
                </c:pt>
                <c:pt idx="19">
                  <c:v>0.31698999999999999</c:v>
                </c:pt>
                <c:pt idx="20">
                  <c:v>0.29727999999999999</c:v>
                </c:pt>
                <c:pt idx="21">
                  <c:v>0.27687</c:v>
                </c:pt>
                <c:pt idx="22">
                  <c:v>0.25673000000000001</c:v>
                </c:pt>
                <c:pt idx="23">
                  <c:v>0.23768</c:v>
                </c:pt>
                <c:pt idx="24">
                  <c:v>0.22048999999999999</c:v>
                </c:pt>
                <c:pt idx="25">
                  <c:v>0.20560999999999999</c:v>
                </c:pt>
                <c:pt idx="26">
                  <c:v>0.1923</c:v>
                </c:pt>
                <c:pt idx="27">
                  <c:v>0.1797</c:v>
                </c:pt>
                <c:pt idx="28">
                  <c:v>0.16764999999999999</c:v>
                </c:pt>
                <c:pt idx="29">
                  <c:v>0.15642</c:v>
                </c:pt>
                <c:pt idx="30">
                  <c:v>0.14727000000000001</c:v>
                </c:pt>
                <c:pt idx="31">
                  <c:v>0.14136000000000001</c:v>
                </c:pt>
                <c:pt idx="32">
                  <c:v>0.13849</c:v>
                </c:pt>
                <c:pt idx="33">
                  <c:v>0.13788</c:v>
                </c:pt>
                <c:pt idx="34">
                  <c:v>0.13780999999999999</c:v>
                </c:pt>
                <c:pt idx="35">
                  <c:v>0.13678999999999999</c:v>
                </c:pt>
                <c:pt idx="36">
                  <c:v>0.13517999999999999</c:v>
                </c:pt>
                <c:pt idx="37">
                  <c:v>0.13405</c:v>
                </c:pt>
                <c:pt idx="38">
                  <c:v>0.13542999999999999</c:v>
                </c:pt>
                <c:pt idx="39">
                  <c:v>0.14163000000000001</c:v>
                </c:pt>
                <c:pt idx="40">
                  <c:v>0.15518999999999999</c:v>
                </c:pt>
                <c:pt idx="41">
                  <c:v>0.17835000000000001</c:v>
                </c:pt>
                <c:pt idx="42">
                  <c:v>0.21210000000000001</c:v>
                </c:pt>
                <c:pt idx="43">
                  <c:v>0.25629000000000002</c:v>
                </c:pt>
                <c:pt idx="44">
                  <c:v>0.30764999999999998</c:v>
                </c:pt>
                <c:pt idx="45">
                  <c:v>0.36204999999999998</c:v>
                </c:pt>
                <c:pt idx="46">
                  <c:v>0.41520000000000001</c:v>
                </c:pt>
                <c:pt idx="47">
                  <c:v>0.46276</c:v>
                </c:pt>
                <c:pt idx="48">
                  <c:v>0.50046999999999997</c:v>
                </c:pt>
                <c:pt idx="49">
                  <c:v>0.52541000000000004</c:v>
                </c:pt>
                <c:pt idx="50">
                  <c:v>0.54005999999999998</c:v>
                </c:pt>
                <c:pt idx="51">
                  <c:v>0.54796</c:v>
                </c:pt>
                <c:pt idx="52">
                  <c:v>0.55154000000000003</c:v>
                </c:pt>
                <c:pt idx="53">
                  <c:v>0.55303000000000002</c:v>
                </c:pt>
                <c:pt idx="54">
                  <c:v>0.55484</c:v>
                </c:pt>
                <c:pt idx="55">
                  <c:v>0.55911999999999995</c:v>
                </c:pt>
                <c:pt idx="56">
                  <c:v>0.56677</c:v>
                </c:pt>
                <c:pt idx="57">
                  <c:v>0.57838000000000001</c:v>
                </c:pt>
                <c:pt idx="58">
                  <c:v>0.59453999999999996</c:v>
                </c:pt>
                <c:pt idx="59">
                  <c:v>0.61548000000000003</c:v>
                </c:pt>
                <c:pt idx="60">
                  <c:v>0.63995999999999997</c:v>
                </c:pt>
                <c:pt idx="61">
                  <c:v>0.66654999999999998</c:v>
                </c:pt>
                <c:pt idx="62">
                  <c:v>0.69438999999999995</c:v>
                </c:pt>
                <c:pt idx="63">
                  <c:v>0.72255000000000003</c:v>
                </c:pt>
                <c:pt idx="64">
                  <c:v>0.74924999999999997</c:v>
                </c:pt>
                <c:pt idx="65">
                  <c:v>0.77305999999999997</c:v>
                </c:pt>
                <c:pt idx="66">
                  <c:v>0.79488999999999999</c:v>
                </c:pt>
                <c:pt idx="67">
                  <c:v>0.81494</c:v>
                </c:pt>
                <c:pt idx="68">
                  <c:v>0.82813999999999999</c:v>
                </c:pt>
                <c:pt idx="69">
                  <c:v>0.82813999999999999</c:v>
                </c:pt>
                <c:pt idx="70">
                  <c:v>0.82813999999999999</c:v>
                </c:pt>
                <c:pt idx="71">
                  <c:v>0.82813999999999999</c:v>
                </c:pt>
                <c:pt idx="72">
                  <c:v>0.82813999999999999</c:v>
                </c:pt>
                <c:pt idx="73">
                  <c:v>0.82813999999999999</c:v>
                </c:pt>
                <c:pt idx="74">
                  <c:v>0.82813999999999999</c:v>
                </c:pt>
                <c:pt idx="75">
                  <c:v>0.82813999999999999</c:v>
                </c:pt>
                <c:pt idx="76">
                  <c:v>0.82813999999999999</c:v>
                </c:pt>
                <c:pt idx="77">
                  <c:v>0.82813999999999999</c:v>
                </c:pt>
                <c:pt idx="78">
                  <c:v>0.82813999999999999</c:v>
                </c:pt>
                <c:pt idx="79">
                  <c:v>0.82813999999999999</c:v>
                </c:pt>
                <c:pt idx="80">
                  <c:v>0.82813999999999999</c:v>
                </c:pt>
                <c:pt idx="81">
                  <c:v>0.82813999999999999</c:v>
                </c:pt>
                <c:pt idx="82">
                  <c:v>0.82813999999999999</c:v>
                </c:pt>
                <c:pt idx="83">
                  <c:v>0.82813999999999999</c:v>
                </c:pt>
                <c:pt idx="84">
                  <c:v>0.82813999999999999</c:v>
                </c:pt>
                <c:pt idx="85">
                  <c:v>0.82813999999999999</c:v>
                </c:pt>
                <c:pt idx="86">
                  <c:v>0.82813999999999999</c:v>
                </c:pt>
                <c:pt idx="87">
                  <c:v>0.82813999999999999</c:v>
                </c:pt>
                <c:pt idx="88">
                  <c:v>0.82813999999999999</c:v>
                </c:pt>
                <c:pt idx="89">
                  <c:v>0.82813999999999999</c:v>
                </c:pt>
                <c:pt idx="90">
                  <c:v>0.82813999999999999</c:v>
                </c:pt>
                <c:pt idx="91">
                  <c:v>0.82813999999999999</c:v>
                </c:pt>
                <c:pt idx="92">
                  <c:v>0.82813999999999999</c:v>
                </c:pt>
                <c:pt idx="93">
                  <c:v>0.82813999999999999</c:v>
                </c:pt>
                <c:pt idx="94">
                  <c:v>0.82813999999999999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1-3FE4-445B-8EEB-D88489EA6296}"/>
            </c:ext>
          </c:extLst>
        </c:ser>
        <c:ser>
          <c:idx val="99"/>
          <c:order val="9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'99set'!$CW$10:$CW$104</c:f>
              <c:numCache>
                <c:formatCode>0.00000</c:formatCode>
                <c:ptCount val="95"/>
                <c:pt idx="0">
                  <c:v>0.2092</c:v>
                </c:pt>
                <c:pt idx="1">
                  <c:v>0.2092</c:v>
                </c:pt>
                <c:pt idx="2">
                  <c:v>0.2092</c:v>
                </c:pt>
                <c:pt idx="3">
                  <c:v>0.2092</c:v>
                </c:pt>
                <c:pt idx="4">
                  <c:v>0.2092</c:v>
                </c:pt>
                <c:pt idx="5">
                  <c:v>0.2092</c:v>
                </c:pt>
                <c:pt idx="6">
                  <c:v>0.2092</c:v>
                </c:pt>
                <c:pt idx="7">
                  <c:v>0.2092</c:v>
                </c:pt>
                <c:pt idx="8">
                  <c:v>0.2092</c:v>
                </c:pt>
                <c:pt idx="9">
                  <c:v>0.22044</c:v>
                </c:pt>
                <c:pt idx="10">
                  <c:v>0.2319</c:v>
                </c:pt>
                <c:pt idx="11">
                  <c:v>0.23457</c:v>
                </c:pt>
                <c:pt idx="12">
                  <c:v>0.2316</c:v>
                </c:pt>
                <c:pt idx="13">
                  <c:v>0.22794</c:v>
                </c:pt>
                <c:pt idx="14">
                  <c:v>0.22339999999999999</c:v>
                </c:pt>
                <c:pt idx="15">
                  <c:v>0.21695</c:v>
                </c:pt>
                <c:pt idx="16">
                  <c:v>0.2092</c:v>
                </c:pt>
                <c:pt idx="17">
                  <c:v>0.20100000000000001</c:v>
                </c:pt>
                <c:pt idx="18">
                  <c:v>0.19259999999999999</c:v>
                </c:pt>
                <c:pt idx="19">
                  <c:v>0.18414</c:v>
                </c:pt>
                <c:pt idx="20">
                  <c:v>0.17580000000000001</c:v>
                </c:pt>
                <c:pt idx="21">
                  <c:v>0.16772999999999999</c:v>
                </c:pt>
                <c:pt idx="22">
                  <c:v>0.1598</c:v>
                </c:pt>
                <c:pt idx="23">
                  <c:v>0.15182999999999999</c:v>
                </c:pt>
                <c:pt idx="24">
                  <c:v>0.14380000000000001</c:v>
                </c:pt>
                <c:pt idx="25">
                  <c:v>0.13580999999999999</c:v>
                </c:pt>
                <c:pt idx="26">
                  <c:v>0.12839999999999999</c:v>
                </c:pt>
                <c:pt idx="27">
                  <c:v>0.12204</c:v>
                </c:pt>
                <c:pt idx="28">
                  <c:v>0.11650000000000001</c:v>
                </c:pt>
                <c:pt idx="29">
                  <c:v>0.11137</c:v>
                </c:pt>
                <c:pt idx="30">
                  <c:v>0.1061</c:v>
                </c:pt>
                <c:pt idx="31">
                  <c:v>0.10032000000000001</c:v>
                </c:pt>
                <c:pt idx="32">
                  <c:v>9.4399999999999998E-2</c:v>
                </c:pt>
                <c:pt idx="33">
                  <c:v>8.8940000000000005E-2</c:v>
                </c:pt>
                <c:pt idx="34">
                  <c:v>8.4699999999999998E-2</c:v>
                </c:pt>
                <c:pt idx="35">
                  <c:v>8.2269999999999996E-2</c:v>
                </c:pt>
                <c:pt idx="36">
                  <c:v>8.1500000000000003E-2</c:v>
                </c:pt>
                <c:pt idx="37">
                  <c:v>8.1930000000000003E-2</c:v>
                </c:pt>
                <c:pt idx="38">
                  <c:v>8.2699999999999996E-2</c:v>
                </c:pt>
                <c:pt idx="39">
                  <c:v>8.3089999999999997E-2</c:v>
                </c:pt>
                <c:pt idx="40">
                  <c:v>8.3400000000000002E-2</c:v>
                </c:pt>
                <c:pt idx="41">
                  <c:v>8.4409999999999999E-2</c:v>
                </c:pt>
                <c:pt idx="42">
                  <c:v>8.77E-2</c:v>
                </c:pt>
                <c:pt idx="43">
                  <c:v>9.5079999999999998E-2</c:v>
                </c:pt>
                <c:pt idx="44">
                  <c:v>0.10829999999999999</c:v>
                </c:pt>
                <c:pt idx="45">
                  <c:v>0.12914</c:v>
                </c:pt>
                <c:pt idx="46">
                  <c:v>0.1595</c:v>
                </c:pt>
                <c:pt idx="47">
                  <c:v>0.20019999999999999</c:v>
                </c:pt>
                <c:pt idx="48">
                  <c:v>0.2475</c:v>
                </c:pt>
                <c:pt idx="49">
                  <c:v>0.29719000000000001</c:v>
                </c:pt>
                <c:pt idx="50">
                  <c:v>0.34770000000000001</c:v>
                </c:pt>
                <c:pt idx="51">
                  <c:v>0.39782000000000001</c:v>
                </c:pt>
                <c:pt idx="52">
                  <c:v>0.4451</c:v>
                </c:pt>
                <c:pt idx="53">
                  <c:v>0.48712</c:v>
                </c:pt>
                <c:pt idx="54">
                  <c:v>0.52280000000000004</c:v>
                </c:pt>
                <c:pt idx="55">
                  <c:v>0.55159000000000002</c:v>
                </c:pt>
                <c:pt idx="56">
                  <c:v>0.57369999999999999</c:v>
                </c:pt>
                <c:pt idx="57">
                  <c:v>0.58975</c:v>
                </c:pt>
                <c:pt idx="58">
                  <c:v>0.60129999999999995</c:v>
                </c:pt>
                <c:pt idx="59">
                  <c:v>0.60992000000000002</c:v>
                </c:pt>
                <c:pt idx="60">
                  <c:v>0.61619999999999997</c:v>
                </c:pt>
                <c:pt idx="61">
                  <c:v>0.62056999999999995</c:v>
                </c:pt>
                <c:pt idx="62">
                  <c:v>0.62380000000000002</c:v>
                </c:pt>
                <c:pt idx="63">
                  <c:v>0.62656000000000001</c:v>
                </c:pt>
                <c:pt idx="64">
                  <c:v>0.62880000000000003</c:v>
                </c:pt>
                <c:pt idx="65">
                  <c:v>0.63041000000000003</c:v>
                </c:pt>
                <c:pt idx="66">
                  <c:v>0.63170000000000004</c:v>
                </c:pt>
                <c:pt idx="67">
                  <c:v>0.63293999999999995</c:v>
                </c:pt>
                <c:pt idx="68">
                  <c:v>0.63380000000000003</c:v>
                </c:pt>
                <c:pt idx="69">
                  <c:v>0.63380000000000003</c:v>
                </c:pt>
                <c:pt idx="70">
                  <c:v>0.63380000000000003</c:v>
                </c:pt>
                <c:pt idx="71">
                  <c:v>0.63380000000000003</c:v>
                </c:pt>
                <c:pt idx="72">
                  <c:v>0.63380000000000003</c:v>
                </c:pt>
                <c:pt idx="73">
                  <c:v>0.63380000000000003</c:v>
                </c:pt>
                <c:pt idx="74">
                  <c:v>0.63380000000000003</c:v>
                </c:pt>
                <c:pt idx="75">
                  <c:v>0.63380000000000003</c:v>
                </c:pt>
                <c:pt idx="76">
                  <c:v>0.63380000000000003</c:v>
                </c:pt>
                <c:pt idx="77">
                  <c:v>0.63380000000000003</c:v>
                </c:pt>
                <c:pt idx="78">
                  <c:v>0.63380000000000003</c:v>
                </c:pt>
                <c:pt idx="79">
                  <c:v>0.63380000000000003</c:v>
                </c:pt>
                <c:pt idx="80">
                  <c:v>0.63380000000000003</c:v>
                </c:pt>
                <c:pt idx="81">
                  <c:v>0.63380000000000003</c:v>
                </c:pt>
                <c:pt idx="82">
                  <c:v>0.63380000000000003</c:v>
                </c:pt>
                <c:pt idx="83">
                  <c:v>0.63380000000000003</c:v>
                </c:pt>
                <c:pt idx="84">
                  <c:v>0.63380000000000003</c:v>
                </c:pt>
                <c:pt idx="85">
                  <c:v>0.63380000000000003</c:v>
                </c:pt>
                <c:pt idx="86">
                  <c:v>0.63380000000000003</c:v>
                </c:pt>
                <c:pt idx="87">
                  <c:v>0.63380000000000003</c:v>
                </c:pt>
                <c:pt idx="88">
                  <c:v>0.63380000000000003</c:v>
                </c:pt>
                <c:pt idx="89">
                  <c:v>0.63380000000000003</c:v>
                </c:pt>
                <c:pt idx="90">
                  <c:v>0.63380000000000003</c:v>
                </c:pt>
                <c:pt idx="91">
                  <c:v>0.63380000000000003</c:v>
                </c:pt>
                <c:pt idx="92">
                  <c:v>0.63380000000000003</c:v>
                </c:pt>
                <c:pt idx="93">
                  <c:v>0.63380000000000003</c:v>
                </c:pt>
                <c:pt idx="94">
                  <c:v>0.63380000000000003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2-3FE4-445B-8EEB-D88489EA6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110672"/>
        <c:axId val="516105184"/>
      </c:scatterChart>
      <c:valAx>
        <c:axId val="516110672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6105184"/>
        <c:crosses val="autoZero"/>
        <c:crossBetween val="midCat"/>
      </c:valAx>
      <c:valAx>
        <c:axId val="51610518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reflectance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516110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2</xdr:row>
      <xdr:rowOff>81915</xdr:rowOff>
    </xdr:from>
    <xdr:to>
      <xdr:col>15</xdr:col>
      <xdr:colOff>510540</xdr:colOff>
      <xdr:row>18</xdr:row>
      <xdr:rowOff>15240</xdr:rowOff>
    </xdr:to>
    <xdr:grpSp>
      <xdr:nvGrpSpPr>
        <xdr:cNvPr id="2" name="Group 10"/>
        <xdr:cNvGrpSpPr>
          <a:grpSpLocks/>
        </xdr:cNvGrpSpPr>
      </xdr:nvGrpSpPr>
      <xdr:grpSpPr bwMode="auto">
        <a:xfrm>
          <a:off x="8095129" y="610833"/>
          <a:ext cx="3038587" cy="2810995"/>
          <a:chOff x="7843085" y="457200"/>
          <a:chExt cx="3028690" cy="2997960"/>
        </a:xfrm>
      </xdr:grpSpPr>
      <xdr:pic>
        <xdr:nvPicPr>
          <xdr:cNvPr id="3" name="Picture 7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83195" y="597478"/>
            <a:ext cx="2744894" cy="27246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graphicFrame macro="">
        <xdr:nvGraphicFramePr>
          <xdr:cNvPr id="4" name="Chart 6"/>
          <xdr:cNvGraphicFramePr>
            <a:graphicFrameLocks/>
          </xdr:cNvGraphicFramePr>
        </xdr:nvGraphicFramePr>
        <xdr:xfrm>
          <a:off x="7843085" y="457200"/>
          <a:ext cx="3028690" cy="29979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5</xdr:col>
      <xdr:colOff>123825</xdr:colOff>
      <xdr:row>3</xdr:row>
      <xdr:rowOff>9525</xdr:rowOff>
    </xdr:from>
    <xdr:to>
      <xdr:col>10</xdr:col>
      <xdr:colOff>485775</xdr:colOff>
      <xdr:row>17</xdr:row>
      <xdr:rowOff>114300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190500</xdr:colOff>
      <xdr:row>6</xdr:row>
      <xdr:rowOff>19050</xdr:rowOff>
    </xdr:from>
    <xdr:to>
      <xdr:col>28</xdr:col>
      <xdr:colOff>352425</xdr:colOff>
      <xdr:row>23</xdr:row>
      <xdr:rowOff>180975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87086</xdr:colOff>
      <xdr:row>18</xdr:row>
      <xdr:rowOff>161924</xdr:rowOff>
    </xdr:from>
    <xdr:to>
      <xdr:col>15</xdr:col>
      <xdr:colOff>371474</xdr:colOff>
      <xdr:row>30</xdr:row>
      <xdr:rowOff>0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97972</xdr:colOff>
      <xdr:row>18</xdr:row>
      <xdr:rowOff>144780</xdr:rowOff>
    </xdr:from>
    <xdr:to>
      <xdr:col>10</xdr:col>
      <xdr:colOff>468088</xdr:colOff>
      <xdr:row>29</xdr:row>
      <xdr:rowOff>163285</xdr:rowOff>
    </xdr:to>
    <xdr:graphicFrame macro="">
      <xdr:nvGraphicFramePr>
        <xdr:cNvPr id="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</xdr:colOff>
      <xdr:row>12</xdr:row>
      <xdr:rowOff>95250</xdr:rowOff>
    </xdr:from>
    <xdr:to>
      <xdr:col>18</xdr:col>
      <xdr:colOff>323850</xdr:colOff>
      <xdr:row>33</xdr:row>
      <xdr:rowOff>76200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nadalm\Local%20Settings\Temporary%20Internet%20Files\Content.Outlook\LNDJH9QE\CQS%209%200%20a%20(Win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LOR\PROJECTS\Ongoing\ColourRendition\ExcelOptimizers\OptimSPD_Rm_Qa_Ra2012_CIE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notes"/>
      <sheetName val="Instruction"/>
      <sheetName val="Color View"/>
      <sheetName val="Lamp data &amp; Results"/>
      <sheetName val="u'v' diagram"/>
      <sheetName val="CAM_UCS plot"/>
      <sheetName val="3 LED model"/>
      <sheetName val="4 LED model"/>
      <sheetName val="Broadband model"/>
      <sheetName val="Munsell samples"/>
      <sheetName val="TSC"/>
      <sheetName val="CQS"/>
      <sheetName val="CRI"/>
      <sheetName val="Reference"/>
      <sheetName val="Chromaticity"/>
      <sheetName val="C Adapt"/>
      <sheetName val="TSC work"/>
      <sheetName val="x y diagram"/>
      <sheetName val="RBG conversion"/>
      <sheetName val="CMCCAT-h"/>
      <sheetName val="CMCCAT-v"/>
      <sheetName val="CAM_UCS"/>
      <sheetName val="CIELAB"/>
      <sheetName val="Duvtoxy"/>
      <sheetName val="CCT.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CAM_UCS_xyY</v>
          </cell>
        </row>
      </sheetData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spdi"/>
      <sheetName val="xyzs"/>
      <sheetName val="Main"/>
      <sheetName val="CMF_RFLs"/>
      <sheetName val="XYZc calculations"/>
      <sheetName val="xyz2IPT"/>
      <sheetName val="Similarity S(x,y) "/>
      <sheetName val="Rescale Similarity"/>
      <sheetName val="CRI  vs MCRI"/>
      <sheetName val="CRI vs MCRI graph"/>
      <sheetName val="Lamp_data"/>
      <sheetName val="Color View"/>
      <sheetName val="Lamp data"/>
      <sheetName val="uvdiagram"/>
      <sheetName val="3 LED model"/>
      <sheetName val="4 LED model"/>
      <sheetName val="Broadband model"/>
      <sheetName val="TCS"/>
      <sheetName val="TCS-CQS"/>
      <sheetName val="CRI"/>
      <sheetName val="CRI_2"/>
      <sheetName val="CQS"/>
      <sheetName val="HLset"/>
      <sheetName val="Chromaticity_HLset "/>
      <sheetName val="CRI2012_generalindex"/>
      <sheetName val="Reference"/>
      <sheetName val="Chromaticity"/>
      <sheetName val="C Adapt"/>
      <sheetName val="x y diagram"/>
      <sheetName val="RBG conversion"/>
      <sheetName val="CMCCAT"/>
      <sheetName val="CIELAB"/>
      <sheetName val="Duvtoxy"/>
      <sheetName val="CCT.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>
        <row r="1">
          <cell r="A1" t="str">
            <v>CMCCAT</v>
          </cell>
          <cell r="B1" t="str">
            <v>CMCCATv</v>
          </cell>
        </row>
      </sheetData>
      <sheetData sheetId="31" refreshError="1">
        <row r="1">
          <cell r="A1" t="str">
            <v>LAB</v>
          </cell>
        </row>
      </sheetData>
      <sheetData sheetId="32" refreshError="1">
        <row r="1">
          <cell r="A1" t="str">
            <v>Duvtoxy</v>
          </cell>
        </row>
      </sheetData>
      <sheetData sheetId="33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X453"/>
  <sheetViews>
    <sheetView topLeftCell="B1" zoomScale="85" zoomScaleNormal="85" workbookViewId="0">
      <selection activeCell="E4" sqref="E4"/>
    </sheetView>
  </sheetViews>
  <sheetFormatPr defaultRowHeight="14.5"/>
  <cols>
    <col min="1" max="1" width="14.54296875" style="163" customWidth="1"/>
    <col min="2" max="2" width="13" style="163" customWidth="1"/>
    <col min="3" max="3" width="12" style="163" customWidth="1"/>
    <col min="4" max="4" width="12.36328125" style="163" customWidth="1"/>
    <col min="5" max="5" width="10.453125" style="163" customWidth="1"/>
    <col min="6" max="6" width="10.36328125" style="163" customWidth="1"/>
    <col min="7" max="16" width="9.08984375" style="163"/>
    <col min="17" max="20" width="11.6328125" style="148" customWidth="1"/>
    <col min="21" max="284" width="9.08984375" style="163"/>
  </cols>
  <sheetData>
    <row r="1" spans="1:20" ht="27.65" customHeight="1">
      <c r="A1" s="257" t="s">
        <v>429</v>
      </c>
      <c r="B1" s="141"/>
      <c r="C1" s="170"/>
      <c r="D1" s="142"/>
      <c r="E1" s="142"/>
      <c r="F1" s="142"/>
      <c r="Q1" s="272" t="s">
        <v>196</v>
      </c>
      <c r="R1" s="272"/>
      <c r="S1" s="272"/>
      <c r="T1" s="272"/>
    </row>
    <row r="2" spans="1:20">
      <c r="A2" s="143" t="s">
        <v>191</v>
      </c>
      <c r="B2" s="169" t="s">
        <v>81</v>
      </c>
      <c r="C2" s="144" t="s">
        <v>192</v>
      </c>
      <c r="D2" s="145"/>
      <c r="E2" s="145"/>
      <c r="F2" s="145"/>
      <c r="Q2" s="164"/>
      <c r="R2" s="164" t="s">
        <v>197</v>
      </c>
      <c r="S2" s="164"/>
      <c r="T2" s="164" t="s">
        <v>198</v>
      </c>
    </row>
    <row r="3" spans="1:20">
      <c r="A3" s="146">
        <v>380</v>
      </c>
      <c r="B3" s="256">
        <v>1.4396733015463708E-4</v>
      </c>
      <c r="C3" s="147">
        <f>Calculator!C9</f>
        <v>0.80724629797986758</v>
      </c>
      <c r="D3" s="148"/>
      <c r="E3" s="148"/>
      <c r="F3" s="149"/>
      <c r="Q3" s="165">
        <v>380</v>
      </c>
      <c r="R3" s="166">
        <v>1.8075402569103899E-4</v>
      </c>
      <c r="S3" s="165">
        <v>380</v>
      </c>
      <c r="T3" s="167">
        <f ca="1">TREND(OFFSET(R$3:R$453,MATCH(S3,Q$3:Q$453),0,-2),OFFSET(Q$3:Q$453,MATCH(S3,Q$3:Q$453),0,-2),S3)</f>
        <v>1.8075402569103869E-4</v>
      </c>
    </row>
    <row r="4" spans="1:20" ht="15" thickBot="1">
      <c r="A4" s="146">
        <v>385</v>
      </c>
      <c r="B4" s="256">
        <v>2.9298082863773311E-4</v>
      </c>
      <c r="C4" s="147">
        <f>Calculator!C10</f>
        <v>0.8781655992524241</v>
      </c>
      <c r="D4" s="150" t="s">
        <v>112</v>
      </c>
      <c r="E4" s="269">
        <f>Calculator!G35</f>
        <v>81.610662837185856</v>
      </c>
      <c r="F4" s="151"/>
      <c r="Q4" s="165">
        <v>381</v>
      </c>
      <c r="R4" s="166">
        <v>1.8776473350740999E-4</v>
      </c>
      <c r="S4" s="165">
        <v>385</v>
      </c>
      <c r="T4" s="167">
        <f t="shared" ref="T4:T67" ca="1" si="0">TREND(OFFSET(R$3:R$453,MATCH(S4,Q$3:Q$453),0,-2),OFFSET(Q$3:Q$453,MATCH(S4,Q$3:Q$453),0,-2),S4)</f>
        <v>2.1542939055504366E-4</v>
      </c>
    </row>
    <row r="5" spans="1:20">
      <c r="A5" s="146">
        <v>390</v>
      </c>
      <c r="B5" s="256">
        <v>5.9622971368804355E-4</v>
      </c>
      <c r="C5" s="147">
        <f>Calculator!C11</f>
        <v>0.95246192714160194</v>
      </c>
      <c r="D5" s="225" t="s">
        <v>100</v>
      </c>
      <c r="E5" s="226">
        <f>Calculator!DU26</f>
        <v>95.679840035890265</v>
      </c>
      <c r="F5" s="151"/>
      <c r="Q5" s="165">
        <v>382</v>
      </c>
      <c r="R5" s="166">
        <v>1.9560220758118801E-4</v>
      </c>
      <c r="S5" s="165">
        <v>382</v>
      </c>
      <c r="T5" s="167">
        <f t="shared" ca="1" si="0"/>
        <v>1.9560220758118804E-4</v>
      </c>
    </row>
    <row r="6" spans="1:20">
      <c r="A6" s="146">
        <v>395</v>
      </c>
      <c r="B6" s="256">
        <v>1.2133506306679959E-3</v>
      </c>
      <c r="C6" s="147">
        <f>Calculator!C12</f>
        <v>1.030086270932675</v>
      </c>
      <c r="D6" s="152" t="s">
        <v>193</v>
      </c>
      <c r="E6" s="156">
        <f>Reference!U3</f>
        <v>3287.7263415831103</v>
      </c>
      <c r="F6" s="153"/>
      <c r="Q6" s="165">
        <v>383</v>
      </c>
      <c r="R6" s="166">
        <v>1.94323555554524E-4</v>
      </c>
      <c r="S6" s="165">
        <v>395</v>
      </c>
      <c r="T6" s="167">
        <f t="shared" ca="1" si="0"/>
        <v>4.4532108066930656E-4</v>
      </c>
    </row>
    <row r="7" spans="1:20">
      <c r="A7" s="146">
        <v>400</v>
      </c>
      <c r="B7" s="256">
        <v>2.4691959067545187E-3</v>
      </c>
      <c r="C7" s="147">
        <f>Calculator!C13</f>
        <v>1.1109779962553352</v>
      </c>
      <c r="D7" s="152" t="s">
        <v>194</v>
      </c>
      <c r="E7" s="154">
        <f>Reference!H18</f>
        <v>-3.0434933115461408E-4</v>
      </c>
      <c r="F7" s="155"/>
      <c r="Q7" s="165">
        <v>384</v>
      </c>
      <c r="R7" s="166">
        <v>2.0632990908886001E-4</v>
      </c>
      <c r="S7" s="165">
        <v>400</v>
      </c>
      <c r="T7" s="167">
        <f t="shared" ca="1" si="0"/>
        <v>9.7982051502022716E-4</v>
      </c>
    </row>
    <row r="8" spans="1:20">
      <c r="A8" s="146">
        <v>405</v>
      </c>
      <c r="B8" s="256">
        <v>5.0247875255440971E-3</v>
      </c>
      <c r="C8" s="147">
        <f>Calculator!C14</f>
        <v>1.1950654274501253</v>
      </c>
      <c r="D8" s="152" t="s">
        <v>195</v>
      </c>
      <c r="E8" s="156">
        <f>Reference!H20</f>
        <v>320.89574288253772</v>
      </c>
      <c r="F8" s="155"/>
      <c r="Q8" s="165">
        <v>385</v>
      </c>
      <c r="R8" s="166">
        <v>2.1542939055504401E-4</v>
      </c>
      <c r="S8" s="165">
        <v>405</v>
      </c>
      <c r="T8" s="167">
        <f t="shared" ca="1" si="0"/>
        <v>2.3132844656651164E-3</v>
      </c>
    </row>
    <row r="9" spans="1:20">
      <c r="A9" s="146">
        <v>410</v>
      </c>
      <c r="B9" s="256">
        <v>1.0225050476327571E-2</v>
      </c>
      <c r="C9" s="147">
        <f>Calculator!C15</f>
        <v>1.2822664795255372</v>
      </c>
      <c r="D9" s="157"/>
      <c r="E9" s="158"/>
      <c r="F9" s="159"/>
      <c r="Q9" s="165">
        <v>386</v>
      </c>
      <c r="R9" s="166">
        <v>2.2626676047639001E-4</v>
      </c>
      <c r="S9" s="165">
        <v>410</v>
      </c>
      <c r="T9" s="167">
        <f t="shared" ca="1" si="0"/>
        <v>4.7665384929649057E-3</v>
      </c>
    </row>
    <row r="10" spans="1:20">
      <c r="A10" s="146">
        <v>415</v>
      </c>
      <c r="B10" s="256">
        <v>2.0818698098575044E-2</v>
      </c>
      <c r="C10" s="147">
        <f>Calculator!C16</f>
        <v>1.3724893303406067</v>
      </c>
      <c r="D10" s="160"/>
      <c r="E10" s="161"/>
      <c r="F10" s="148"/>
      <c r="Q10" s="165">
        <v>387</v>
      </c>
      <c r="R10" s="166">
        <v>2.3665856084812399E-4</v>
      </c>
      <c r="S10" s="165">
        <v>415</v>
      </c>
      <c r="T10" s="167">
        <f t="shared" ca="1" si="0"/>
        <v>7.1844692368076418E-3</v>
      </c>
    </row>
    <row r="11" spans="1:20">
      <c r="A11" s="146">
        <v>420</v>
      </c>
      <c r="B11" s="256">
        <v>4.2146731809576989E-2</v>
      </c>
      <c r="C11" s="147">
        <f>Calculator!C17</f>
        <v>1.46563312408219</v>
      </c>
      <c r="D11" s="148"/>
      <c r="E11" s="148"/>
      <c r="F11" s="148"/>
      <c r="Q11" s="165">
        <v>388</v>
      </c>
      <c r="R11" s="166">
        <v>2.4981292640591902E-4</v>
      </c>
      <c r="S11" s="165">
        <v>420</v>
      </c>
      <c r="T11" s="167">
        <f t="shared" ca="1" si="0"/>
        <v>7.0525977730027667E-3</v>
      </c>
    </row>
    <row r="12" spans="1:20">
      <c r="A12" s="146">
        <v>425</v>
      </c>
      <c r="B12" s="256">
        <v>8.039641379122503E-2</v>
      </c>
      <c r="C12" s="147">
        <f>Calculator!C18</f>
        <v>1.5615886976133349</v>
      </c>
      <c r="D12" s="148"/>
      <c r="E12" s="148"/>
      <c r="F12" s="148"/>
      <c r="Q12" s="165">
        <v>389</v>
      </c>
      <c r="R12" s="166">
        <v>2.6321119139199899E-4</v>
      </c>
      <c r="S12" s="165">
        <v>425</v>
      </c>
      <c r="T12" s="167">
        <f t="shared" ca="1" si="0"/>
        <v>5.0865687838841933E-3</v>
      </c>
    </row>
    <row r="13" spans="1:20">
      <c r="A13" s="146">
        <v>430</v>
      </c>
      <c r="B13" s="256">
        <v>0.14048172445388457</v>
      </c>
      <c r="C13" s="147">
        <f>Calculator!C19</f>
        <v>1.6602393218309035</v>
      </c>
      <c r="D13" s="148"/>
      <c r="E13" s="148"/>
      <c r="F13" s="148"/>
      <c r="Q13" s="165">
        <v>390</v>
      </c>
      <c r="R13" s="166">
        <v>2.7664344713871801E-4</v>
      </c>
      <c r="S13" s="165">
        <v>430</v>
      </c>
      <c r="T13" s="167">
        <f t="shared" ca="1" si="0"/>
        <v>3.714732691973241E-3</v>
      </c>
    </row>
    <row r="14" spans="1:20">
      <c r="A14" s="146">
        <v>435</v>
      </c>
      <c r="B14" s="256">
        <v>0.22511129351896264</v>
      </c>
      <c r="C14" s="147">
        <f>Calculator!C20</f>
        <v>1.7614614507700854</v>
      </c>
      <c r="D14" s="148"/>
      <c r="E14" s="148"/>
      <c r="F14" s="148"/>
      <c r="Q14" s="165">
        <v>391</v>
      </c>
      <c r="R14" s="166">
        <v>2.9439166462552098E-4</v>
      </c>
      <c r="S14" s="165">
        <v>435</v>
      </c>
      <c r="T14" s="167">
        <f t="shared" ca="1" si="0"/>
        <v>2.9624345608426847E-3</v>
      </c>
    </row>
    <row r="15" spans="1:20">
      <c r="A15" s="146">
        <v>440</v>
      </c>
      <c r="B15" s="256">
        <v>0.33740617451674543</v>
      </c>
      <c r="C15" s="147">
        <f>Calculator!C21</f>
        <v>1.8651254718159076</v>
      </c>
      <c r="D15" s="148"/>
      <c r="E15" s="148"/>
      <c r="F15" s="148"/>
      <c r="Q15" s="165">
        <v>392</v>
      </c>
      <c r="R15" s="166">
        <v>3.2310079519841899E-4</v>
      </c>
      <c r="S15" s="165">
        <v>440</v>
      </c>
      <c r="T15" s="167">
        <f t="shared" ca="1" si="0"/>
        <v>2.8057124878535893E-3</v>
      </c>
    </row>
    <row r="16" spans="1:20">
      <c r="A16" s="146">
        <v>445</v>
      </c>
      <c r="B16" s="256">
        <v>0.47852976897591343</v>
      </c>
      <c r="C16" s="147">
        <f>Calculator!C22</f>
        <v>1.9710964510148927</v>
      </c>
      <c r="D16" s="148"/>
      <c r="E16" s="148"/>
      <c r="F16" s="148"/>
      <c r="Q16" s="165">
        <v>393</v>
      </c>
      <c r="R16" s="166">
        <v>3.5413260145286402E-4</v>
      </c>
      <c r="S16" s="165">
        <v>445</v>
      </c>
      <c r="T16" s="167">
        <f t="shared" ca="1" si="0"/>
        <v>3.0171411222076894E-3</v>
      </c>
    </row>
    <row r="17" spans="1:20">
      <c r="A17" s="146">
        <v>450</v>
      </c>
      <c r="B17" s="256">
        <v>0.60427348282747406</v>
      </c>
      <c r="C17" s="147">
        <f>Calculator!C23</f>
        <v>2.079234868112124</v>
      </c>
      <c r="D17" s="148"/>
      <c r="E17" s="148"/>
      <c r="F17" s="148"/>
      <c r="Q17" s="165">
        <v>394</v>
      </c>
      <c r="R17" s="166">
        <v>3.9673571663520799E-4</v>
      </c>
      <c r="S17" s="165">
        <v>450</v>
      </c>
      <c r="T17" s="167">
        <f t="shared" ca="1" si="0"/>
        <v>3.3093729498797683E-3</v>
      </c>
    </row>
    <row r="18" spans="1:20">
      <c r="A18" s="146">
        <v>455</v>
      </c>
      <c r="B18" s="256">
        <v>0.63265966426374187</v>
      </c>
      <c r="C18" s="147">
        <f>Calculator!C24</f>
        <v>2.1893973365615178</v>
      </c>
      <c r="D18" s="148"/>
      <c r="E18" s="148"/>
      <c r="F18" s="148"/>
      <c r="Q18" s="165">
        <v>395</v>
      </c>
      <c r="R18" s="166">
        <v>4.4532108066930499E-4</v>
      </c>
      <c r="S18" s="165">
        <v>455</v>
      </c>
      <c r="T18" s="167">
        <f t="shared" ca="1" si="0"/>
        <v>3.537052820653799E-3</v>
      </c>
    </row>
    <row r="19" spans="1:20">
      <c r="A19" s="146">
        <v>460</v>
      </c>
      <c r="B19" s="256">
        <v>0.55097702240760138</v>
      </c>
      <c r="C19" s="147">
        <f>Calculator!C25</f>
        <v>2.3014373043622776</v>
      </c>
      <c r="D19" s="148"/>
      <c r="E19" s="148"/>
      <c r="F19" s="148"/>
      <c r="Q19" s="165">
        <v>396</v>
      </c>
      <c r="R19" s="166">
        <v>5.1893491876098003E-4</v>
      </c>
      <c r="S19" s="165">
        <v>460</v>
      </c>
      <c r="T19" s="167">
        <f t="shared" ca="1" si="0"/>
        <v>3.6240394787112312E-3</v>
      </c>
    </row>
    <row r="20" spans="1:20">
      <c r="A20" s="146">
        <v>465</v>
      </c>
      <c r="B20" s="256">
        <v>0.43601979858474216</v>
      </c>
      <c r="C20" s="147">
        <f>Calculator!C26</f>
        <v>2.4152057321560179</v>
      </c>
      <c r="D20" s="148"/>
      <c r="E20" s="148"/>
      <c r="F20" s="148"/>
      <c r="Q20" s="165">
        <v>397</v>
      </c>
      <c r="R20" s="166">
        <v>6.1134456625155497E-4</v>
      </c>
      <c r="S20" s="165">
        <v>465</v>
      </c>
      <c r="T20" s="167">
        <f t="shared" ca="1" si="0"/>
        <v>3.6702861408028885E-3</v>
      </c>
    </row>
    <row r="21" spans="1:20">
      <c r="A21" s="146">
        <v>470</v>
      </c>
      <c r="B21" s="256">
        <v>0.34580834841474994</v>
      </c>
      <c r="C21" s="147">
        <f>Calculator!C27</f>
        <v>2.5305517455725504</v>
      </c>
      <c r="D21" s="148"/>
      <c r="E21" s="148"/>
      <c r="F21" s="148"/>
      <c r="Q21" s="165">
        <v>398</v>
      </c>
      <c r="R21" s="166">
        <v>7.0319105466245895E-4</v>
      </c>
      <c r="S21" s="165">
        <v>470</v>
      </c>
      <c r="T21" s="167">
        <f t="shared" ca="1" si="0"/>
        <v>3.6873999906115703E-3</v>
      </c>
    </row>
    <row r="22" spans="1:20">
      <c r="A22" s="146">
        <v>475</v>
      </c>
      <c r="B22" s="256">
        <v>0.28159764333004855</v>
      </c>
      <c r="C22" s="147">
        <f>Calculator!C28</f>
        <v>2.647323259334001</v>
      </c>
      <c r="D22" s="148"/>
      <c r="E22" s="148"/>
      <c r="F22" s="148"/>
      <c r="Q22" s="165">
        <v>399</v>
      </c>
      <c r="R22" s="166">
        <v>8.2672161243983299E-4</v>
      </c>
      <c r="S22" s="165">
        <v>475</v>
      </c>
      <c r="T22" s="167">
        <f t="shared" ca="1" si="0"/>
        <v>3.7161931318557906E-3</v>
      </c>
    </row>
    <row r="23" spans="1:20">
      <c r="A23" s="146">
        <v>480</v>
      </c>
      <c r="B23" s="256">
        <v>0.23681945074928368</v>
      </c>
      <c r="C23" s="147">
        <f>Calculator!C29</f>
        <v>2.7653675711141243</v>
      </c>
      <c r="D23" s="148"/>
      <c r="E23" s="148"/>
      <c r="F23" s="148"/>
      <c r="Q23" s="165">
        <v>400</v>
      </c>
      <c r="R23" s="166">
        <v>9.7982051502023995E-4</v>
      </c>
      <c r="S23" s="165">
        <v>480</v>
      </c>
      <c r="T23" s="167">
        <f t="shared" ca="1" si="0"/>
        <v>3.7515886753961402E-3</v>
      </c>
    </row>
    <row r="24" spans="1:20">
      <c r="A24" s="146">
        <v>485</v>
      </c>
      <c r="B24" s="256">
        <v>0.21285578658667853</v>
      </c>
      <c r="C24" s="147">
        <f>Calculator!C30</f>
        <v>2.8845319236015028</v>
      </c>
      <c r="D24" s="148"/>
      <c r="E24" s="148"/>
      <c r="F24" s="148"/>
      <c r="Q24" s="165">
        <v>401</v>
      </c>
      <c r="R24" s="166">
        <v>1.18208899283274E-3</v>
      </c>
      <c r="S24" s="165">
        <v>485</v>
      </c>
      <c r="T24" s="167">
        <f t="shared" ca="1" si="0"/>
        <v>3.8948901104852111E-3</v>
      </c>
    </row>
    <row r="25" spans="1:20">
      <c r="A25" s="146">
        <v>490</v>
      </c>
      <c r="B25" s="256">
        <v>0.20993174034645679</v>
      </c>
      <c r="C25" s="147">
        <f>Calculator!C31</f>
        <v>3.004664033629699</v>
      </c>
      <c r="D25" s="148"/>
      <c r="E25" s="148"/>
      <c r="F25" s="148"/>
      <c r="Q25" s="165">
        <v>402</v>
      </c>
      <c r="R25" s="166">
        <v>1.3804117896048899E-3</v>
      </c>
      <c r="S25" s="165">
        <v>490</v>
      </c>
      <c r="T25" s="167">
        <f t="shared" ca="1" si="0"/>
        <v>4.093672405356498E-3</v>
      </c>
    </row>
    <row r="26" spans="1:20">
      <c r="A26" s="146">
        <v>495</v>
      </c>
      <c r="B26" s="256">
        <v>0.22565961653611735</v>
      </c>
      <c r="C26" s="147">
        <f>Calculator!C32</f>
        <v>3.1256125876157883</v>
      </c>
      <c r="D26" s="148"/>
      <c r="E26" s="148"/>
      <c r="F26" s="148"/>
      <c r="Q26" s="165">
        <v>403</v>
      </c>
      <c r="R26" s="166">
        <v>1.6528088721308599E-3</v>
      </c>
      <c r="S26" s="165">
        <v>495</v>
      </c>
      <c r="T26" s="167">
        <f t="shared" ca="1" si="0"/>
        <v>4.3775095920316129E-3</v>
      </c>
    </row>
    <row r="27" spans="1:20">
      <c r="A27" s="146">
        <v>500</v>
      </c>
      <c r="B27" s="256">
        <v>0.25998835803395759</v>
      </c>
      <c r="C27" s="147">
        <f>Calculator!C33</f>
        <v>3.2472277028900742</v>
      </c>
      <c r="D27" s="148"/>
      <c r="E27" s="148"/>
      <c r="F27" s="148"/>
      <c r="Q27" s="165">
        <v>404</v>
      </c>
      <c r="R27" s="166">
        <v>1.9647038512422498E-3</v>
      </c>
      <c r="S27" s="165">
        <v>500</v>
      </c>
      <c r="T27" s="167">
        <f t="shared" ca="1" si="0"/>
        <v>4.7562013213401921E-3</v>
      </c>
    </row>
    <row r="28" spans="1:20">
      <c r="A28" s="146">
        <v>505</v>
      </c>
      <c r="B28" s="256">
        <v>0.31084166626295961</v>
      </c>
      <c r="C28" s="147">
        <f>Calculator!C34</f>
        <v>3.3693613548057182</v>
      </c>
      <c r="D28" s="148"/>
      <c r="E28" s="148"/>
      <c r="F28" s="148"/>
      <c r="Q28" s="165">
        <v>405</v>
      </c>
      <c r="R28" s="166">
        <v>2.3132844656651198E-3</v>
      </c>
      <c r="S28" s="165">
        <v>505</v>
      </c>
      <c r="T28" s="167">
        <f t="shared" ca="1" si="0"/>
        <v>5.1694197259772381E-3</v>
      </c>
    </row>
    <row r="29" spans="1:20">
      <c r="A29" s="146">
        <v>510</v>
      </c>
      <c r="B29" s="256">
        <v>0.37161414710047769</v>
      </c>
      <c r="C29" s="147">
        <f>Calculator!C35</f>
        <v>3.4918677697889313</v>
      </c>
      <c r="D29" s="148"/>
      <c r="E29" s="148"/>
      <c r="F29" s="148"/>
      <c r="Q29" s="165">
        <v>406</v>
      </c>
      <c r="R29" s="166">
        <v>2.7303753175116998E-3</v>
      </c>
      <c r="S29" s="165">
        <v>510</v>
      </c>
      <c r="T29" s="167">
        <f t="shared" ca="1" si="0"/>
        <v>5.5452279929176507E-3</v>
      </c>
    </row>
    <row r="30" spans="1:20">
      <c r="A30" s="146">
        <v>515</v>
      </c>
      <c r="B30" s="256">
        <v>0.43606391801633948</v>
      </c>
      <c r="C30" s="147">
        <f>Calculator!C36</f>
        <v>3.6146037847289509</v>
      </c>
      <c r="D30" s="148"/>
      <c r="E30" s="148"/>
      <c r="F30" s="148"/>
      <c r="Q30" s="165">
        <v>407</v>
      </c>
      <c r="R30" s="166">
        <v>3.1745553869567201E-3</v>
      </c>
      <c r="S30" s="165">
        <v>515</v>
      </c>
      <c r="T30" s="167">
        <f t="shared" ca="1" si="0"/>
        <v>5.9395591744678677E-3</v>
      </c>
    </row>
    <row r="31" spans="1:20">
      <c r="A31" s="146">
        <v>520</v>
      </c>
      <c r="B31" s="256">
        <v>0.49931971205704584</v>
      </c>
      <c r="C31" s="147">
        <f>Calculator!C37</f>
        <v>3.737429173314792</v>
      </c>
      <c r="D31" s="148"/>
      <c r="E31" s="148"/>
      <c r="F31" s="148"/>
      <c r="Q31" s="165">
        <v>408</v>
      </c>
      <c r="R31" s="166">
        <v>3.66383292631022E-3</v>
      </c>
      <c r="S31" s="165">
        <v>520</v>
      </c>
      <c r="T31" s="167">
        <f t="shared" ca="1" si="0"/>
        <v>6.314055520425129E-3</v>
      </c>
    </row>
    <row r="32" spans="1:20">
      <c r="A32" s="146">
        <v>525</v>
      </c>
      <c r="B32" s="256">
        <v>0.55895072417325298</v>
      </c>
      <c r="C32" s="147">
        <f>Calculator!C38</f>
        <v>3.8602069401044039</v>
      </c>
      <c r="D32" s="148"/>
      <c r="E32" s="148"/>
      <c r="F32" s="148"/>
      <c r="Q32" s="165">
        <v>409</v>
      </c>
      <c r="R32" s="166">
        <v>4.21810019204875E-3</v>
      </c>
      <c r="S32" s="165">
        <v>525</v>
      </c>
      <c r="T32" s="167">
        <f t="shared" ca="1" si="0"/>
        <v>6.6548290405670299E-3</v>
      </c>
    </row>
    <row r="33" spans="1:20">
      <c r="A33" s="146">
        <v>530</v>
      </c>
      <c r="B33" s="256">
        <v>0.61231817287123225</v>
      </c>
      <c r="C33" s="147">
        <f>Calculator!C39</f>
        <v>3.9828035832625988</v>
      </c>
      <c r="D33" s="148"/>
      <c r="E33" s="148"/>
      <c r="F33" s="214" t="s">
        <v>112</v>
      </c>
      <c r="G33" s="215" t="s">
        <v>225</v>
      </c>
      <c r="H33" s="215" t="s">
        <v>226</v>
      </c>
      <c r="I33" s="215" t="s">
        <v>227</v>
      </c>
      <c r="J33" s="215" t="s">
        <v>228</v>
      </c>
      <c r="K33" s="215" t="s">
        <v>229</v>
      </c>
      <c r="L33" s="215" t="s">
        <v>230</v>
      </c>
      <c r="M33" s="215" t="s">
        <v>231</v>
      </c>
      <c r="N33" s="215" t="s">
        <v>232</v>
      </c>
      <c r="O33" s="216" t="s">
        <v>233</v>
      </c>
      <c r="Q33" s="165">
        <v>410</v>
      </c>
      <c r="R33" s="166">
        <v>4.7665384929649196E-3</v>
      </c>
      <c r="S33" s="165">
        <v>530</v>
      </c>
      <c r="T33" s="167">
        <f t="shared" ca="1" si="0"/>
        <v>6.9954190799847993E-3</v>
      </c>
    </row>
    <row r="34" spans="1:20">
      <c r="A34" s="146">
        <v>535</v>
      </c>
      <c r="B34" s="256">
        <v>0.6584465473068688</v>
      </c>
      <c r="C34" s="147">
        <f>Calculator!C40</f>
        <v>4.1050893270303224</v>
      </c>
      <c r="D34" s="148"/>
      <c r="E34" s="148"/>
      <c r="F34" s="217">
        <f>E4</f>
        <v>81.610662837185856</v>
      </c>
      <c r="G34" s="211">
        <f>Calculator!G34</f>
        <v>89.463354103778187</v>
      </c>
      <c r="H34" s="211">
        <f>Calculator!H34</f>
        <v>80.456544511571607</v>
      </c>
      <c r="I34" s="211">
        <f>Calculator!I34</f>
        <v>81.533398618968235</v>
      </c>
      <c r="J34" s="211">
        <f>Calculator!J34</f>
        <v>79.412432735692533</v>
      </c>
      <c r="K34" s="211">
        <f>Calculator!K34</f>
        <v>65.907495038241734</v>
      </c>
      <c r="L34" s="211">
        <f>Calculator!L34</f>
        <v>79.394186335639517</v>
      </c>
      <c r="M34" s="211">
        <f>Calculator!M34</f>
        <v>73.248387183996286</v>
      </c>
      <c r="N34" s="211">
        <f>Calculator!N34</f>
        <v>68.519426462053232</v>
      </c>
      <c r="O34" s="218">
        <f>Calculator!O34</f>
        <v>95.937413555825259</v>
      </c>
      <c r="Q34" s="165">
        <v>411</v>
      </c>
      <c r="R34" s="166">
        <v>5.3186481499968999E-3</v>
      </c>
      <c r="S34" s="165">
        <v>535</v>
      </c>
      <c r="T34" s="167">
        <f t="shared" ca="1" si="0"/>
        <v>7.3174312192547109E-3</v>
      </c>
    </row>
    <row r="35" spans="1:20">
      <c r="A35" s="146">
        <v>540</v>
      </c>
      <c r="B35" s="256">
        <v>0.69848180838657226</v>
      </c>
      <c r="C35" s="147">
        <f>Calculator!C41</f>
        <v>4.2269383250902006</v>
      </c>
      <c r="D35" s="148"/>
      <c r="E35" s="148"/>
      <c r="F35" s="219" t="s">
        <v>234</v>
      </c>
      <c r="G35" s="212" t="s">
        <v>235</v>
      </c>
      <c r="H35" s="212" t="s">
        <v>236</v>
      </c>
      <c r="I35" s="212" t="s">
        <v>237</v>
      </c>
      <c r="J35" s="212" t="s">
        <v>238</v>
      </c>
      <c r="K35" s="212" t="s">
        <v>239</v>
      </c>
      <c r="L35" s="212" t="s">
        <v>240</v>
      </c>
      <c r="M35" s="212" t="s">
        <v>241</v>
      </c>
      <c r="N35" s="212" t="s">
        <v>242</v>
      </c>
      <c r="O35" s="220" t="s">
        <v>243</v>
      </c>
      <c r="Q35" s="165">
        <v>412</v>
      </c>
      <c r="R35" s="166">
        <v>5.8378701754880497E-3</v>
      </c>
      <c r="S35" s="165">
        <v>540</v>
      </c>
      <c r="T35" s="167">
        <f t="shared" ca="1" si="0"/>
        <v>7.6958183605694355E-3</v>
      </c>
    </row>
    <row r="36" spans="1:20">
      <c r="A36" s="146">
        <v>545</v>
      </c>
      <c r="B36" s="256">
        <v>0.73549176277963701</v>
      </c>
      <c r="C36" s="147">
        <f>Calculator!C42</f>
        <v>4.3482288360746084</v>
      </c>
      <c r="D36" s="148"/>
      <c r="E36" s="148"/>
      <c r="F36" s="221">
        <f>Calculator!P34</f>
        <v>76.281606667611769</v>
      </c>
      <c r="G36" s="211">
        <f>Calculator!Q34</f>
        <v>71.94809182154944</v>
      </c>
      <c r="H36" s="211">
        <f>Calculator!R34</f>
        <v>71.845406822959035</v>
      </c>
      <c r="I36" s="211">
        <f>Calculator!S34</f>
        <v>83.283759729341384</v>
      </c>
      <c r="J36" s="211">
        <f>Calculator!T34</f>
        <v>92.981953875549294</v>
      </c>
      <c r="K36" s="211">
        <f>Calculator!U34</f>
        <v>89.162337822852436</v>
      </c>
      <c r="L36" s="211">
        <f>Calculator!V34</f>
        <v>72.910966674758782</v>
      </c>
      <c r="M36" s="211">
        <f>Calculator!W34</f>
        <v>75.123352303206062</v>
      </c>
      <c r="N36" s="211">
        <f>Calculator!X34</f>
        <v>85.849546963115131</v>
      </c>
      <c r="O36" s="218">
        <f>Calculator!Y34</f>
        <v>75.08468350664063</v>
      </c>
      <c r="Q36" s="165">
        <v>413</v>
      </c>
      <c r="R36" s="166">
        <v>6.3381170089030197E-3</v>
      </c>
      <c r="S36" s="165">
        <v>545</v>
      </c>
      <c r="T36" s="167">
        <f t="shared" ca="1" si="0"/>
        <v>8.0712078142960858E-3</v>
      </c>
    </row>
    <row r="37" spans="1:20">
      <c r="A37" s="146">
        <v>550</v>
      </c>
      <c r="B37" s="256">
        <v>0.77066112125559127</v>
      </c>
      <c r="C37" s="147">
        <f>Calculator!C43</f>
        <v>4.4688433725243319</v>
      </c>
      <c r="D37" s="148"/>
      <c r="E37" s="148"/>
      <c r="F37" s="219" t="s">
        <v>244</v>
      </c>
      <c r="G37" s="212" t="s">
        <v>245</v>
      </c>
      <c r="H37" s="212" t="s">
        <v>246</v>
      </c>
      <c r="I37" s="212" t="s">
        <v>247</v>
      </c>
      <c r="J37" s="212" t="s">
        <v>248</v>
      </c>
      <c r="K37" s="212" t="s">
        <v>249</v>
      </c>
      <c r="L37" s="212" t="s">
        <v>250</v>
      </c>
      <c r="M37" s="212" t="s">
        <v>251</v>
      </c>
      <c r="N37" s="212" t="s">
        <v>252</v>
      </c>
      <c r="O37" s="220" t="s">
        <v>253</v>
      </c>
      <c r="Q37" s="165">
        <v>414</v>
      </c>
      <c r="R37" s="166">
        <v>6.8506809640233E-3</v>
      </c>
      <c r="S37" s="165">
        <v>550</v>
      </c>
      <c r="T37" s="167">
        <f t="shared" ca="1" si="0"/>
        <v>8.5650632228269075E-3</v>
      </c>
    </row>
    <row r="38" spans="1:20">
      <c r="A38" s="146">
        <v>555</v>
      </c>
      <c r="B38" s="256">
        <v>0.80419688981102544</v>
      </c>
      <c r="C38" s="147">
        <f>Calculator!C44</f>
        <v>4.5886688246508465</v>
      </c>
      <c r="D38" s="148"/>
      <c r="E38" s="148"/>
      <c r="F38" s="221">
        <f>Calculator!Z34</f>
        <v>63.442527079343733</v>
      </c>
      <c r="G38" s="211">
        <f>Calculator!AA34</f>
        <v>69.36261807913894</v>
      </c>
      <c r="H38" s="211">
        <f>Calculator!AB34</f>
        <v>71.442841193075125</v>
      </c>
      <c r="I38" s="211">
        <f>Calculator!AC34</f>
        <v>89.654426212184802</v>
      </c>
      <c r="J38" s="211">
        <f>Calculator!AD34</f>
        <v>76.797424334624807</v>
      </c>
      <c r="K38" s="211">
        <f>Calculator!AE34</f>
        <v>67.64116462339851</v>
      </c>
      <c r="L38" s="211">
        <f>Calculator!AF34</f>
        <v>75.517756192994483</v>
      </c>
      <c r="M38" s="211">
        <f>Calculator!AG34</f>
        <v>92.717457807395348</v>
      </c>
      <c r="N38" s="211">
        <f>Calculator!AH34</f>
        <v>87.722520515745529</v>
      </c>
      <c r="O38" s="218">
        <f>Calculator!AI34</f>
        <v>81.092339602726497</v>
      </c>
      <c r="Q38" s="165">
        <v>415</v>
      </c>
      <c r="R38" s="166">
        <v>7.1844692368076401E-3</v>
      </c>
      <c r="S38" s="165">
        <v>555</v>
      </c>
      <c r="T38" s="167">
        <f t="shared" ca="1" si="0"/>
        <v>9.1388891457798993E-3</v>
      </c>
    </row>
    <row r="39" spans="1:20">
      <c r="A39" s="146">
        <v>560</v>
      </c>
      <c r="B39" s="256">
        <v>0.83622552311799836</v>
      </c>
      <c r="C39" s="147">
        <f>Calculator!C45</f>
        <v>4.7075965602835366</v>
      </c>
      <c r="D39" s="148"/>
      <c r="E39" s="148"/>
      <c r="F39" s="219" t="s">
        <v>254</v>
      </c>
      <c r="G39" s="212" t="s">
        <v>255</v>
      </c>
      <c r="H39" s="212" t="s">
        <v>256</v>
      </c>
      <c r="I39" s="212" t="s">
        <v>257</v>
      </c>
      <c r="J39" s="212" t="s">
        <v>258</v>
      </c>
      <c r="K39" s="212" t="s">
        <v>259</v>
      </c>
      <c r="L39" s="212" t="s">
        <v>260</v>
      </c>
      <c r="M39" s="212" t="s">
        <v>261</v>
      </c>
      <c r="N39" s="212" t="s">
        <v>262</v>
      </c>
      <c r="O39" s="220" t="s">
        <v>263</v>
      </c>
      <c r="Q39" s="165">
        <v>416</v>
      </c>
      <c r="R39" s="166">
        <v>7.3594277582702296E-3</v>
      </c>
      <c r="S39" s="165">
        <v>560</v>
      </c>
      <c r="T39" s="167">
        <f t="shared" ca="1" si="0"/>
        <v>9.7525402898948343E-3</v>
      </c>
    </row>
    <row r="40" spans="1:20">
      <c r="A40" s="146">
        <v>565</v>
      </c>
      <c r="B40" s="256">
        <v>0.86750595335138514</v>
      </c>
      <c r="C40" s="147">
        <f>Calculator!C46</f>
        <v>4.8255225023989663</v>
      </c>
      <c r="D40" s="148"/>
      <c r="E40" s="148"/>
      <c r="F40" s="221">
        <f>Calculator!AJ34</f>
        <v>95.011525526705725</v>
      </c>
      <c r="G40" s="211">
        <f>Calculator!AK34</f>
        <v>83.278162420688915</v>
      </c>
      <c r="H40" s="211">
        <f>Calculator!AL34</f>
        <v>74.409082294635425</v>
      </c>
      <c r="I40" s="211">
        <f>Calculator!AM34</f>
        <v>90.422342884596318</v>
      </c>
      <c r="J40" s="211">
        <f>Calculator!AN34</f>
        <v>80.420122851684553</v>
      </c>
      <c r="K40" s="211">
        <f>Calculator!AO34</f>
        <v>89.026117187051611</v>
      </c>
      <c r="L40" s="211">
        <f>Calculator!AP34</f>
        <v>86.904108506231267</v>
      </c>
      <c r="M40" s="211">
        <f>Calculator!AQ34</f>
        <v>85.035529335089052</v>
      </c>
      <c r="N40" s="211">
        <f>Calculator!AR34</f>
        <v>95.698821499936187</v>
      </c>
      <c r="O40" s="218">
        <f>Calculator!AS34</f>
        <v>98.503512413354912</v>
      </c>
      <c r="Q40" s="165">
        <v>417</v>
      </c>
      <c r="R40" s="166">
        <v>7.4886335199046399E-3</v>
      </c>
      <c r="S40" s="165">
        <v>565</v>
      </c>
      <c r="T40" s="167">
        <f t="shared" ca="1" si="0"/>
        <v>1.0486494265175311E-2</v>
      </c>
    </row>
    <row r="41" spans="1:20">
      <c r="A41" s="146">
        <v>570</v>
      </c>
      <c r="B41" s="256">
        <v>0.89760987574374007</v>
      </c>
      <c r="C41" s="147">
        <f>Calculator!C47</f>
        <v>4.9423471856315517</v>
      </c>
      <c r="D41" s="148"/>
      <c r="E41" s="148"/>
      <c r="F41" s="219" t="s">
        <v>264</v>
      </c>
      <c r="G41" s="212" t="s">
        <v>265</v>
      </c>
      <c r="H41" s="212" t="s">
        <v>266</v>
      </c>
      <c r="I41" s="212" t="s">
        <v>267</v>
      </c>
      <c r="J41" s="212" t="s">
        <v>268</v>
      </c>
      <c r="K41" s="212" t="s">
        <v>269</v>
      </c>
      <c r="L41" s="212" t="s">
        <v>270</v>
      </c>
      <c r="M41" s="212" t="s">
        <v>271</v>
      </c>
      <c r="N41" s="212" t="s">
        <v>272</v>
      </c>
      <c r="O41" s="220" t="s">
        <v>273</v>
      </c>
      <c r="Q41" s="165">
        <v>418</v>
      </c>
      <c r="R41" s="166">
        <v>7.50702775757707E-3</v>
      </c>
      <c r="S41" s="165">
        <v>570</v>
      </c>
      <c r="T41" s="167">
        <f t="shared" ca="1" si="0"/>
        <v>1.1168187099239682E-2</v>
      </c>
    </row>
    <row r="42" spans="1:20">
      <c r="A42" s="146">
        <v>575</v>
      </c>
      <c r="B42" s="256">
        <v>0.92614862028454326</v>
      </c>
      <c r="C42" s="147">
        <f>Calculator!C48</f>
        <v>5.0579757931575982</v>
      </c>
      <c r="D42" s="148"/>
      <c r="E42" s="148"/>
      <c r="F42" s="221">
        <f>Calculator!AT34</f>
        <v>96.312748663084008</v>
      </c>
      <c r="G42" s="211">
        <f>Calculator!AU34</f>
        <v>98.686454862051974</v>
      </c>
      <c r="H42" s="211">
        <f>Calculator!AV34</f>
        <v>88.424968609482448</v>
      </c>
      <c r="I42" s="211">
        <f>Calculator!AW34</f>
        <v>85.194468578822239</v>
      </c>
      <c r="J42" s="211">
        <f>Calculator!AX34</f>
        <v>99.564093653185225</v>
      </c>
      <c r="K42" s="211">
        <f>Calculator!AY34</f>
        <v>90.394236321852887</v>
      </c>
      <c r="L42" s="211">
        <f>Calculator!AZ34</f>
        <v>88.554414947848542</v>
      </c>
      <c r="M42" s="211">
        <f>Calculator!BA34</f>
        <v>94.264630317311287</v>
      </c>
      <c r="N42" s="211">
        <f>Calculator!BB34</f>
        <v>85.283719834422854</v>
      </c>
      <c r="O42" s="218">
        <f>Calculator!BC34</f>
        <v>86.437960417781724</v>
      </c>
      <c r="Q42" s="165">
        <v>419</v>
      </c>
      <c r="R42" s="166">
        <v>7.2266390619975199E-3</v>
      </c>
      <c r="S42" s="165">
        <v>575</v>
      </c>
      <c r="T42" s="167">
        <f t="shared" ca="1" si="0"/>
        <v>1.19706194443681E-2</v>
      </c>
    </row>
    <row r="43" spans="1:20">
      <c r="A43" s="146">
        <v>580</v>
      </c>
      <c r="B43" s="256">
        <v>0.95163814404877634</v>
      </c>
      <c r="C43" s="147">
        <f>Calculator!C49</f>
        <v>5.1723181753273488</v>
      </c>
      <c r="D43" s="148"/>
      <c r="E43" s="148"/>
      <c r="F43" s="219" t="s">
        <v>274</v>
      </c>
      <c r="G43" s="212" t="s">
        <v>275</v>
      </c>
      <c r="H43" s="212" t="s">
        <v>276</v>
      </c>
      <c r="I43" s="212" t="s">
        <v>277</v>
      </c>
      <c r="J43" s="212" t="s">
        <v>278</v>
      </c>
      <c r="K43" s="212" t="s">
        <v>279</v>
      </c>
      <c r="L43" s="212" t="s">
        <v>280</v>
      </c>
      <c r="M43" s="212" t="s">
        <v>281</v>
      </c>
      <c r="N43" s="212" t="s">
        <v>282</v>
      </c>
      <c r="O43" s="220" t="s">
        <v>283</v>
      </c>
      <c r="Q43" s="165">
        <v>420</v>
      </c>
      <c r="R43" s="166">
        <v>7.0525977730027598E-3</v>
      </c>
      <c r="S43" s="165">
        <v>580</v>
      </c>
      <c r="T43" s="167">
        <f t="shared" ca="1" si="0"/>
        <v>1.2562112944384501E-2</v>
      </c>
    </row>
    <row r="44" spans="1:20">
      <c r="A44" s="146">
        <v>585</v>
      </c>
      <c r="B44" s="256">
        <v>0.97358091373391409</v>
      </c>
      <c r="C44" s="147">
        <f>Calculator!C50</f>
        <v>5.285288851394558</v>
      </c>
      <c r="D44" s="148"/>
      <c r="E44" s="148"/>
      <c r="F44" s="221">
        <f>Calculator!BD34</f>
        <v>89.952071724080739</v>
      </c>
      <c r="G44" s="211">
        <f>Calculator!BE34</f>
        <v>89.2913743519766</v>
      </c>
      <c r="H44" s="211">
        <f>Calculator!BF34</f>
        <v>88.005488732452022</v>
      </c>
      <c r="I44" s="211">
        <f>Calculator!BG34</f>
        <v>83.567551859490067</v>
      </c>
      <c r="J44" s="211">
        <f>Calculator!BH34</f>
        <v>89.598969563165326</v>
      </c>
      <c r="K44" s="211">
        <f>Calculator!BI34</f>
        <v>86.70626218670121</v>
      </c>
      <c r="L44" s="211">
        <f>Calculator!BJ34</f>
        <v>81.371728482749276</v>
      </c>
      <c r="M44" s="211">
        <f>Calculator!BK34</f>
        <v>80.235117745797083</v>
      </c>
      <c r="N44" s="211">
        <f>Calculator!BL34</f>
        <v>80.610055531710017</v>
      </c>
      <c r="O44" s="218">
        <f>Calculator!BM34</f>
        <v>88.517761852374761</v>
      </c>
      <c r="Q44" s="165">
        <v>421</v>
      </c>
      <c r="R44" s="166">
        <v>6.7526307967557602E-3</v>
      </c>
      <c r="S44" s="165">
        <v>585</v>
      </c>
      <c r="T44" s="167">
        <f t="shared" ca="1" si="0"/>
        <v>1.3192620364484896E-2</v>
      </c>
    </row>
    <row r="45" spans="1:20">
      <c r="A45" s="146">
        <v>590</v>
      </c>
      <c r="B45" s="256">
        <v>0.98899127955690336</v>
      </c>
      <c r="C45" s="147">
        <f>Calculator!C51</f>
        <v>5.3968069956616214</v>
      </c>
      <c r="D45" s="148"/>
      <c r="E45" s="148"/>
      <c r="F45" s="219" t="s">
        <v>284</v>
      </c>
      <c r="G45" s="212" t="s">
        <v>285</v>
      </c>
      <c r="H45" s="212" t="s">
        <v>286</v>
      </c>
      <c r="I45" s="212" t="s">
        <v>287</v>
      </c>
      <c r="J45" s="212" t="s">
        <v>288</v>
      </c>
      <c r="K45" s="212" t="s">
        <v>289</v>
      </c>
      <c r="L45" s="212" t="s">
        <v>290</v>
      </c>
      <c r="M45" s="212" t="s">
        <v>291</v>
      </c>
      <c r="N45" s="212" t="s">
        <v>292</v>
      </c>
      <c r="O45" s="220" t="s">
        <v>293</v>
      </c>
      <c r="Q45" s="165">
        <v>422</v>
      </c>
      <c r="R45" s="166">
        <v>6.3205869518548202E-3</v>
      </c>
      <c r="S45" s="165">
        <v>590</v>
      </c>
      <c r="T45" s="167">
        <f t="shared" ca="1" si="0"/>
        <v>1.3634428813994195E-2</v>
      </c>
    </row>
    <row r="46" spans="1:20">
      <c r="A46" s="146">
        <v>595</v>
      </c>
      <c r="B46" s="256">
        <v>0.99767166544191965</v>
      </c>
      <c r="C46" s="147">
        <f>Calculator!C52</f>
        <v>5.5067964093205042</v>
      </c>
      <c r="D46" s="148"/>
      <c r="E46" s="148"/>
      <c r="F46" s="221">
        <f>Calculator!BN34</f>
        <v>89.670162892867154</v>
      </c>
      <c r="G46" s="211">
        <f>Calculator!BO34</f>
        <v>84.174171201139785</v>
      </c>
      <c r="H46" s="211">
        <f>Calculator!BP34</f>
        <v>84.170440244711031</v>
      </c>
      <c r="I46" s="211">
        <f>Calculator!BQ34</f>
        <v>79.357577435634113</v>
      </c>
      <c r="J46" s="211">
        <f>Calculator!BR34</f>
        <v>71.261469746411251</v>
      </c>
      <c r="K46" s="211">
        <f>Calculator!BS34</f>
        <v>72.82896377840261</v>
      </c>
      <c r="L46" s="211">
        <f>Calculator!BT34</f>
        <v>65.754326069659214</v>
      </c>
      <c r="M46" s="211">
        <f>Calculator!BU34</f>
        <v>64.147973236332263</v>
      </c>
      <c r="N46" s="211">
        <f>Calculator!BV34</f>
        <v>71.681864868250969</v>
      </c>
      <c r="O46" s="218">
        <f>Calculator!BW34</f>
        <v>77.38637264779544</v>
      </c>
      <c r="Q46" s="165">
        <v>423</v>
      </c>
      <c r="R46" s="166">
        <v>5.8993869115067299E-3</v>
      </c>
      <c r="S46" s="165">
        <v>595</v>
      </c>
      <c r="T46" s="167">
        <f t="shared" ca="1" si="0"/>
        <v>1.3933333022758006E-2</v>
      </c>
    </row>
    <row r="47" spans="1:20">
      <c r="A47" s="146">
        <v>600</v>
      </c>
      <c r="B47" s="256">
        <v>0.99971044499709616</v>
      </c>
      <c r="C47" s="147">
        <f>Calculator!C53</f>
        <v>5.6151854792280087</v>
      </c>
      <c r="D47" s="148"/>
      <c r="E47" s="148"/>
      <c r="F47" s="219" t="s">
        <v>294</v>
      </c>
      <c r="G47" s="212" t="s">
        <v>295</v>
      </c>
      <c r="H47" s="212" t="s">
        <v>296</v>
      </c>
      <c r="I47" s="212" t="s">
        <v>297</v>
      </c>
      <c r="J47" s="212" t="s">
        <v>298</v>
      </c>
      <c r="K47" s="212" t="s">
        <v>299</v>
      </c>
      <c r="L47" s="212" t="s">
        <v>300</v>
      </c>
      <c r="M47" s="212" t="s">
        <v>301</v>
      </c>
      <c r="N47" s="212" t="s">
        <v>302</v>
      </c>
      <c r="O47" s="220" t="s">
        <v>303</v>
      </c>
      <c r="Q47" s="165">
        <v>424</v>
      </c>
      <c r="R47" s="166">
        <v>5.5180252768318198E-3</v>
      </c>
      <c r="S47" s="165">
        <v>600</v>
      </c>
      <c r="T47" s="167">
        <f t="shared" ca="1" si="0"/>
        <v>1.4060417821594999E-2</v>
      </c>
    </row>
    <row r="48" spans="1:20">
      <c r="A48" s="146">
        <v>605</v>
      </c>
      <c r="B48" s="256">
        <v>0.99249981705009171</v>
      </c>
      <c r="C48" s="147">
        <f>Calculator!C54</f>
        <v>5.7219071248079381</v>
      </c>
      <c r="D48" s="148"/>
      <c r="E48" s="148"/>
      <c r="F48" s="221">
        <f>Calculator!BX34</f>
        <v>67.96035208711514</v>
      </c>
      <c r="G48" s="211">
        <f>Calculator!BY34</f>
        <v>63.163066599291881</v>
      </c>
      <c r="H48" s="211">
        <f>Calculator!BZ34</f>
        <v>87.088906337537537</v>
      </c>
      <c r="I48" s="211">
        <f>Calculator!CA34</f>
        <v>62.398236488147212</v>
      </c>
      <c r="J48" s="211">
        <f>Calculator!CB34</f>
        <v>92.698114979765307</v>
      </c>
      <c r="K48" s="211">
        <f>Calculator!CC34</f>
        <v>67.302254928170768</v>
      </c>
      <c r="L48" s="211">
        <f>Calculator!CD34</f>
        <v>67.619504685061798</v>
      </c>
      <c r="M48" s="211">
        <f>Calculator!CE34</f>
        <v>80.015620807027673</v>
      </c>
      <c r="N48" s="211">
        <f>Calculator!CF34</f>
        <v>70.448477558928516</v>
      </c>
      <c r="O48" s="218">
        <f>Calculator!CG34</f>
        <v>88.951473359134894</v>
      </c>
      <c r="Q48" s="165">
        <v>425</v>
      </c>
      <c r="R48" s="166">
        <v>5.0865687838841803E-3</v>
      </c>
      <c r="S48" s="165">
        <v>605</v>
      </c>
      <c r="T48" s="167">
        <f t="shared" ca="1" si="0"/>
        <v>1.3980964321965899E-2</v>
      </c>
    </row>
    <row r="49" spans="1:20">
      <c r="A49" s="146">
        <v>610</v>
      </c>
      <c r="B49" s="256">
        <v>0.97762727685260553</v>
      </c>
      <c r="C49" s="147">
        <f>Calculator!C55</f>
        <v>5.8268987342244092</v>
      </c>
      <c r="D49" s="148"/>
      <c r="E49" s="148"/>
      <c r="F49" s="219" t="s">
        <v>304</v>
      </c>
      <c r="G49" s="212" t="s">
        <v>305</v>
      </c>
      <c r="H49" s="212" t="s">
        <v>306</v>
      </c>
      <c r="I49" s="212" t="s">
        <v>307</v>
      </c>
      <c r="J49" s="212" t="s">
        <v>308</v>
      </c>
      <c r="K49" s="212" t="s">
        <v>309</v>
      </c>
      <c r="L49" s="212" t="s">
        <v>310</v>
      </c>
      <c r="M49" s="212" t="s">
        <v>311</v>
      </c>
      <c r="N49" s="212" t="s">
        <v>312</v>
      </c>
      <c r="O49" s="220" t="s">
        <v>313</v>
      </c>
      <c r="Q49" s="165">
        <v>426</v>
      </c>
      <c r="R49" s="166">
        <v>4.7723565702042503E-3</v>
      </c>
      <c r="S49" s="165">
        <v>610</v>
      </c>
      <c r="T49" s="167">
        <f t="shared" ca="1" si="0"/>
        <v>1.37997509986168E-2</v>
      </c>
    </row>
    <row r="50" spans="1:20">
      <c r="A50" s="146">
        <v>615</v>
      </c>
      <c r="B50" s="256">
        <v>0.95710292718056567</v>
      </c>
      <c r="C50" s="147">
        <f>Calculator!C56</f>
        <v>5.930102090919565</v>
      </c>
      <c r="D50" s="148"/>
      <c r="E50" s="148"/>
      <c r="F50" s="221">
        <f>Calculator!CH34</f>
        <v>86.952142052995441</v>
      </c>
      <c r="G50" s="211">
        <f>Calculator!CI34</f>
        <v>81.522295316907417</v>
      </c>
      <c r="H50" s="211">
        <f>Calculator!CJ34</f>
        <v>94.210258508218743</v>
      </c>
      <c r="I50" s="211">
        <f>Calculator!CK34</f>
        <v>94.318715348127228</v>
      </c>
      <c r="J50" s="211">
        <f>Calculator!CL34</f>
        <v>89.446942604711225</v>
      </c>
      <c r="K50" s="211">
        <f>Calculator!CM34</f>
        <v>79.256458221660822</v>
      </c>
      <c r="L50" s="211">
        <f>Calculator!CN34</f>
        <v>76.582050150764061</v>
      </c>
      <c r="M50" s="211">
        <f>Calculator!CO34</f>
        <v>83.703086147008761</v>
      </c>
      <c r="N50" s="211">
        <f>Calculator!CP34</f>
        <v>87.694106910514606</v>
      </c>
      <c r="O50" s="218">
        <f>Calculator!CQ34</f>
        <v>76.733571080240381</v>
      </c>
      <c r="Q50" s="165">
        <v>427</v>
      </c>
      <c r="R50" s="166">
        <v>4.4513179486884002E-3</v>
      </c>
      <c r="S50" s="165">
        <v>615</v>
      </c>
      <c r="T50" s="167">
        <f t="shared" ca="1" si="0"/>
        <v>1.33752583030778E-2</v>
      </c>
    </row>
    <row r="51" spans="1:20">
      <c r="A51" s="146">
        <v>620</v>
      </c>
      <c r="B51" s="256">
        <v>0.92699444845237799</v>
      </c>
      <c r="C51" s="147">
        <f>Calculator!C57</f>
        <v>6.0314632915569035</v>
      </c>
      <c r="D51" s="148"/>
      <c r="E51" s="148"/>
      <c r="F51" s="219" t="s">
        <v>314</v>
      </c>
      <c r="G51" s="212" t="s">
        <v>315</v>
      </c>
      <c r="H51" s="212" t="s">
        <v>316</v>
      </c>
      <c r="I51" s="212" t="s">
        <v>317</v>
      </c>
      <c r="J51" s="212" t="s">
        <v>318</v>
      </c>
      <c r="K51" s="212" t="s">
        <v>319</v>
      </c>
      <c r="L51" s="212" t="s">
        <v>320</v>
      </c>
      <c r="M51" s="212" t="s">
        <v>321</v>
      </c>
      <c r="N51" s="212" t="s">
        <v>322</v>
      </c>
      <c r="O51" s="220" t="s">
        <v>323</v>
      </c>
      <c r="Q51" s="165">
        <v>428</v>
      </c>
      <c r="R51" s="166">
        <v>4.1554043509233404E-3</v>
      </c>
      <c r="S51" s="165">
        <v>620</v>
      </c>
      <c r="T51" s="167">
        <f t="shared" ca="1" si="0"/>
        <v>1.2903416822997296E-2</v>
      </c>
    </row>
    <row r="52" spans="1:20">
      <c r="A52" s="146">
        <v>625</v>
      </c>
      <c r="B52" s="256">
        <v>0.88815042302655034</v>
      </c>
      <c r="C52" s="147">
        <f>Calculator!C58</f>
        <v>6.1309326563582918</v>
      </c>
      <c r="D52" s="148"/>
      <c r="E52" s="148"/>
      <c r="F52" s="222">
        <f>Calculator!CR34</f>
        <v>88.598485160882419</v>
      </c>
      <c r="G52" s="223">
        <f>Calculator!CS34</f>
        <v>76.223499616144309</v>
      </c>
      <c r="H52" s="223">
        <f>Calculator!CT34</f>
        <v>68.466291626858805</v>
      </c>
      <c r="I52" s="223">
        <f>Calculator!CU34</f>
        <v>80.054233184197983</v>
      </c>
      <c r="J52" s="223">
        <f>Calculator!CV34</f>
        <v>65.298518981353666</v>
      </c>
      <c r="K52" s="223">
        <f>Calculator!CW34</f>
        <v>74.930019829684767</v>
      </c>
      <c r="L52" s="223">
        <f>Calculator!CX34</f>
        <v>83.889782366096966</v>
      </c>
      <c r="M52" s="223">
        <f>Calculator!CY34</f>
        <v>88.582259668230677</v>
      </c>
      <c r="N52" s="223">
        <f>Calculator!CZ34</f>
        <v>84.241387307553438</v>
      </c>
      <c r="O52" s="224">
        <f>Calculator!DA34</f>
        <v>77.406568926266701</v>
      </c>
      <c r="Q52" s="165">
        <v>429</v>
      </c>
      <c r="R52" s="166">
        <v>3.9485546818062997E-3</v>
      </c>
      <c r="S52" s="165">
        <v>625</v>
      </c>
      <c r="T52" s="167">
        <f t="shared" ca="1" si="0"/>
        <v>1.2302460608362389E-2</v>
      </c>
    </row>
    <row r="53" spans="1:20">
      <c r="A53" s="146">
        <v>630</v>
      </c>
      <c r="B53" s="256">
        <v>0.84397584865890107</v>
      </c>
      <c r="C53" s="147">
        <f>Calculator!C59</f>
        <v>6.2284646327691586</v>
      </c>
      <c r="D53" s="148"/>
      <c r="E53" s="148"/>
      <c r="F53" s="148"/>
      <c r="Q53" s="165">
        <v>430</v>
      </c>
      <c r="R53" s="166">
        <v>3.7147326919732401E-3</v>
      </c>
      <c r="S53" s="165">
        <v>630</v>
      </c>
      <c r="T53" s="167">
        <f t="shared" ca="1" si="0"/>
        <v>1.1605420591333099E-2</v>
      </c>
    </row>
    <row r="54" spans="1:20">
      <c r="A54" s="146">
        <v>635</v>
      </c>
      <c r="B54" s="256">
        <v>0.79876622891989113</v>
      </c>
      <c r="C54" s="147">
        <f>Calculator!C60</f>
        <v>6.3240176933330536</v>
      </c>
      <c r="D54" s="148"/>
      <c r="E54" s="148"/>
      <c r="F54" s="148"/>
      <c r="Q54" s="165">
        <v>431</v>
      </c>
      <c r="R54" s="166">
        <v>3.50547577417322E-3</v>
      </c>
      <c r="S54" s="165">
        <v>635</v>
      </c>
      <c r="T54" s="167">
        <f t="shared" ca="1" si="0"/>
        <v>1.0862579840125605E-2</v>
      </c>
    </row>
    <row r="55" spans="1:20">
      <c r="A55" s="146">
        <v>640</v>
      </c>
      <c r="B55" s="256">
        <v>0.75022952971835399</v>
      </c>
      <c r="C55" s="147">
        <f>Calculator!C61</f>
        <v>6.4175542286035236</v>
      </c>
      <c r="D55" s="148"/>
      <c r="E55" s="148"/>
      <c r="F55" s="148"/>
      <c r="Q55" s="165">
        <v>432</v>
      </c>
      <c r="R55" s="166">
        <v>3.3590868499582798E-3</v>
      </c>
      <c r="S55" s="165">
        <v>640</v>
      </c>
      <c r="T55" s="167">
        <f t="shared" ca="1" si="0"/>
        <v>1.0044356279138703E-2</v>
      </c>
    </row>
    <row r="56" spans="1:20">
      <c r="A56" s="146">
        <v>645</v>
      </c>
      <c r="B56" s="256">
        <v>0.69795008845549134</v>
      </c>
      <c r="C56" s="147">
        <f>Calculator!C62</f>
        <v>6.5090404358692204</v>
      </c>
      <c r="D56" s="148"/>
      <c r="E56" s="148"/>
      <c r="F56" s="148"/>
      <c r="Q56" s="165">
        <v>433</v>
      </c>
      <c r="R56" s="166">
        <v>3.1874155463492999E-3</v>
      </c>
      <c r="S56" s="165">
        <v>645</v>
      </c>
      <c r="T56" s="167">
        <f t="shared" ca="1" si="0"/>
        <v>9.2831564360812413E-3</v>
      </c>
    </row>
    <row r="57" spans="1:20">
      <c r="A57" s="146">
        <v>650</v>
      </c>
      <c r="B57" s="256">
        <v>0.64430444475501958</v>
      </c>
      <c r="C57" s="147">
        <f>Calculator!C63</f>
        <v>6.5984462044166099</v>
      </c>
      <c r="D57" s="148"/>
      <c r="E57" s="148"/>
      <c r="F57" s="148"/>
      <c r="Q57" s="165">
        <v>434</v>
      </c>
      <c r="R57" s="166">
        <v>3.0588971129178999E-3</v>
      </c>
      <c r="S57" s="165">
        <v>650</v>
      </c>
      <c r="T57" s="167">
        <f t="shared" ca="1" si="0"/>
        <v>8.4872033638581507E-3</v>
      </c>
    </row>
    <row r="58" spans="1:20">
      <c r="A58" s="146">
        <v>655</v>
      </c>
      <c r="B58" s="256">
        <v>0.59120222539010536</v>
      </c>
      <c r="C58" s="147">
        <f>Calculator!C64</f>
        <v>6.6857449980050321</v>
      </c>
      <c r="D58" s="148"/>
      <c r="E58" s="148"/>
      <c r="F58" s="148"/>
      <c r="Q58" s="165">
        <v>435</v>
      </c>
      <c r="R58" s="166">
        <v>2.9624345608426799E-3</v>
      </c>
      <c r="S58" s="165">
        <v>655</v>
      </c>
      <c r="T58" s="167">
        <f t="shared" ca="1" si="0"/>
        <v>7.7501760888327165E-3</v>
      </c>
    </row>
    <row r="59" spans="1:20">
      <c r="A59" s="146">
        <v>660</v>
      </c>
      <c r="B59" s="256">
        <v>0.53890700305334471</v>
      </c>
      <c r="C59" s="147">
        <f>Calculator!C65</f>
        <v>6.7709137351799749</v>
      </c>
      <c r="D59" s="148"/>
      <c r="E59" s="148"/>
      <c r="F59" s="148"/>
      <c r="Q59" s="165">
        <v>436</v>
      </c>
      <c r="R59" s="166">
        <v>2.88076003448858E-3</v>
      </c>
      <c r="S59" s="165">
        <v>660</v>
      </c>
      <c r="T59" s="167">
        <f t="shared" ca="1" si="0"/>
        <v>7.0102658246127131E-3</v>
      </c>
    </row>
    <row r="60" spans="1:20">
      <c r="A60" s="146">
        <v>665</v>
      </c>
      <c r="B60" s="256">
        <v>0.48809961746466224</v>
      </c>
      <c r="C60" s="147">
        <f>Calculator!C66</f>
        <v>6.8539326680038819</v>
      </c>
      <c r="D60" s="148"/>
      <c r="E60" s="148"/>
      <c r="F60" s="148"/>
      <c r="Q60" s="165">
        <v>437</v>
      </c>
      <c r="R60" s="166">
        <v>2.85611566287409E-3</v>
      </c>
      <c r="S60" s="165">
        <v>665</v>
      </c>
      <c r="T60" s="167">
        <f t="shared" ca="1" si="0"/>
        <v>6.344628057936591E-3</v>
      </c>
    </row>
    <row r="61" spans="1:20">
      <c r="A61" s="146">
        <v>670</v>
      </c>
      <c r="B61" s="256">
        <v>0.43955338944139394</v>
      </c>
      <c r="C61" s="147">
        <f>Calculator!C67</f>
        <v>6.9347852597381578</v>
      </c>
      <c r="D61" s="148"/>
      <c r="E61" s="148"/>
      <c r="Q61" s="165">
        <v>438</v>
      </c>
      <c r="R61" s="166">
        <v>2.8005730977282602E-3</v>
      </c>
      <c r="S61" s="165">
        <v>670</v>
      </c>
      <c r="T61" s="167">
        <f t="shared" ca="1" si="0"/>
        <v>5.6854588381464732E-3</v>
      </c>
    </row>
    <row r="62" spans="1:20">
      <c r="A62" s="146">
        <v>675</v>
      </c>
      <c r="B62" s="256">
        <v>0.39455958877441283</v>
      </c>
      <c r="C62" s="147">
        <f>Calculator!C68</f>
        <v>7.0134580619672118</v>
      </c>
      <c r="D62" s="148"/>
      <c r="E62" s="148"/>
      <c r="Q62" s="165">
        <v>439</v>
      </c>
      <c r="R62" s="166">
        <v>2.8139053723692199E-3</v>
      </c>
      <c r="S62" s="165">
        <v>675</v>
      </c>
      <c r="T62" s="167">
        <f t="shared" ca="1" si="0"/>
        <v>5.0549520972781314E-3</v>
      </c>
    </row>
    <row r="63" spans="1:20">
      <c r="A63" s="146">
        <v>680</v>
      </c>
      <c r="B63" s="256">
        <v>0.35355494083059075</v>
      </c>
      <c r="C63" s="147">
        <f>Calculator!C69</f>
        <v>7.0899405916133738</v>
      </c>
      <c r="D63" s="148"/>
      <c r="E63" s="148"/>
      <c r="Q63" s="165">
        <v>440</v>
      </c>
      <c r="R63" s="166">
        <v>2.8057124878535901E-3</v>
      </c>
      <c r="S63" s="165">
        <v>680</v>
      </c>
      <c r="T63" s="167">
        <f t="shared" ca="1" si="0"/>
        <v>4.4922856826055402E-3</v>
      </c>
    </row>
    <row r="64" spans="1:20">
      <c r="A64" s="146">
        <v>685</v>
      </c>
      <c r="B64" s="256">
        <v>0.3160976865072892</v>
      </c>
      <c r="C64" s="147">
        <f>Calculator!C70</f>
        <v>7.1642252082523044</v>
      </c>
      <c r="D64" s="148"/>
      <c r="E64" s="148"/>
      <c r="Q64" s="165">
        <v>441</v>
      </c>
      <c r="R64" s="166">
        <v>2.8381448986591201E-3</v>
      </c>
      <c r="S64" s="165">
        <v>685</v>
      </c>
      <c r="T64" s="167">
        <f t="shared" ca="1" si="0"/>
        <v>3.9699136191954504E-3</v>
      </c>
    </row>
    <row r="65" spans="1:20">
      <c r="A65" s="146">
        <v>690</v>
      </c>
      <c r="B65" s="256">
        <v>0.28147275035464647</v>
      </c>
      <c r="C65" s="147">
        <f>Calculator!C71</f>
        <v>7.236306992100924</v>
      </c>
      <c r="D65" s="148"/>
      <c r="E65" s="162">
        <v>0</v>
      </c>
      <c r="Q65" s="165">
        <v>442</v>
      </c>
      <c r="R65" s="166">
        <v>2.8691751366890302E-3</v>
      </c>
      <c r="S65" s="165">
        <v>690</v>
      </c>
      <c r="T65" s="167">
        <f t="shared" ca="1" si="0"/>
        <v>3.5221647879074419E-3</v>
      </c>
    </row>
    <row r="66" spans="1:20">
      <c r="A66" s="146">
        <v>695</v>
      </c>
      <c r="B66" s="256">
        <v>0.24915246915584274</v>
      </c>
      <c r="C66" s="147">
        <f>Calculator!C72</f>
        <v>7.3061836230137862</v>
      </c>
      <c r="D66" s="148"/>
      <c r="E66" s="162">
        <v>100</v>
      </c>
      <c r="Q66" s="165">
        <v>443</v>
      </c>
      <c r="R66" s="166">
        <v>2.9290925550739702E-3</v>
      </c>
      <c r="S66" s="165">
        <v>695</v>
      </c>
      <c r="T66" s="167">
        <f t="shared" ca="1" si="0"/>
        <v>3.0912740691339882E-3</v>
      </c>
    </row>
    <row r="67" spans="1:20">
      <c r="A67" s="146">
        <v>700</v>
      </c>
      <c r="B67" s="256">
        <v>0.21988352041926046</v>
      </c>
      <c r="C67" s="147">
        <f>Calculator!C73</f>
        <v>7.3738552607909122</v>
      </c>
      <c r="D67" s="148"/>
      <c r="E67" s="162">
        <v>0</v>
      </c>
      <c r="Q67" s="165">
        <v>444</v>
      </c>
      <c r="R67" s="166">
        <v>2.9892101658884102E-3</v>
      </c>
      <c r="S67" s="165">
        <v>700</v>
      </c>
      <c r="T67" s="167">
        <f t="shared" ca="1" si="0"/>
        <v>2.7182385016267588E-3</v>
      </c>
    </row>
    <row r="68" spans="1:20">
      <c r="A68" s="146">
        <v>705</v>
      </c>
      <c r="B68" s="256">
        <v>0.19391260113546968</v>
      </c>
      <c r="C68" s="147">
        <f>Calculator!C74</f>
        <v>7.4393244270673868</v>
      </c>
      <c r="D68" s="148"/>
      <c r="E68" s="148"/>
      <c r="Q68" s="165">
        <v>445</v>
      </c>
      <c r="R68" s="166">
        <v>3.0171411222076898E-3</v>
      </c>
      <c r="S68" s="165">
        <v>705</v>
      </c>
      <c r="T68" s="167">
        <f t="shared" ref="T68:T83" ca="1" si="1">TREND(OFFSET(R$3:R$453,MATCH(S68,Q$3:Q$453),0,-2),OFFSET(Q$3:Q$453,MATCH(S68,Q$3:Q$453),0,-2),S68)</f>
        <v>2.3692224170342585E-3</v>
      </c>
    </row>
    <row r="69" spans="1:20">
      <c r="A69" s="146">
        <v>710</v>
      </c>
      <c r="B69" s="256">
        <v>0.17056639462260265</v>
      </c>
      <c r="C69" s="147">
        <f>Calculator!C75</f>
        <v>7.502595889026006</v>
      </c>
      <c r="D69" s="148"/>
      <c r="E69" s="148"/>
      <c r="Q69" s="165">
        <v>446</v>
      </c>
      <c r="R69" s="166">
        <v>3.0737433423033401E-3</v>
      </c>
      <c r="S69" s="165">
        <v>710</v>
      </c>
      <c r="T69" s="167">
        <f t="shared" ca="1" si="1"/>
        <v>2.0848494228192099E-3</v>
      </c>
    </row>
    <row r="70" spans="1:20">
      <c r="A70" s="146">
        <v>715</v>
      </c>
      <c r="B70" s="256">
        <v>0.14960130184506393</v>
      </c>
      <c r="C70" s="147">
        <f>Calculator!C76</f>
        <v>7.56367654514567</v>
      </c>
      <c r="D70" s="148"/>
      <c r="E70" s="148"/>
      <c r="Q70" s="165">
        <v>447</v>
      </c>
      <c r="R70" s="166">
        <v>3.13948257101907E-3</v>
      </c>
      <c r="S70" s="165">
        <v>715</v>
      </c>
      <c r="T70" s="167">
        <f t="shared" ca="1" si="1"/>
        <v>1.8197883261768799E-3</v>
      </c>
    </row>
    <row r="71" spans="1:20">
      <c r="A71" s="146">
        <v>720</v>
      </c>
      <c r="B71" s="256">
        <v>0.13101116362871243</v>
      </c>
      <c r="C71" s="147">
        <f>Calculator!C77</f>
        <v>7.6225753131721961</v>
      </c>
      <c r="D71" s="148"/>
      <c r="E71" s="148"/>
      <c r="Q71" s="165">
        <v>448</v>
      </c>
      <c r="R71" s="166">
        <v>3.2094669539334199E-3</v>
      </c>
      <c r="S71" s="165">
        <v>720</v>
      </c>
      <c r="T71" s="167">
        <f t="shared" ca="1" si="1"/>
        <v>1.5874374934729263E-3</v>
      </c>
    </row>
    <row r="72" spans="1:20">
      <c r="A72" s="146">
        <v>725</v>
      </c>
      <c r="B72" s="256">
        <v>0.1145449569610595</v>
      </c>
      <c r="C72" s="147">
        <f>Calculator!C78</f>
        <v>7.6793030204736477</v>
      </c>
      <c r="D72" s="148"/>
      <c r="E72" s="148"/>
      <c r="Q72" s="165">
        <v>449</v>
      </c>
      <c r="R72" s="166">
        <v>3.2476710476528402E-3</v>
      </c>
      <c r="S72" s="165">
        <v>725</v>
      </c>
      <c r="T72" s="167">
        <f t="shared" ca="1" si="1"/>
        <v>1.3822522720688332E-3</v>
      </c>
    </row>
    <row r="73" spans="1:20">
      <c r="A73" s="146">
        <v>730</v>
      </c>
      <c r="B73" s="256">
        <v>0.10011508726021938</v>
      </c>
      <c r="C73" s="147">
        <f>Calculator!C79</f>
        <v>7.7338722969197606</v>
      </c>
      <c r="D73" s="148"/>
      <c r="E73" s="148"/>
      <c r="Q73" s="165">
        <v>450</v>
      </c>
      <c r="R73" s="166">
        <v>3.30937294987977E-3</v>
      </c>
      <c r="S73" s="165">
        <v>730</v>
      </c>
      <c r="T73" s="167">
        <f t="shared" ca="1" si="1"/>
        <v>1.2030905284910083E-3</v>
      </c>
    </row>
    <row r="74" spans="1:20">
      <c r="A74" s="146">
        <v>735</v>
      </c>
      <c r="B74" s="256">
        <v>8.7564332574284476E-2</v>
      </c>
      <c r="C74" s="147">
        <f>Calculator!C80</f>
        <v>7.7862974704034071</v>
      </c>
      <c r="D74" s="148"/>
      <c r="E74" s="148"/>
      <c r="Q74" s="165">
        <v>451</v>
      </c>
      <c r="R74" s="166">
        <v>3.3449037198411799E-3</v>
      </c>
      <c r="S74" s="165">
        <v>735</v>
      </c>
      <c r="T74" s="167">
        <f t="shared" ca="1" si="1"/>
        <v>1.0327210198580704E-3</v>
      </c>
    </row>
    <row r="75" spans="1:20">
      <c r="A75" s="146">
        <v>740</v>
      </c>
      <c r="B75" s="256">
        <v>7.678907203765431E-2</v>
      </c>
      <c r="C75" s="147">
        <f>Calculator!C81</f>
        <v>7.8365944651029213</v>
      </c>
      <c r="D75" s="148"/>
      <c r="E75" s="148"/>
      <c r="Q75" s="165">
        <v>452</v>
      </c>
      <c r="R75" s="166">
        <v>3.38976027618095E-3</v>
      </c>
      <c r="S75" s="165">
        <v>740</v>
      </c>
      <c r="T75" s="167">
        <f t="shared" ca="1" si="1"/>
        <v>9.0469958092995184E-4</v>
      </c>
    </row>
    <row r="76" spans="1:20">
      <c r="A76" s="146">
        <v>745</v>
      </c>
      <c r="B76" s="256">
        <v>6.7471844902865868E-2</v>
      </c>
      <c r="C76" s="147">
        <f>Calculator!C82</f>
        <v>7.8847807025657133</v>
      </c>
      <c r="D76" s="148"/>
      <c r="E76" s="148"/>
      <c r="Q76" s="165">
        <v>453</v>
      </c>
      <c r="R76" s="166">
        <v>3.4435110380554401E-3</v>
      </c>
      <c r="S76" s="165">
        <v>745</v>
      </c>
      <c r="T76" s="167">
        <f t="shared" ca="1" si="1"/>
        <v>7.8588587817870689E-4</v>
      </c>
    </row>
    <row r="77" spans="1:20">
      <c r="A77" s="146">
        <v>750</v>
      </c>
      <c r="B77" s="256">
        <v>5.9345554190944054E-2</v>
      </c>
      <c r="C77" s="147">
        <f>Calculator!C83</f>
        <v>7.9308750056768513</v>
      </c>
      <c r="D77" s="148"/>
      <c r="E77" s="148"/>
      <c r="Q77" s="165">
        <v>454</v>
      </c>
      <c r="R77" s="166">
        <v>3.4684121743534099E-3</v>
      </c>
      <c r="S77" s="165">
        <v>750</v>
      </c>
      <c r="T77" s="167">
        <f t="shared" ca="1" si="1"/>
        <v>6.847243711548736E-4</v>
      </c>
    </row>
    <row r="78" spans="1:20">
      <c r="A78" s="146">
        <v>755</v>
      </c>
      <c r="B78" s="256">
        <v>5.2025671007898573E-2</v>
      </c>
      <c r="C78" s="147">
        <f>Calculator!C84</f>
        <v>7.9748975055612972</v>
      </c>
      <c r="D78" s="148"/>
      <c r="E78" s="148"/>
      <c r="Q78" s="165">
        <v>455</v>
      </c>
      <c r="R78" s="166">
        <v>3.5370528206537999E-3</v>
      </c>
      <c r="S78" s="165">
        <v>755</v>
      </c>
      <c r="T78" s="167">
        <f t="shared" ca="1" si="1"/>
        <v>5.9566915913701439E-4</v>
      </c>
    </row>
    <row r="79" spans="1:20">
      <c r="A79" s="146">
        <v>760</v>
      </c>
      <c r="B79" s="256">
        <v>4.5682177177113745E-2</v>
      </c>
      <c r="C79" s="147">
        <f>Calculator!C85</f>
        <v>8.0168695514539596</v>
      </c>
      <c r="D79" s="148"/>
      <c r="E79" s="148"/>
      <c r="Q79" s="165">
        <v>456</v>
      </c>
      <c r="R79" s="166">
        <v>3.5617806133279601E-3</v>
      </c>
      <c r="S79" s="165">
        <v>760</v>
      </c>
      <c r="T79" s="167">
        <f t="shared" ca="1" si="1"/>
        <v>5.2361454725960085E-4</v>
      </c>
    </row>
    <row r="80" spans="1:20">
      <c r="A80" s="146">
        <v>765</v>
      </c>
      <c r="B80" s="256">
        <v>3.9927560758034546E-2</v>
      </c>
      <c r="C80" s="147">
        <f>Calculator!C86</f>
        <v>8.0568136235592736</v>
      </c>
      <c r="D80" s="148"/>
      <c r="E80" s="148"/>
      <c r="Q80" s="165">
        <v>457</v>
      </c>
      <c r="R80" s="166">
        <v>3.5895608695290099E-3</v>
      </c>
      <c r="S80" s="165">
        <v>765</v>
      </c>
      <c r="T80" s="167">
        <f t="shared" ca="1" si="1"/>
        <v>4.611195592421468E-4</v>
      </c>
    </row>
    <row r="81" spans="1:20">
      <c r="A81" s="146">
        <v>770</v>
      </c>
      <c r="B81" s="256">
        <v>3.4924883904470662E-2</v>
      </c>
      <c r="C81" s="147">
        <f>Calculator!C87</f>
        <v>8.0947532489101732</v>
      </c>
      <c r="D81" s="148"/>
      <c r="E81" s="148"/>
      <c r="F81" s="148"/>
      <c r="G81" s="213"/>
      <c r="H81" s="213"/>
      <c r="I81" s="213"/>
      <c r="J81" s="213"/>
      <c r="K81" s="213"/>
      <c r="L81" s="213"/>
      <c r="M81" s="213"/>
      <c r="N81" s="213"/>
      <c r="O81" s="213"/>
      <c r="Q81" s="165">
        <v>458</v>
      </c>
      <c r="R81" s="166">
        <v>3.6040807761602098E-3</v>
      </c>
      <c r="S81" s="165">
        <v>770</v>
      </c>
      <c r="T81" s="167">
        <f t="shared" ca="1" si="1"/>
        <v>4.0453918093917053E-4</v>
      </c>
    </row>
    <row r="82" spans="1:20">
      <c r="A82" s="146">
        <v>775</v>
      </c>
      <c r="B82" s="256">
        <v>3.0611337225072678E-2</v>
      </c>
      <c r="C82" s="147">
        <f>Calculator!C88</f>
        <v>8.1307129202256299</v>
      </c>
      <c r="D82" s="148"/>
      <c r="E82" s="148"/>
      <c r="F82" s="148"/>
      <c r="Q82" s="165">
        <v>459</v>
      </c>
      <c r="R82" s="166">
        <v>3.62863389735476E-3</v>
      </c>
      <c r="S82" s="165">
        <v>775</v>
      </c>
      <c r="T82" s="167">
        <f t="shared" ca="1" si="1"/>
        <v>3.5638203579638206E-4</v>
      </c>
    </row>
    <row r="83" spans="1:20">
      <c r="A83" s="146">
        <v>780</v>
      </c>
      <c r="B83" s="256">
        <v>2.7176764262350855E-2</v>
      </c>
      <c r="C83" s="147">
        <f>Calculator!C89</f>
        <v>8.1647180177564618</v>
      </c>
      <c r="D83" s="148"/>
      <c r="E83" s="148"/>
      <c r="F83" s="148"/>
      <c r="Q83" s="165">
        <v>460</v>
      </c>
      <c r="R83" s="166">
        <v>3.6240394787112299E-3</v>
      </c>
      <c r="S83" s="165">
        <v>780</v>
      </c>
      <c r="T83" s="167">
        <f t="shared" ca="1" si="1"/>
        <v>3.1617575889028582E-4</v>
      </c>
    </row>
    <row r="84" spans="1:20">
      <c r="Q84" s="165">
        <v>461</v>
      </c>
      <c r="R84" s="166">
        <v>3.64468406061092E-3</v>
      </c>
      <c r="S84" s="165"/>
      <c r="T84" s="165"/>
    </row>
    <row r="85" spans="1:20">
      <c r="Q85" s="165">
        <v>462</v>
      </c>
      <c r="R85" s="166">
        <v>3.6789503183700199E-3</v>
      </c>
      <c r="S85" s="165"/>
      <c r="T85" s="165"/>
    </row>
    <row r="86" spans="1:20">
      <c r="Q86" s="165">
        <v>463</v>
      </c>
      <c r="R86" s="166">
        <v>3.6681618205177602E-3</v>
      </c>
      <c r="S86" s="165"/>
      <c r="T86" s="165"/>
    </row>
    <row r="87" spans="1:20">
      <c r="Q87" s="165">
        <v>464</v>
      </c>
      <c r="R87" s="166">
        <v>3.6706691235180401E-3</v>
      </c>
      <c r="S87" s="165"/>
      <c r="T87" s="165"/>
    </row>
    <row r="88" spans="1:20">
      <c r="Q88" s="165">
        <v>465</v>
      </c>
      <c r="R88" s="166">
        <v>3.6702861408028902E-3</v>
      </c>
      <c r="S88" s="165"/>
      <c r="T88" s="165"/>
    </row>
    <row r="89" spans="1:20">
      <c r="Q89" s="165">
        <v>466</v>
      </c>
      <c r="R89" s="166">
        <v>3.6976594065498301E-3</v>
      </c>
      <c r="S89" s="165"/>
      <c r="T89" s="165"/>
    </row>
    <row r="90" spans="1:20">
      <c r="Q90" s="165">
        <v>467</v>
      </c>
      <c r="R90" s="166">
        <v>3.7009011211552598E-3</v>
      </c>
      <c r="S90" s="165"/>
      <c r="T90" s="165"/>
    </row>
    <row r="91" spans="1:20">
      <c r="Q91" s="165">
        <v>468</v>
      </c>
      <c r="R91" s="166">
        <v>3.6925237920998502E-3</v>
      </c>
      <c r="S91" s="165"/>
      <c r="T91" s="165"/>
    </row>
    <row r="92" spans="1:20">
      <c r="Q92" s="165">
        <v>469</v>
      </c>
      <c r="R92" s="166">
        <v>3.6786918799725401E-3</v>
      </c>
      <c r="S92" s="165"/>
      <c r="T92" s="165"/>
    </row>
    <row r="93" spans="1:20">
      <c r="Q93" s="165">
        <v>470</v>
      </c>
      <c r="R93" s="166">
        <v>3.6873999906115698E-3</v>
      </c>
      <c r="S93" s="165"/>
      <c r="T93" s="165"/>
    </row>
    <row r="94" spans="1:20">
      <c r="Q94" s="165">
        <v>471</v>
      </c>
      <c r="R94" s="166">
        <v>3.6723573224764199E-3</v>
      </c>
      <c r="S94" s="165"/>
      <c r="T94" s="165"/>
    </row>
    <row r="95" spans="1:20">
      <c r="Q95" s="165">
        <v>472</v>
      </c>
      <c r="R95" s="166">
        <v>3.6958804808188699E-3</v>
      </c>
      <c r="S95" s="165"/>
      <c r="T95" s="165"/>
    </row>
    <row r="96" spans="1:20">
      <c r="Q96" s="165">
        <v>473</v>
      </c>
      <c r="R96" s="166">
        <v>3.6762651058136401E-3</v>
      </c>
      <c r="S96" s="165"/>
      <c r="T96" s="165"/>
    </row>
    <row r="97" spans="17:20">
      <c r="Q97" s="165">
        <v>474</v>
      </c>
      <c r="R97" s="166">
        <v>3.6824249091089098E-3</v>
      </c>
      <c r="S97" s="165"/>
      <c r="T97" s="165"/>
    </row>
    <row r="98" spans="17:20">
      <c r="Q98" s="165">
        <v>475</v>
      </c>
      <c r="R98" s="166">
        <v>3.7161931318557902E-3</v>
      </c>
      <c r="S98" s="165"/>
      <c r="T98" s="165"/>
    </row>
    <row r="99" spans="17:20">
      <c r="Q99" s="165">
        <v>476</v>
      </c>
      <c r="R99" s="166">
        <v>3.7133242500265199E-3</v>
      </c>
      <c r="S99" s="165"/>
      <c r="T99" s="165"/>
    </row>
    <row r="100" spans="17:20">
      <c r="Q100" s="165">
        <v>477</v>
      </c>
      <c r="R100" s="166">
        <v>3.70800635248817E-3</v>
      </c>
      <c r="S100" s="165"/>
      <c r="T100" s="165"/>
    </row>
    <row r="101" spans="17:20">
      <c r="Q101" s="165">
        <v>478</v>
      </c>
      <c r="R101" s="166">
        <v>3.7104100145969698E-3</v>
      </c>
      <c r="S101" s="165"/>
      <c r="T101" s="165"/>
    </row>
    <row r="102" spans="17:20">
      <c r="Q102" s="165">
        <v>479</v>
      </c>
      <c r="R102" s="166">
        <v>3.7365104938622898E-3</v>
      </c>
      <c r="S102" s="165"/>
      <c r="T102" s="165"/>
    </row>
    <row r="103" spans="17:20">
      <c r="Q103" s="165">
        <v>480</v>
      </c>
      <c r="R103" s="166">
        <v>3.7515886753961402E-3</v>
      </c>
      <c r="S103" s="165"/>
      <c r="T103" s="165"/>
    </row>
    <row r="104" spans="17:20">
      <c r="Q104" s="165">
        <v>481</v>
      </c>
      <c r="R104" s="166">
        <v>3.7849974351002501E-3</v>
      </c>
      <c r="S104" s="165"/>
      <c r="T104" s="165"/>
    </row>
    <row r="105" spans="17:20">
      <c r="Q105" s="165">
        <v>482</v>
      </c>
      <c r="R105" s="166">
        <v>3.79695817491347E-3</v>
      </c>
      <c r="S105" s="165"/>
      <c r="T105" s="165"/>
    </row>
    <row r="106" spans="17:20">
      <c r="Q106" s="165">
        <v>483</v>
      </c>
      <c r="R106" s="166">
        <v>3.8196939642384099E-3</v>
      </c>
      <c r="S106" s="165"/>
      <c r="T106" s="165"/>
    </row>
    <row r="107" spans="17:20">
      <c r="Q107" s="165">
        <v>484</v>
      </c>
      <c r="R107" s="166">
        <v>3.8476282487016401E-3</v>
      </c>
      <c r="S107" s="165"/>
      <c r="T107" s="165"/>
    </row>
    <row r="108" spans="17:20">
      <c r="Q108" s="165">
        <v>485</v>
      </c>
      <c r="R108" s="166">
        <v>3.8948901104852102E-3</v>
      </c>
      <c r="S108" s="165"/>
      <c r="T108" s="165"/>
    </row>
    <row r="109" spans="17:20">
      <c r="Q109" s="165">
        <v>486</v>
      </c>
      <c r="R109" s="166">
        <v>3.9276665701301096E-3</v>
      </c>
      <c r="S109" s="165"/>
      <c r="T109" s="165"/>
    </row>
    <row r="110" spans="17:20">
      <c r="Q110" s="165">
        <v>487</v>
      </c>
      <c r="R110" s="166">
        <v>3.9751370844515301E-3</v>
      </c>
      <c r="S110" s="165"/>
      <c r="T110" s="165"/>
    </row>
    <row r="111" spans="17:20">
      <c r="Q111" s="165">
        <v>488</v>
      </c>
      <c r="R111" s="166">
        <v>4.0033881662985401E-3</v>
      </c>
      <c r="S111" s="165"/>
      <c r="T111" s="165"/>
    </row>
    <row r="112" spans="17:20">
      <c r="Q112" s="165">
        <v>489</v>
      </c>
      <c r="R112" s="166">
        <v>4.0595510663730102E-3</v>
      </c>
      <c r="S112" s="165"/>
      <c r="T112" s="165"/>
    </row>
    <row r="113" spans="17:20">
      <c r="Q113" s="165">
        <v>490</v>
      </c>
      <c r="R113" s="166">
        <v>4.0936724053564997E-3</v>
      </c>
      <c r="S113" s="165"/>
      <c r="T113" s="165"/>
    </row>
    <row r="114" spans="17:20">
      <c r="Q114" s="165">
        <v>491</v>
      </c>
      <c r="R114" s="166">
        <v>4.1366411424991001E-3</v>
      </c>
      <c r="S114" s="165"/>
      <c r="T114" s="165"/>
    </row>
    <row r="115" spans="17:20">
      <c r="Q115" s="165">
        <v>492</v>
      </c>
      <c r="R115" s="166">
        <v>4.1983564691474001E-3</v>
      </c>
      <c r="S115" s="165"/>
      <c r="T115" s="165"/>
    </row>
    <row r="116" spans="17:20">
      <c r="Q116" s="165">
        <v>493</v>
      </c>
      <c r="R116" s="166">
        <v>4.2581842109272704E-3</v>
      </c>
      <c r="S116" s="165"/>
      <c r="T116" s="165"/>
    </row>
    <row r="117" spans="17:20">
      <c r="Q117" s="165">
        <v>494</v>
      </c>
      <c r="R117" s="166">
        <v>4.3324594467367096E-3</v>
      </c>
      <c r="S117" s="165"/>
      <c r="T117" s="165"/>
    </row>
    <row r="118" spans="17:20">
      <c r="Q118" s="165">
        <v>495</v>
      </c>
      <c r="R118" s="166">
        <v>4.3775095920316103E-3</v>
      </c>
      <c r="S118" s="165"/>
      <c r="T118" s="165"/>
    </row>
    <row r="119" spans="17:20">
      <c r="Q119" s="165">
        <v>496</v>
      </c>
      <c r="R119" s="166">
        <v>4.4586380883167897E-3</v>
      </c>
      <c r="S119" s="165"/>
      <c r="T119" s="165"/>
    </row>
    <row r="120" spans="17:20">
      <c r="Q120" s="165">
        <v>497</v>
      </c>
      <c r="R120" s="166">
        <v>4.54766604663081E-3</v>
      </c>
      <c r="S120" s="165"/>
      <c r="T120" s="165"/>
    </row>
    <row r="121" spans="17:20">
      <c r="Q121" s="165">
        <v>498</v>
      </c>
      <c r="R121" s="166">
        <v>4.5862846949922603E-3</v>
      </c>
      <c r="S121" s="165"/>
      <c r="T121" s="165"/>
    </row>
    <row r="122" spans="17:20">
      <c r="Q122" s="165">
        <v>499</v>
      </c>
      <c r="R122" s="166">
        <v>4.6722885170271296E-3</v>
      </c>
      <c r="S122" s="165"/>
      <c r="T122" s="165"/>
    </row>
    <row r="123" spans="17:20">
      <c r="Q123" s="165">
        <v>500</v>
      </c>
      <c r="R123" s="166">
        <v>4.7562013213401904E-3</v>
      </c>
      <c r="S123" s="165"/>
      <c r="T123" s="165"/>
    </row>
    <row r="124" spans="17:20">
      <c r="Q124" s="165">
        <v>501</v>
      </c>
      <c r="R124" s="166">
        <v>4.8327609760141204E-3</v>
      </c>
      <c r="S124" s="165"/>
      <c r="T124" s="165"/>
    </row>
    <row r="125" spans="17:20">
      <c r="Q125" s="165">
        <v>502</v>
      </c>
      <c r="R125" s="166">
        <v>4.9042527564673701E-3</v>
      </c>
      <c r="S125" s="165"/>
      <c r="T125" s="165"/>
    </row>
    <row r="126" spans="17:20">
      <c r="Q126" s="165">
        <v>503</v>
      </c>
      <c r="R126" s="166">
        <v>4.9820907214046702E-3</v>
      </c>
      <c r="S126" s="165"/>
      <c r="T126" s="165"/>
    </row>
    <row r="127" spans="17:20">
      <c r="Q127" s="165">
        <v>504</v>
      </c>
      <c r="R127" s="166">
        <v>5.0751143498949198E-3</v>
      </c>
      <c r="S127" s="165"/>
      <c r="T127" s="165"/>
    </row>
    <row r="128" spans="17:20">
      <c r="Q128" s="165">
        <v>505</v>
      </c>
      <c r="R128" s="166">
        <v>5.1694197259772399E-3</v>
      </c>
      <c r="S128" s="165"/>
      <c r="T128" s="165"/>
    </row>
    <row r="129" spans="17:20">
      <c r="Q129" s="165">
        <v>506</v>
      </c>
      <c r="R129" s="166">
        <v>5.2338379991064598E-3</v>
      </c>
      <c r="S129" s="165"/>
      <c r="T129" s="165"/>
    </row>
    <row r="130" spans="17:20">
      <c r="Q130" s="165">
        <v>507</v>
      </c>
      <c r="R130" s="166">
        <v>5.3224658714632802E-3</v>
      </c>
      <c r="S130" s="165"/>
      <c r="T130" s="165"/>
    </row>
    <row r="131" spans="17:20">
      <c r="Q131" s="165">
        <v>508</v>
      </c>
      <c r="R131" s="166">
        <v>5.4038915674941299E-3</v>
      </c>
      <c r="S131" s="165"/>
      <c r="T131" s="165"/>
    </row>
    <row r="132" spans="17:20">
      <c r="Q132" s="165">
        <v>509</v>
      </c>
      <c r="R132" s="166">
        <v>5.4807577940726802E-3</v>
      </c>
      <c r="S132" s="165"/>
      <c r="T132" s="165"/>
    </row>
    <row r="133" spans="17:20">
      <c r="Q133" s="165">
        <v>510</v>
      </c>
      <c r="R133" s="166">
        <v>5.5452279929176498E-3</v>
      </c>
      <c r="S133" s="165"/>
      <c r="T133" s="165"/>
    </row>
    <row r="134" spans="17:20">
      <c r="Q134" s="165">
        <v>511</v>
      </c>
      <c r="R134" s="166">
        <v>5.6391385130766499E-3</v>
      </c>
      <c r="S134" s="165"/>
      <c r="T134" s="165"/>
    </row>
    <row r="135" spans="17:20">
      <c r="Q135" s="165">
        <v>512</v>
      </c>
      <c r="R135" s="166">
        <v>5.7188382631496197E-3</v>
      </c>
      <c r="S135" s="165"/>
      <c r="T135" s="165"/>
    </row>
    <row r="136" spans="17:20">
      <c r="Q136" s="165">
        <v>513</v>
      </c>
      <c r="R136" s="166">
        <v>5.8038823041441801E-3</v>
      </c>
      <c r="S136" s="165"/>
      <c r="T136" s="165"/>
    </row>
    <row r="137" spans="17:20">
      <c r="Q137" s="165">
        <v>514</v>
      </c>
      <c r="R137" s="166">
        <v>5.8703357396626098E-3</v>
      </c>
      <c r="S137" s="165"/>
      <c r="T137" s="165"/>
    </row>
    <row r="138" spans="17:20">
      <c r="Q138" s="165">
        <v>515</v>
      </c>
      <c r="R138" s="166">
        <v>5.9395591744678599E-3</v>
      </c>
      <c r="S138" s="165"/>
      <c r="T138" s="165"/>
    </row>
    <row r="139" spans="17:20">
      <c r="Q139" s="165">
        <v>516</v>
      </c>
      <c r="R139" s="166">
        <v>6.0173463463997498E-3</v>
      </c>
      <c r="S139" s="165"/>
      <c r="T139" s="165"/>
    </row>
    <row r="140" spans="17:20">
      <c r="Q140" s="165">
        <v>517</v>
      </c>
      <c r="R140" s="166">
        <v>6.1091667579711599E-3</v>
      </c>
      <c r="S140" s="165"/>
      <c r="T140" s="165"/>
    </row>
    <row r="141" spans="17:20">
      <c r="Q141" s="165">
        <v>518</v>
      </c>
      <c r="R141" s="166">
        <v>6.1644863244931201E-3</v>
      </c>
      <c r="S141" s="165"/>
      <c r="T141" s="165"/>
    </row>
    <row r="142" spans="17:20">
      <c r="Q142" s="165">
        <v>519</v>
      </c>
      <c r="R142" s="166">
        <v>6.2343662628316599E-3</v>
      </c>
      <c r="S142" s="165"/>
      <c r="T142" s="165"/>
    </row>
    <row r="143" spans="17:20">
      <c r="Q143" s="165">
        <v>520</v>
      </c>
      <c r="R143" s="166">
        <v>6.3140555204251299E-3</v>
      </c>
      <c r="S143" s="165"/>
      <c r="T143" s="165"/>
    </row>
    <row r="144" spans="17:20">
      <c r="Q144" s="165">
        <v>521</v>
      </c>
      <c r="R144" s="166">
        <v>6.3671765721337904E-3</v>
      </c>
      <c r="S144" s="165"/>
      <c r="T144" s="165"/>
    </row>
    <row r="145" spans="17:20">
      <c r="Q145" s="165">
        <v>522</v>
      </c>
      <c r="R145" s="166">
        <v>6.4519169337535903E-3</v>
      </c>
      <c r="S145" s="165"/>
      <c r="T145" s="165"/>
    </row>
    <row r="146" spans="17:20">
      <c r="Q146" s="165">
        <v>523</v>
      </c>
      <c r="R146" s="166">
        <v>6.5112279256229503E-3</v>
      </c>
      <c r="S146" s="165"/>
      <c r="T146" s="165"/>
    </row>
    <row r="147" spans="17:20">
      <c r="Q147" s="165">
        <v>524</v>
      </c>
      <c r="R147" s="166">
        <v>6.5706300577900402E-3</v>
      </c>
      <c r="S147" s="165"/>
      <c r="T147" s="165"/>
    </row>
    <row r="148" spans="17:20">
      <c r="Q148" s="165">
        <v>525</v>
      </c>
      <c r="R148" s="166">
        <v>6.6548290405670299E-3</v>
      </c>
      <c r="S148" s="165"/>
      <c r="T148" s="165"/>
    </row>
    <row r="149" spans="17:20">
      <c r="Q149" s="165">
        <v>526</v>
      </c>
      <c r="R149" s="166">
        <v>6.7455923657221504E-3</v>
      </c>
      <c r="S149" s="165"/>
      <c r="T149" s="165"/>
    </row>
    <row r="150" spans="17:20">
      <c r="Q150" s="165">
        <v>527</v>
      </c>
      <c r="R150" s="166">
        <v>6.7988646240503998E-3</v>
      </c>
      <c r="S150" s="165"/>
      <c r="T150" s="165"/>
    </row>
    <row r="151" spans="17:20">
      <c r="Q151" s="165">
        <v>528</v>
      </c>
      <c r="R151" s="166">
        <v>6.8771357214247502E-3</v>
      </c>
      <c r="S151" s="165"/>
      <c r="T151" s="165"/>
    </row>
    <row r="152" spans="17:20">
      <c r="Q152" s="165">
        <v>529</v>
      </c>
      <c r="R152" s="166">
        <v>6.9028331275145498E-3</v>
      </c>
      <c r="S152" s="165"/>
      <c r="T152" s="165"/>
    </row>
    <row r="153" spans="17:20">
      <c r="Q153" s="165">
        <v>530</v>
      </c>
      <c r="R153" s="166">
        <v>6.9954190799848001E-3</v>
      </c>
      <c r="S153" s="165"/>
      <c r="T153" s="165"/>
    </row>
    <row r="154" spans="17:20">
      <c r="Q154" s="165">
        <v>531</v>
      </c>
      <c r="R154" s="166">
        <v>7.1073980875300397E-3</v>
      </c>
      <c r="S154" s="165"/>
      <c r="T154" s="165"/>
    </row>
    <row r="155" spans="17:20">
      <c r="Q155" s="165">
        <v>532</v>
      </c>
      <c r="R155" s="166">
        <v>7.1166082842837397E-3</v>
      </c>
      <c r="S155" s="165"/>
      <c r="T155" s="165"/>
    </row>
    <row r="156" spans="17:20">
      <c r="Q156" s="165">
        <v>533</v>
      </c>
      <c r="R156" s="166">
        <v>7.1789639923109799E-3</v>
      </c>
      <c r="S156" s="165"/>
      <c r="T156" s="165"/>
    </row>
    <row r="157" spans="17:20">
      <c r="Q157" s="165">
        <v>534</v>
      </c>
      <c r="R157" s="166">
        <v>7.2560316800258304E-3</v>
      </c>
      <c r="S157" s="165"/>
      <c r="T157" s="165"/>
    </row>
    <row r="158" spans="17:20">
      <c r="Q158" s="165">
        <v>535</v>
      </c>
      <c r="R158" s="166">
        <v>7.31743121925471E-3</v>
      </c>
      <c r="S158" s="165"/>
      <c r="T158" s="165"/>
    </row>
    <row r="159" spans="17:20">
      <c r="Q159" s="165">
        <v>536</v>
      </c>
      <c r="R159" s="166">
        <v>7.3700982929643397E-3</v>
      </c>
      <c r="S159" s="165"/>
      <c r="T159" s="165"/>
    </row>
    <row r="160" spans="17:20">
      <c r="Q160" s="165">
        <v>537</v>
      </c>
      <c r="R160" s="166">
        <v>7.4429680441171998E-3</v>
      </c>
      <c r="S160" s="165"/>
      <c r="T160" s="165"/>
    </row>
    <row r="161" spans="17:20">
      <c r="Q161" s="165">
        <v>538</v>
      </c>
      <c r="R161" s="166">
        <v>7.5022435276592197E-3</v>
      </c>
      <c r="S161" s="165"/>
      <c r="T161" s="165"/>
    </row>
    <row r="162" spans="17:20">
      <c r="Q162" s="165">
        <v>539</v>
      </c>
      <c r="R162" s="166">
        <v>7.5980712036145702E-3</v>
      </c>
      <c r="S162" s="165"/>
      <c r="T162" s="165"/>
    </row>
    <row r="163" spans="17:20">
      <c r="Q163" s="165">
        <v>540</v>
      </c>
      <c r="R163" s="166">
        <v>7.6958183605694399E-3</v>
      </c>
      <c r="S163" s="165"/>
      <c r="T163" s="165"/>
    </row>
    <row r="164" spans="17:20">
      <c r="Q164" s="165">
        <v>541</v>
      </c>
      <c r="R164" s="166">
        <v>7.7744210854047901E-3</v>
      </c>
      <c r="S164" s="165"/>
      <c r="T164" s="165"/>
    </row>
    <row r="165" spans="17:20">
      <c r="Q165" s="165">
        <v>542</v>
      </c>
      <c r="R165" s="166">
        <v>7.8180602977105801E-3</v>
      </c>
      <c r="S165" s="165"/>
      <c r="T165" s="165"/>
    </row>
    <row r="166" spans="17:20">
      <c r="Q166" s="165">
        <v>543</v>
      </c>
      <c r="R166" s="166">
        <v>7.9296943269169598E-3</v>
      </c>
      <c r="S166" s="165"/>
      <c r="T166" s="165"/>
    </row>
    <row r="167" spans="17:20">
      <c r="Q167" s="165">
        <v>544</v>
      </c>
      <c r="R167" s="166">
        <v>7.9909395481660601E-3</v>
      </c>
      <c r="S167" s="165"/>
      <c r="T167" s="165"/>
    </row>
    <row r="168" spans="17:20">
      <c r="Q168" s="165">
        <v>545</v>
      </c>
      <c r="R168" s="166">
        <v>8.0712078142960806E-3</v>
      </c>
      <c r="S168" s="165"/>
      <c r="T168" s="165"/>
    </row>
    <row r="169" spans="17:20">
      <c r="Q169" s="165">
        <v>546</v>
      </c>
      <c r="R169" s="166">
        <v>8.1744525133005692E-3</v>
      </c>
      <c r="S169" s="165"/>
      <c r="T169" s="165"/>
    </row>
    <row r="170" spans="17:20">
      <c r="Q170" s="165">
        <v>547</v>
      </c>
      <c r="R170" s="166">
        <v>8.2699914111250394E-3</v>
      </c>
      <c r="S170" s="165"/>
      <c r="T170" s="165"/>
    </row>
    <row r="171" spans="17:20">
      <c r="Q171" s="165">
        <v>548</v>
      </c>
      <c r="R171" s="166">
        <v>8.3738806072331997E-3</v>
      </c>
      <c r="S171" s="165"/>
      <c r="T171" s="165"/>
    </row>
    <row r="172" spans="17:20">
      <c r="Q172" s="165">
        <v>549</v>
      </c>
      <c r="R172" s="166">
        <v>8.4550692510003897E-3</v>
      </c>
      <c r="S172" s="165"/>
      <c r="T172" s="165"/>
    </row>
    <row r="173" spans="17:20">
      <c r="Q173" s="165">
        <v>550</v>
      </c>
      <c r="R173" s="166">
        <v>8.5650632228269092E-3</v>
      </c>
      <c r="S173" s="165"/>
      <c r="T173" s="165"/>
    </row>
    <row r="174" spans="17:20">
      <c r="Q174" s="165">
        <v>551</v>
      </c>
      <c r="R174" s="166">
        <v>8.7077525511155204E-3</v>
      </c>
      <c r="S174" s="165"/>
      <c r="T174" s="165"/>
    </row>
    <row r="175" spans="17:20">
      <c r="Q175" s="165">
        <v>552</v>
      </c>
      <c r="R175" s="166">
        <v>8.7967988627373293E-3</v>
      </c>
      <c r="S175" s="165"/>
      <c r="T175" s="165"/>
    </row>
    <row r="176" spans="17:20">
      <c r="Q176" s="165">
        <v>553</v>
      </c>
      <c r="R176" s="166">
        <v>8.9151884713238195E-3</v>
      </c>
      <c r="S176" s="165"/>
      <c r="T176" s="165"/>
    </row>
    <row r="177" spans="17:20">
      <c r="Q177" s="165">
        <v>554</v>
      </c>
      <c r="R177" s="166">
        <v>9.0509297076318395E-3</v>
      </c>
      <c r="S177" s="165"/>
      <c r="T177" s="165"/>
    </row>
    <row r="178" spans="17:20">
      <c r="Q178" s="165">
        <v>555</v>
      </c>
      <c r="R178" s="166">
        <v>9.1388891457799097E-3</v>
      </c>
      <c r="S178" s="165"/>
      <c r="T178" s="165"/>
    </row>
    <row r="179" spans="17:20">
      <c r="Q179" s="165">
        <v>556</v>
      </c>
      <c r="R179" s="166">
        <v>9.2615249841461397E-3</v>
      </c>
      <c r="S179" s="165"/>
      <c r="T179" s="165"/>
    </row>
    <row r="180" spans="17:20">
      <c r="Q180" s="165">
        <v>557</v>
      </c>
      <c r="R180" s="166">
        <v>9.4102555333420608E-3</v>
      </c>
      <c r="S180" s="165"/>
      <c r="T180" s="165"/>
    </row>
    <row r="181" spans="17:20">
      <c r="Q181" s="165">
        <v>558</v>
      </c>
      <c r="R181" s="166">
        <v>9.5070657363161802E-3</v>
      </c>
      <c r="S181" s="165"/>
      <c r="T181" s="165"/>
    </row>
    <row r="182" spans="17:20">
      <c r="Q182" s="165">
        <v>559</v>
      </c>
      <c r="R182" s="166">
        <v>9.6479661467646204E-3</v>
      </c>
      <c r="S182" s="165"/>
      <c r="T182" s="165"/>
    </row>
    <row r="183" spans="17:20">
      <c r="Q183" s="165">
        <v>560</v>
      </c>
      <c r="R183" s="166">
        <v>9.7525402898948291E-3</v>
      </c>
      <c r="S183" s="165"/>
      <c r="T183" s="165"/>
    </row>
    <row r="184" spans="17:20">
      <c r="Q184" s="165">
        <v>561</v>
      </c>
      <c r="R184" s="166">
        <v>9.9199785170573894E-3</v>
      </c>
      <c r="S184" s="165"/>
      <c r="T184" s="165"/>
    </row>
    <row r="185" spans="17:20">
      <c r="Q185" s="165">
        <v>562</v>
      </c>
      <c r="R185" s="166">
        <v>1.00498155819429E-2</v>
      </c>
      <c r="S185" s="165"/>
      <c r="T185" s="165"/>
    </row>
    <row r="186" spans="17:20">
      <c r="Q186" s="165">
        <v>563</v>
      </c>
      <c r="R186" s="166">
        <v>1.01974794550534E-2</v>
      </c>
      <c r="S186" s="165"/>
      <c r="T186" s="165"/>
    </row>
    <row r="187" spans="17:20">
      <c r="Q187" s="165">
        <v>564</v>
      </c>
      <c r="R187" s="166">
        <v>1.03432235163082E-2</v>
      </c>
      <c r="S187" s="165"/>
      <c r="T187" s="165"/>
    </row>
    <row r="188" spans="17:20">
      <c r="Q188" s="165">
        <v>565</v>
      </c>
      <c r="R188" s="166">
        <v>1.0486494265175301E-2</v>
      </c>
      <c r="S188" s="165"/>
      <c r="T188" s="165"/>
    </row>
    <row r="189" spans="17:20">
      <c r="Q189" s="165">
        <v>566</v>
      </c>
      <c r="R189" s="166">
        <v>1.06324897801782E-2</v>
      </c>
      <c r="S189" s="165"/>
      <c r="T189" s="165"/>
    </row>
    <row r="190" spans="17:20">
      <c r="Q190" s="165">
        <v>567</v>
      </c>
      <c r="R190" s="166">
        <v>1.0784926958507199E-2</v>
      </c>
      <c r="S190" s="165"/>
      <c r="T190" s="165"/>
    </row>
    <row r="191" spans="17:20">
      <c r="Q191" s="165">
        <v>568</v>
      </c>
      <c r="R191" s="166">
        <v>1.09200895503106E-2</v>
      </c>
      <c r="S191" s="165"/>
      <c r="T191" s="165"/>
    </row>
    <row r="192" spans="17:20">
      <c r="Q192" s="165">
        <v>569</v>
      </c>
      <c r="R192" s="166">
        <v>1.1066748762253E-2</v>
      </c>
      <c r="S192" s="165"/>
      <c r="T192" s="165"/>
    </row>
    <row r="193" spans="17:20">
      <c r="Q193" s="165">
        <v>570</v>
      </c>
      <c r="R193" s="166">
        <v>1.1168187099239699E-2</v>
      </c>
      <c r="S193" s="165"/>
      <c r="T193" s="165"/>
    </row>
    <row r="194" spans="17:20">
      <c r="Q194" s="165">
        <v>571</v>
      </c>
      <c r="R194" s="166">
        <v>1.1349607599252199E-2</v>
      </c>
      <c r="S194" s="165"/>
      <c r="T194" s="165"/>
    </row>
    <row r="195" spans="17:20">
      <c r="Q195" s="165">
        <v>572</v>
      </c>
      <c r="R195" s="166">
        <v>1.15106113389745E-2</v>
      </c>
      <c r="S195" s="165"/>
      <c r="T195" s="165"/>
    </row>
    <row r="196" spans="17:20">
      <c r="Q196" s="165">
        <v>573</v>
      </c>
      <c r="R196" s="166">
        <v>1.1630287710112E-2</v>
      </c>
      <c r="S196" s="165"/>
      <c r="T196" s="165"/>
    </row>
    <row r="197" spans="17:20">
      <c r="Q197" s="165">
        <v>574</v>
      </c>
      <c r="R197" s="166">
        <v>1.17925531584765E-2</v>
      </c>
      <c r="S197" s="165"/>
      <c r="T197" s="165"/>
    </row>
    <row r="198" spans="17:20">
      <c r="Q198" s="165">
        <v>575</v>
      </c>
      <c r="R198" s="166">
        <v>1.19706194443681E-2</v>
      </c>
      <c r="S198" s="165"/>
      <c r="T198" s="165"/>
    </row>
    <row r="199" spans="17:20">
      <c r="Q199" s="165">
        <v>576</v>
      </c>
      <c r="R199" s="166">
        <v>1.20934993387324E-2</v>
      </c>
      <c r="S199" s="165"/>
      <c r="T199" s="165"/>
    </row>
    <row r="200" spans="17:20">
      <c r="Q200" s="165">
        <v>577</v>
      </c>
      <c r="R200" s="166">
        <v>1.2184590867405899E-2</v>
      </c>
      <c r="S200" s="165"/>
      <c r="T200" s="165"/>
    </row>
    <row r="201" spans="17:20">
      <c r="Q201" s="165">
        <v>578</v>
      </c>
      <c r="R201" s="166">
        <v>1.23226772310557E-2</v>
      </c>
      <c r="S201" s="165"/>
      <c r="T201" s="165"/>
    </row>
    <row r="202" spans="17:20">
      <c r="Q202" s="165">
        <v>579</v>
      </c>
      <c r="R202" s="166">
        <v>1.2504578711937501E-2</v>
      </c>
      <c r="S202" s="165"/>
      <c r="T202" s="165"/>
    </row>
    <row r="203" spans="17:20">
      <c r="Q203" s="165">
        <v>580</v>
      </c>
      <c r="R203" s="166">
        <v>1.25621129443845E-2</v>
      </c>
      <c r="S203" s="165"/>
      <c r="T203" s="165"/>
    </row>
    <row r="204" spans="17:20">
      <c r="Q204" s="165">
        <v>581</v>
      </c>
      <c r="R204" s="166">
        <v>1.2721284942384999E-2</v>
      </c>
      <c r="S204" s="165"/>
      <c r="T204" s="165"/>
    </row>
    <row r="205" spans="17:20">
      <c r="Q205" s="165">
        <v>582</v>
      </c>
      <c r="R205" s="166">
        <v>1.2833979743961801E-2</v>
      </c>
      <c r="S205" s="165"/>
      <c r="T205" s="165"/>
    </row>
    <row r="206" spans="17:20">
      <c r="Q206" s="165">
        <v>583</v>
      </c>
      <c r="R206" s="166">
        <v>1.29597310165241E-2</v>
      </c>
      <c r="S206" s="165"/>
      <c r="T206" s="165"/>
    </row>
    <row r="207" spans="17:20">
      <c r="Q207" s="165">
        <v>584</v>
      </c>
      <c r="R207" s="166">
        <v>1.31006043916583E-2</v>
      </c>
      <c r="S207" s="165"/>
      <c r="T207" s="165"/>
    </row>
    <row r="208" spans="17:20">
      <c r="Q208" s="165">
        <v>585</v>
      </c>
      <c r="R208" s="166">
        <v>1.3192620364484899E-2</v>
      </c>
      <c r="S208" s="165"/>
      <c r="T208" s="165"/>
    </row>
    <row r="209" spans="17:20">
      <c r="Q209" s="165">
        <v>586</v>
      </c>
      <c r="R209" s="166">
        <v>1.3293879481950601E-2</v>
      </c>
      <c r="S209" s="165"/>
      <c r="T209" s="165"/>
    </row>
    <row r="210" spans="17:20">
      <c r="Q210" s="165">
        <v>587</v>
      </c>
      <c r="R210" s="166">
        <v>1.33406522561825E-2</v>
      </c>
      <c r="S210" s="165"/>
      <c r="T210" s="165"/>
    </row>
    <row r="211" spans="17:20">
      <c r="Q211" s="165">
        <v>588</v>
      </c>
      <c r="R211" s="166">
        <v>1.3458043073318901E-2</v>
      </c>
      <c r="S211" s="165"/>
      <c r="T211" s="165"/>
    </row>
    <row r="212" spans="17:20">
      <c r="Q212" s="165">
        <v>589</v>
      </c>
      <c r="R212" s="166">
        <v>1.35853263599736E-2</v>
      </c>
      <c r="S212" s="165"/>
      <c r="T212" s="165"/>
    </row>
    <row r="213" spans="17:20">
      <c r="Q213" s="165">
        <v>590</v>
      </c>
      <c r="R213" s="166">
        <v>1.3634428813994201E-2</v>
      </c>
      <c r="S213" s="165"/>
      <c r="T213" s="165"/>
    </row>
    <row r="214" spans="17:20">
      <c r="Q214" s="165">
        <v>591</v>
      </c>
      <c r="R214" s="166">
        <v>1.37327410336173E-2</v>
      </c>
      <c r="S214" s="165"/>
      <c r="T214" s="165"/>
    </row>
    <row r="215" spans="17:20">
      <c r="Q215" s="165">
        <v>592</v>
      </c>
      <c r="R215" s="166">
        <v>1.37598202820669E-2</v>
      </c>
      <c r="S215" s="165"/>
      <c r="T215" s="165"/>
    </row>
    <row r="216" spans="17:20">
      <c r="Q216" s="165">
        <v>593</v>
      </c>
      <c r="R216" s="166">
        <v>1.3855848505834E-2</v>
      </c>
      <c r="S216" s="165"/>
      <c r="T216" s="165"/>
    </row>
    <row r="217" spans="17:20">
      <c r="Q217" s="165">
        <v>594</v>
      </c>
      <c r="R217" s="166">
        <v>1.38853105580559E-2</v>
      </c>
      <c r="S217" s="165"/>
      <c r="T217" s="165"/>
    </row>
    <row r="218" spans="17:20">
      <c r="Q218" s="165">
        <v>595</v>
      </c>
      <c r="R218" s="166">
        <v>1.3933333022757999E-2</v>
      </c>
      <c r="S218" s="165"/>
      <c r="T218" s="165"/>
    </row>
    <row r="219" spans="17:20">
      <c r="Q219" s="165">
        <v>596</v>
      </c>
      <c r="R219" s="166">
        <v>1.3989218393103299E-2</v>
      </c>
      <c r="S219" s="165"/>
      <c r="T219" s="165"/>
    </row>
    <row r="220" spans="17:20">
      <c r="Q220" s="165">
        <v>597</v>
      </c>
      <c r="R220" s="166">
        <v>1.40115156830041E-2</v>
      </c>
      <c r="S220" s="165"/>
      <c r="T220" s="165"/>
    </row>
    <row r="221" spans="17:20">
      <c r="Q221" s="165">
        <v>598</v>
      </c>
      <c r="R221" s="166">
        <v>1.40125112065297E-2</v>
      </c>
      <c r="S221" s="165"/>
      <c r="T221" s="165"/>
    </row>
    <row r="222" spans="17:20">
      <c r="Q222" s="165">
        <v>599</v>
      </c>
      <c r="R222" s="166">
        <v>1.40366301751879E-2</v>
      </c>
      <c r="S222" s="165"/>
      <c r="T222" s="165"/>
    </row>
    <row r="223" spans="17:20">
      <c r="Q223" s="165">
        <v>600</v>
      </c>
      <c r="R223" s="166">
        <v>1.4060417821595001E-2</v>
      </c>
      <c r="S223" s="165"/>
      <c r="T223" s="165"/>
    </row>
    <row r="224" spans="17:20">
      <c r="Q224" s="165">
        <v>601</v>
      </c>
      <c r="R224" s="166">
        <v>1.40669737796488E-2</v>
      </c>
      <c r="S224" s="165"/>
      <c r="T224" s="165"/>
    </row>
    <row r="225" spans="17:20">
      <c r="Q225" s="165">
        <v>602</v>
      </c>
      <c r="R225" s="166">
        <v>1.4077334646619401E-2</v>
      </c>
      <c r="S225" s="165"/>
      <c r="T225" s="165"/>
    </row>
    <row r="226" spans="17:20">
      <c r="Q226" s="165">
        <v>603</v>
      </c>
      <c r="R226" s="166">
        <v>1.40694473185055E-2</v>
      </c>
      <c r="S226" s="165"/>
      <c r="T226" s="165"/>
    </row>
    <row r="227" spans="17:20">
      <c r="Q227" s="165">
        <v>604</v>
      </c>
      <c r="R227" s="166">
        <v>1.4056267539064899E-2</v>
      </c>
      <c r="S227" s="165"/>
      <c r="T227" s="165"/>
    </row>
    <row r="228" spans="17:20">
      <c r="Q228" s="165">
        <v>605</v>
      </c>
      <c r="R228" s="166">
        <v>1.39809643219659E-2</v>
      </c>
      <c r="S228" s="165"/>
      <c r="T228" s="165"/>
    </row>
    <row r="229" spans="17:20">
      <c r="Q229" s="165">
        <v>606</v>
      </c>
      <c r="R229" s="166">
        <v>1.3980669145312199E-2</v>
      </c>
      <c r="S229" s="165"/>
      <c r="T229" s="165"/>
    </row>
    <row r="230" spans="17:20">
      <c r="Q230" s="165">
        <v>607</v>
      </c>
      <c r="R230" s="166">
        <v>1.39838379133733E-2</v>
      </c>
      <c r="S230" s="165"/>
      <c r="T230" s="165"/>
    </row>
    <row r="231" spans="17:20">
      <c r="Q231" s="165">
        <v>608</v>
      </c>
      <c r="R231" s="166">
        <v>1.3912380151621599E-2</v>
      </c>
      <c r="S231" s="165"/>
      <c r="T231" s="165"/>
    </row>
    <row r="232" spans="17:20">
      <c r="Q232" s="165">
        <v>609</v>
      </c>
      <c r="R232" s="166">
        <v>1.38374014737321E-2</v>
      </c>
      <c r="S232" s="165"/>
      <c r="T232" s="165"/>
    </row>
    <row r="233" spans="17:20">
      <c r="Q233" s="165">
        <v>610</v>
      </c>
      <c r="R233" s="166">
        <v>1.37997509986168E-2</v>
      </c>
      <c r="S233" s="165"/>
      <c r="T233" s="165"/>
    </row>
    <row r="234" spans="17:20">
      <c r="Q234" s="165">
        <v>611</v>
      </c>
      <c r="R234" s="166">
        <v>1.36992669039579E-2</v>
      </c>
      <c r="S234" s="165"/>
      <c r="T234" s="165"/>
    </row>
    <row r="235" spans="17:20">
      <c r="Q235" s="165">
        <v>612</v>
      </c>
      <c r="R235" s="166">
        <v>1.36641850689801E-2</v>
      </c>
      <c r="S235" s="165"/>
      <c r="T235" s="165"/>
    </row>
    <row r="236" spans="17:20">
      <c r="Q236" s="165">
        <v>613</v>
      </c>
      <c r="R236" s="166">
        <v>1.35493843848096E-2</v>
      </c>
      <c r="S236" s="165"/>
      <c r="T236" s="165"/>
    </row>
    <row r="237" spans="17:20">
      <c r="Q237" s="165">
        <v>614</v>
      </c>
      <c r="R237" s="166">
        <v>1.3457470402001201E-2</v>
      </c>
      <c r="S237" s="165"/>
      <c r="T237" s="165"/>
    </row>
    <row r="238" spans="17:20">
      <c r="Q238" s="165">
        <v>615</v>
      </c>
      <c r="R238" s="166">
        <v>1.33752583030778E-2</v>
      </c>
      <c r="S238" s="165"/>
      <c r="T238" s="165"/>
    </row>
    <row r="239" spans="17:20">
      <c r="Q239" s="165">
        <v>616</v>
      </c>
      <c r="R239" s="166">
        <v>1.33175401541379E-2</v>
      </c>
      <c r="S239" s="165"/>
      <c r="T239" s="165"/>
    </row>
    <row r="240" spans="17:20">
      <c r="Q240" s="165">
        <v>617</v>
      </c>
      <c r="R240" s="166">
        <v>1.31846566666751E-2</v>
      </c>
      <c r="S240" s="165"/>
      <c r="T240" s="165"/>
    </row>
    <row r="241" spans="17:20">
      <c r="Q241" s="165">
        <v>618</v>
      </c>
      <c r="R241" s="166">
        <v>1.3102237458844399E-2</v>
      </c>
      <c r="S241" s="165"/>
      <c r="T241" s="165"/>
    </row>
    <row r="242" spans="17:20">
      <c r="Q242" s="165">
        <v>619</v>
      </c>
      <c r="R242" s="166">
        <v>1.2979648929288099E-2</v>
      </c>
      <c r="S242" s="165"/>
      <c r="T242" s="165"/>
    </row>
    <row r="243" spans="17:20">
      <c r="Q243" s="165">
        <v>620</v>
      </c>
      <c r="R243" s="166">
        <v>1.29034168229973E-2</v>
      </c>
      <c r="S243" s="165"/>
      <c r="T243" s="165"/>
    </row>
    <row r="244" spans="17:20">
      <c r="Q244" s="165">
        <v>621</v>
      </c>
      <c r="R244" s="166">
        <v>1.27860577568492E-2</v>
      </c>
      <c r="S244" s="165"/>
      <c r="T244" s="165"/>
    </row>
    <row r="245" spans="17:20">
      <c r="Q245" s="165">
        <v>622</v>
      </c>
      <c r="R245" s="166">
        <v>1.26720956449143E-2</v>
      </c>
      <c r="S245" s="165"/>
      <c r="T245" s="165"/>
    </row>
    <row r="246" spans="17:20">
      <c r="Q246" s="165">
        <v>623</v>
      </c>
      <c r="R246" s="166">
        <v>1.25478665176358E-2</v>
      </c>
      <c r="S246" s="165"/>
      <c r="T246" s="165"/>
    </row>
    <row r="247" spans="17:20">
      <c r="Q247" s="165">
        <v>624</v>
      </c>
      <c r="R247" s="166">
        <v>1.2436483908392399E-2</v>
      </c>
      <c r="S247" s="165"/>
      <c r="T247" s="165"/>
    </row>
    <row r="248" spans="17:20">
      <c r="Q248" s="165">
        <v>625</v>
      </c>
      <c r="R248" s="166">
        <v>1.23024606083624E-2</v>
      </c>
      <c r="S248" s="165"/>
      <c r="T248" s="165"/>
    </row>
    <row r="249" spans="17:20">
      <c r="Q249" s="165">
        <v>626</v>
      </c>
      <c r="R249" s="166">
        <v>1.21699053402322E-2</v>
      </c>
      <c r="S249" s="165"/>
      <c r="T249" s="165"/>
    </row>
    <row r="250" spans="17:20">
      <c r="Q250" s="165">
        <v>627</v>
      </c>
      <c r="R250" s="166">
        <v>1.20886421657776E-2</v>
      </c>
      <c r="S250" s="165"/>
      <c r="T250" s="165"/>
    </row>
    <row r="251" spans="17:20">
      <c r="Q251" s="165">
        <v>628</v>
      </c>
      <c r="R251" s="166">
        <v>1.1909413965724E-2</v>
      </c>
      <c r="S251" s="165"/>
      <c r="T251" s="165"/>
    </row>
    <row r="252" spans="17:20">
      <c r="Q252" s="165">
        <v>629</v>
      </c>
      <c r="R252" s="166">
        <v>1.1764364682935499E-2</v>
      </c>
      <c r="S252" s="165"/>
      <c r="T252" s="165"/>
    </row>
    <row r="253" spans="17:20">
      <c r="Q253" s="165">
        <v>630</v>
      </c>
      <c r="R253" s="166">
        <v>1.1605420591333101E-2</v>
      </c>
      <c r="S253" s="165"/>
      <c r="T253" s="165"/>
    </row>
    <row r="254" spans="17:20">
      <c r="Q254" s="165">
        <v>631</v>
      </c>
      <c r="R254" s="166">
        <v>1.14890503478385E-2</v>
      </c>
      <c r="S254" s="165"/>
      <c r="T254" s="165"/>
    </row>
    <row r="255" spans="17:20">
      <c r="Q255" s="165">
        <v>632</v>
      </c>
      <c r="R255" s="166">
        <v>1.1345450356016199E-2</v>
      </c>
      <c r="S255" s="165"/>
      <c r="T255" s="165"/>
    </row>
    <row r="256" spans="17:20">
      <c r="Q256" s="165">
        <v>633</v>
      </c>
      <c r="R256" s="166">
        <v>1.11832802634871E-2</v>
      </c>
      <c r="S256" s="165"/>
      <c r="T256" s="165"/>
    </row>
    <row r="257" spans="17:20">
      <c r="Q257" s="165">
        <v>634</v>
      </c>
      <c r="R257" s="166">
        <v>1.10382670884118E-2</v>
      </c>
      <c r="S257" s="165"/>
      <c r="T257" s="165"/>
    </row>
    <row r="258" spans="17:20">
      <c r="Q258" s="165">
        <v>635</v>
      </c>
      <c r="R258" s="166">
        <v>1.08625798401256E-2</v>
      </c>
      <c r="S258" s="165"/>
      <c r="T258" s="165"/>
    </row>
    <row r="259" spans="17:20">
      <c r="Q259" s="165">
        <v>636</v>
      </c>
      <c r="R259" s="166">
        <v>1.07007291055338E-2</v>
      </c>
      <c r="S259" s="165"/>
      <c r="T259" s="165"/>
    </row>
    <row r="260" spans="17:20">
      <c r="Q260" s="165">
        <v>637</v>
      </c>
      <c r="R260" s="166">
        <v>1.0575888434429999E-2</v>
      </c>
      <c r="S260" s="165"/>
      <c r="T260" s="165"/>
    </row>
    <row r="261" spans="17:20">
      <c r="Q261" s="165">
        <v>638</v>
      </c>
      <c r="R261" s="166">
        <v>1.04225225993469E-2</v>
      </c>
      <c r="S261" s="165"/>
      <c r="T261" s="165"/>
    </row>
    <row r="262" spans="17:20">
      <c r="Q262" s="165">
        <v>639</v>
      </c>
      <c r="R262" s="166">
        <v>1.02332890657172E-2</v>
      </c>
      <c r="S262" s="165"/>
      <c r="T262" s="165"/>
    </row>
    <row r="263" spans="17:20">
      <c r="Q263" s="165">
        <v>640</v>
      </c>
      <c r="R263" s="166">
        <v>1.0044356279138701E-2</v>
      </c>
      <c r="S263" s="165"/>
      <c r="T263" s="165"/>
    </row>
    <row r="264" spans="17:20">
      <c r="Q264" s="165">
        <v>641</v>
      </c>
      <c r="R264" s="166">
        <v>9.8958910904929295E-3</v>
      </c>
      <c r="S264" s="165"/>
      <c r="T264" s="165"/>
    </row>
    <row r="265" spans="17:20">
      <c r="Q265" s="165">
        <v>642</v>
      </c>
      <c r="R265" s="166">
        <v>9.7627807754295803E-3</v>
      </c>
      <c r="S265" s="165"/>
      <c r="T265" s="165"/>
    </row>
    <row r="266" spans="17:20">
      <c r="Q266" s="165">
        <v>643</v>
      </c>
      <c r="R266" s="166">
        <v>9.6225171856573095E-3</v>
      </c>
      <c r="S266" s="165"/>
      <c r="T266" s="165"/>
    </row>
    <row r="267" spans="17:20">
      <c r="Q267" s="165">
        <v>644</v>
      </c>
      <c r="R267" s="166">
        <v>9.4568288683052493E-3</v>
      </c>
      <c r="S267" s="165"/>
      <c r="T267" s="165"/>
    </row>
    <row r="268" spans="17:20">
      <c r="Q268" s="165">
        <v>645</v>
      </c>
      <c r="R268" s="166">
        <v>9.2831564360812396E-3</v>
      </c>
      <c r="S268" s="165"/>
      <c r="T268" s="165"/>
    </row>
    <row r="269" spans="17:20">
      <c r="Q269" s="165">
        <v>646</v>
      </c>
      <c r="R269" s="166">
        <v>9.1185240546465592E-3</v>
      </c>
      <c r="S269" s="165"/>
      <c r="T269" s="165"/>
    </row>
    <row r="270" spans="17:20">
      <c r="Q270" s="165">
        <v>647</v>
      </c>
      <c r="R270" s="166">
        <v>8.9670151524018499E-3</v>
      </c>
      <c r="S270" s="165"/>
      <c r="T270" s="165"/>
    </row>
    <row r="271" spans="17:20">
      <c r="Q271" s="165">
        <v>648</v>
      </c>
      <c r="R271" s="166">
        <v>8.7927317509017503E-3</v>
      </c>
      <c r="S271" s="165"/>
      <c r="T271" s="165"/>
    </row>
    <row r="272" spans="17:20">
      <c r="Q272" s="165">
        <v>649</v>
      </c>
      <c r="R272" s="166">
        <v>8.6161993444015001E-3</v>
      </c>
      <c r="S272" s="165"/>
      <c r="T272" s="165"/>
    </row>
    <row r="273" spans="17:20">
      <c r="Q273" s="165">
        <v>650</v>
      </c>
      <c r="R273" s="166">
        <v>8.4872033638581593E-3</v>
      </c>
      <c r="S273" s="165"/>
      <c r="T273" s="165"/>
    </row>
    <row r="274" spans="17:20">
      <c r="Q274" s="165">
        <v>651</v>
      </c>
      <c r="R274" s="166">
        <v>8.3385951005675394E-3</v>
      </c>
      <c r="S274" s="165"/>
      <c r="T274" s="165"/>
    </row>
    <row r="275" spans="17:20">
      <c r="Q275" s="165">
        <v>652</v>
      </c>
      <c r="R275" s="166">
        <v>8.2079247129007594E-3</v>
      </c>
      <c r="S275" s="165"/>
      <c r="T275" s="165"/>
    </row>
    <row r="276" spans="17:20">
      <c r="Q276" s="165">
        <v>653</v>
      </c>
      <c r="R276" s="166">
        <v>8.0611083988376894E-3</v>
      </c>
      <c r="S276" s="165"/>
      <c r="T276" s="165"/>
    </row>
    <row r="277" spans="17:20">
      <c r="Q277" s="165">
        <v>654</v>
      </c>
      <c r="R277" s="166">
        <v>7.9020203223405406E-3</v>
      </c>
      <c r="S277" s="165"/>
      <c r="T277" s="165"/>
    </row>
    <row r="278" spans="17:20">
      <c r="Q278" s="165">
        <v>655</v>
      </c>
      <c r="R278" s="166">
        <v>7.7501760888327199E-3</v>
      </c>
      <c r="S278" s="165"/>
      <c r="T278" s="165"/>
    </row>
    <row r="279" spans="17:20">
      <c r="Q279" s="165">
        <v>656</v>
      </c>
      <c r="R279" s="166">
        <v>7.5968898138691803E-3</v>
      </c>
      <c r="S279" s="165"/>
      <c r="T279" s="165"/>
    </row>
    <row r="280" spans="17:20">
      <c r="Q280" s="165">
        <v>657</v>
      </c>
      <c r="R280" s="166">
        <v>7.45697255915884E-3</v>
      </c>
      <c r="S280" s="165"/>
      <c r="T280" s="165"/>
    </row>
    <row r="281" spans="17:20">
      <c r="Q281" s="165">
        <v>658</v>
      </c>
      <c r="R281" s="166">
        <v>7.3219708456623003E-3</v>
      </c>
      <c r="S281" s="165"/>
      <c r="T281" s="165"/>
    </row>
    <row r="282" spans="17:20">
      <c r="Q282" s="165">
        <v>659</v>
      </c>
      <c r="R282" s="166">
        <v>7.1451078733783101E-3</v>
      </c>
      <c r="S282" s="165"/>
      <c r="T282" s="165"/>
    </row>
    <row r="283" spans="17:20">
      <c r="Q283" s="165">
        <v>660</v>
      </c>
      <c r="R283" s="166">
        <v>7.0102658246127096E-3</v>
      </c>
      <c r="S283" s="165"/>
      <c r="T283" s="165"/>
    </row>
    <row r="284" spans="17:20">
      <c r="Q284" s="165">
        <v>661</v>
      </c>
      <c r="R284" s="166">
        <v>6.88810571070531E-3</v>
      </c>
      <c r="S284" s="165"/>
      <c r="T284" s="165"/>
    </row>
    <row r="285" spans="17:20">
      <c r="Q285" s="165">
        <v>662</v>
      </c>
      <c r="R285" s="166">
        <v>6.7575647652645598E-3</v>
      </c>
      <c r="S285" s="165"/>
      <c r="T285" s="165"/>
    </row>
    <row r="286" spans="17:20">
      <c r="Q286" s="165">
        <v>663</v>
      </c>
      <c r="R286" s="166">
        <v>6.6140614933700098E-3</v>
      </c>
      <c r="S286" s="165"/>
      <c r="T286" s="165"/>
    </row>
    <row r="287" spans="17:20">
      <c r="Q287" s="165">
        <v>664</v>
      </c>
      <c r="R287" s="166">
        <v>6.4469475791569296E-3</v>
      </c>
      <c r="S287" s="165"/>
      <c r="T287" s="165"/>
    </row>
    <row r="288" spans="17:20">
      <c r="Q288" s="165">
        <v>665</v>
      </c>
      <c r="R288" s="166">
        <v>6.3446280579365901E-3</v>
      </c>
      <c r="S288" s="165"/>
      <c r="T288" s="165"/>
    </row>
    <row r="289" spans="17:20">
      <c r="Q289" s="165">
        <v>666</v>
      </c>
      <c r="R289" s="166">
        <v>6.1822381606307601E-3</v>
      </c>
      <c r="S289" s="165"/>
      <c r="T289" s="165"/>
    </row>
    <row r="290" spans="17:20">
      <c r="Q290" s="165">
        <v>667</v>
      </c>
      <c r="R290" s="166">
        <v>6.0645525615523896E-3</v>
      </c>
      <c r="S290" s="165"/>
      <c r="T290" s="165"/>
    </row>
    <row r="291" spans="17:20">
      <c r="Q291" s="165">
        <v>668</v>
      </c>
      <c r="R291" s="166">
        <v>5.9335415323419098E-3</v>
      </c>
      <c r="S291" s="165"/>
      <c r="T291" s="165"/>
    </row>
    <row r="292" spans="17:20">
      <c r="Q292" s="165">
        <v>669</v>
      </c>
      <c r="R292" s="166">
        <v>5.8072198331405502E-3</v>
      </c>
      <c r="S292" s="165"/>
      <c r="T292" s="165"/>
    </row>
    <row r="293" spans="17:20">
      <c r="Q293" s="165">
        <v>670</v>
      </c>
      <c r="R293" s="166">
        <v>5.6854588381464698E-3</v>
      </c>
      <c r="S293" s="165"/>
      <c r="T293" s="165"/>
    </row>
    <row r="294" spans="17:20">
      <c r="Q294" s="165">
        <v>671</v>
      </c>
      <c r="R294" s="166">
        <v>5.5623622287347104E-3</v>
      </c>
      <c r="S294" s="165"/>
      <c r="T294" s="165"/>
    </row>
    <row r="295" spans="17:20">
      <c r="Q295" s="165">
        <v>672</v>
      </c>
      <c r="R295" s="166">
        <v>5.42531580289486E-3</v>
      </c>
      <c r="S295" s="165"/>
      <c r="T295" s="165"/>
    </row>
    <row r="296" spans="17:20">
      <c r="Q296" s="165">
        <v>673</v>
      </c>
      <c r="R296" s="166">
        <v>5.31151248810122E-3</v>
      </c>
      <c r="S296" s="165"/>
      <c r="T296" s="165"/>
    </row>
    <row r="297" spans="17:20">
      <c r="Q297" s="165">
        <v>674</v>
      </c>
      <c r="R297" s="166">
        <v>5.1744390569943496E-3</v>
      </c>
      <c r="S297" s="165"/>
      <c r="T297" s="165"/>
    </row>
    <row r="298" spans="17:20">
      <c r="Q298" s="165">
        <v>675</v>
      </c>
      <c r="R298" s="166">
        <v>5.0549520972781297E-3</v>
      </c>
      <c r="S298" s="165"/>
      <c r="T298" s="165"/>
    </row>
    <row r="299" spans="17:20">
      <c r="Q299" s="165">
        <v>676</v>
      </c>
      <c r="R299" s="166">
        <v>4.9283044591529601E-3</v>
      </c>
      <c r="S299" s="165"/>
      <c r="T299" s="165"/>
    </row>
    <row r="300" spans="17:20">
      <c r="Q300" s="165">
        <v>677</v>
      </c>
      <c r="R300" s="166">
        <v>4.8292298735582804E-3</v>
      </c>
      <c r="S300" s="165"/>
      <c r="T300" s="165"/>
    </row>
    <row r="301" spans="17:20">
      <c r="Q301" s="165">
        <v>678</v>
      </c>
      <c r="R301" s="166">
        <v>4.7160876409466004E-3</v>
      </c>
      <c r="S301" s="165"/>
      <c r="T301" s="165"/>
    </row>
    <row r="302" spans="17:20">
      <c r="Q302" s="165">
        <v>679</v>
      </c>
      <c r="R302" s="166">
        <v>4.5967517501366902E-3</v>
      </c>
      <c r="S302" s="165"/>
      <c r="T302" s="165"/>
    </row>
    <row r="303" spans="17:20">
      <c r="Q303" s="165">
        <v>680</v>
      </c>
      <c r="R303" s="166">
        <v>4.4922856826055298E-3</v>
      </c>
      <c r="S303" s="165"/>
      <c r="T303" s="165"/>
    </row>
    <row r="304" spans="17:20">
      <c r="Q304" s="165">
        <v>681</v>
      </c>
      <c r="R304" s="166">
        <v>4.3824454876543904E-3</v>
      </c>
      <c r="S304" s="165"/>
      <c r="T304" s="165"/>
    </row>
    <row r="305" spans="17:20">
      <c r="Q305" s="165">
        <v>682</v>
      </c>
      <c r="R305" s="166">
        <v>4.2737098271238604E-3</v>
      </c>
      <c r="S305" s="165"/>
      <c r="T305" s="165"/>
    </row>
    <row r="306" spans="17:20">
      <c r="Q306" s="165">
        <v>683</v>
      </c>
      <c r="R306" s="166">
        <v>4.1747822094858403E-3</v>
      </c>
      <c r="S306" s="165"/>
      <c r="T306" s="165"/>
    </row>
    <row r="307" spans="17:20">
      <c r="Q307" s="165">
        <v>684</v>
      </c>
      <c r="R307" s="166">
        <v>4.0658157011195899E-3</v>
      </c>
      <c r="S307" s="165"/>
      <c r="T307" s="165"/>
    </row>
    <row r="308" spans="17:20">
      <c r="Q308" s="165">
        <v>685</v>
      </c>
      <c r="R308" s="166">
        <v>3.9699136191954504E-3</v>
      </c>
      <c r="S308" s="165"/>
      <c r="T308" s="165"/>
    </row>
    <row r="309" spans="17:20">
      <c r="Q309" s="165">
        <v>686</v>
      </c>
      <c r="R309" s="166">
        <v>3.8750496089927102E-3</v>
      </c>
      <c r="S309" s="165"/>
      <c r="T309" s="165"/>
    </row>
    <row r="310" spans="17:20">
      <c r="Q310" s="165">
        <v>687</v>
      </c>
      <c r="R310" s="166">
        <v>3.7932412571094502E-3</v>
      </c>
      <c r="S310" s="165"/>
      <c r="T310" s="165"/>
    </row>
    <row r="311" spans="17:20">
      <c r="Q311" s="165">
        <v>688</v>
      </c>
      <c r="R311" s="166">
        <v>3.7091811772248999E-3</v>
      </c>
      <c r="S311" s="165"/>
      <c r="T311" s="165"/>
    </row>
    <row r="312" spans="17:20">
      <c r="Q312" s="165">
        <v>689</v>
      </c>
      <c r="R312" s="166">
        <v>3.6112227672648301E-3</v>
      </c>
      <c r="S312" s="165"/>
      <c r="T312" s="165"/>
    </row>
    <row r="313" spans="17:20">
      <c r="Q313" s="165">
        <v>690</v>
      </c>
      <c r="R313" s="166">
        <v>3.5221647879074402E-3</v>
      </c>
      <c r="S313" s="165"/>
      <c r="T313" s="165"/>
    </row>
    <row r="314" spans="17:20">
      <c r="Q314" s="165">
        <v>691</v>
      </c>
      <c r="R314" s="166">
        <v>3.4297717562303399E-3</v>
      </c>
      <c r="S314" s="165"/>
      <c r="T314" s="165"/>
    </row>
    <row r="315" spans="17:20">
      <c r="Q315" s="165">
        <v>692</v>
      </c>
      <c r="R315" s="166">
        <v>3.35565831701477E-3</v>
      </c>
      <c r="S315" s="165"/>
      <c r="T315" s="165"/>
    </row>
    <row r="316" spans="17:20">
      <c r="Q316" s="165">
        <v>693</v>
      </c>
      <c r="R316" s="166">
        <v>3.2546078398136501E-3</v>
      </c>
      <c r="S316" s="165"/>
      <c r="T316" s="165"/>
    </row>
    <row r="317" spans="17:20">
      <c r="Q317" s="165">
        <v>694</v>
      </c>
      <c r="R317" s="166">
        <v>3.1748201247101299E-3</v>
      </c>
      <c r="S317" s="165"/>
      <c r="T317" s="165"/>
    </row>
    <row r="318" spans="17:20">
      <c r="Q318" s="165">
        <v>695</v>
      </c>
      <c r="R318" s="166">
        <v>3.09127406913399E-3</v>
      </c>
      <c r="S318" s="165"/>
      <c r="T318" s="165"/>
    </row>
    <row r="319" spans="17:20">
      <c r="Q319" s="165">
        <v>696</v>
      </c>
      <c r="R319" s="166">
        <v>3.0181705880402299E-3</v>
      </c>
      <c r="S319" s="165"/>
      <c r="T319" s="165"/>
    </row>
    <row r="320" spans="17:20">
      <c r="Q320" s="165">
        <v>697</v>
      </c>
      <c r="R320" s="166">
        <v>2.9405375205699899E-3</v>
      </c>
      <c r="S320" s="165"/>
      <c r="T320" s="165"/>
    </row>
    <row r="321" spans="17:20">
      <c r="Q321" s="165">
        <v>698</v>
      </c>
      <c r="R321" s="166">
        <v>2.86412074193565E-3</v>
      </c>
      <c r="S321" s="165"/>
      <c r="T321" s="165"/>
    </row>
    <row r="322" spans="17:20">
      <c r="Q322" s="165">
        <v>699</v>
      </c>
      <c r="R322" s="166">
        <v>2.79078851701501E-3</v>
      </c>
      <c r="S322" s="165"/>
      <c r="T322" s="165"/>
    </row>
    <row r="323" spans="17:20">
      <c r="Q323" s="165">
        <v>700</v>
      </c>
      <c r="R323" s="166">
        <v>2.7182385016267601E-3</v>
      </c>
      <c r="S323" s="165"/>
      <c r="T323" s="165"/>
    </row>
    <row r="324" spans="17:20">
      <c r="Q324" s="165">
        <v>701</v>
      </c>
      <c r="R324" s="166">
        <v>2.6542816668903E-3</v>
      </c>
      <c r="S324" s="165"/>
      <c r="T324" s="165"/>
    </row>
    <row r="325" spans="17:20">
      <c r="Q325" s="165">
        <v>702</v>
      </c>
      <c r="R325" s="166">
        <v>2.5855061010782799E-3</v>
      </c>
      <c r="S325" s="165"/>
      <c r="T325" s="165"/>
    </row>
    <row r="326" spans="17:20">
      <c r="Q326" s="165">
        <v>703</v>
      </c>
      <c r="R326" s="166">
        <v>2.51024627777326E-3</v>
      </c>
      <c r="S326" s="165"/>
      <c r="T326" s="165"/>
    </row>
    <row r="327" spans="17:20">
      <c r="Q327" s="165">
        <v>704</v>
      </c>
      <c r="R327" s="166">
        <v>2.4458083639308098E-3</v>
      </c>
      <c r="S327" s="165"/>
      <c r="T327" s="165"/>
    </row>
    <row r="328" spans="17:20">
      <c r="Q328" s="165">
        <v>705</v>
      </c>
      <c r="R328" s="166">
        <v>2.3692224170342598E-3</v>
      </c>
      <c r="S328" s="165"/>
      <c r="T328" s="165"/>
    </row>
    <row r="329" spans="17:20">
      <c r="Q329" s="165">
        <v>706</v>
      </c>
      <c r="R329" s="166">
        <v>2.3173595834111E-3</v>
      </c>
      <c r="S329" s="165"/>
      <c r="T329" s="165"/>
    </row>
    <row r="330" spans="17:20">
      <c r="Q330" s="165">
        <v>707</v>
      </c>
      <c r="R330" s="166">
        <v>2.2612436508927598E-3</v>
      </c>
      <c r="S330" s="165"/>
      <c r="T330" s="165"/>
    </row>
    <row r="331" spans="17:20">
      <c r="Q331" s="165">
        <v>708</v>
      </c>
      <c r="R331" s="166">
        <v>2.2011936483428002E-3</v>
      </c>
      <c r="S331" s="165"/>
      <c r="T331" s="165"/>
    </row>
    <row r="332" spans="17:20">
      <c r="Q332" s="165">
        <v>709</v>
      </c>
      <c r="R332" s="166">
        <v>2.1457461613279901E-3</v>
      </c>
      <c r="S332" s="165"/>
      <c r="T332" s="165"/>
    </row>
    <row r="333" spans="17:20">
      <c r="Q333" s="165">
        <v>710</v>
      </c>
      <c r="R333" s="166">
        <v>2.0848494228192099E-3</v>
      </c>
      <c r="S333" s="165"/>
      <c r="T333" s="165"/>
    </row>
    <row r="334" spans="17:20">
      <c r="Q334" s="165">
        <v>711</v>
      </c>
      <c r="R334" s="166">
        <v>2.0312440240678E-3</v>
      </c>
      <c r="S334" s="165"/>
      <c r="T334" s="165"/>
    </row>
    <row r="335" spans="17:20">
      <c r="Q335" s="165">
        <v>712</v>
      </c>
      <c r="R335" s="166">
        <v>1.97900601801748E-3</v>
      </c>
      <c r="S335" s="165"/>
      <c r="T335" s="165"/>
    </row>
    <row r="336" spans="17:20">
      <c r="Q336" s="165">
        <v>713</v>
      </c>
      <c r="R336" s="166">
        <v>1.91961911599111E-3</v>
      </c>
      <c r="S336" s="165"/>
      <c r="T336" s="165"/>
    </row>
    <row r="337" spans="17:20">
      <c r="Q337" s="165">
        <v>714</v>
      </c>
      <c r="R337" s="166">
        <v>1.8773098297031701E-3</v>
      </c>
      <c r="S337" s="165"/>
      <c r="T337" s="165"/>
    </row>
    <row r="338" spans="17:20">
      <c r="Q338" s="165">
        <v>715</v>
      </c>
      <c r="R338" s="166">
        <v>1.8197883261768799E-3</v>
      </c>
      <c r="S338" s="165"/>
      <c r="T338" s="165"/>
    </row>
    <row r="339" spans="17:20">
      <c r="Q339" s="165">
        <v>716</v>
      </c>
      <c r="R339" s="166">
        <v>1.7696973417685E-3</v>
      </c>
      <c r="S339" s="165"/>
      <c r="T339" s="165"/>
    </row>
    <row r="340" spans="17:20">
      <c r="Q340" s="165">
        <v>717</v>
      </c>
      <c r="R340" s="166">
        <v>1.72426551079709E-3</v>
      </c>
      <c r="S340" s="165"/>
      <c r="T340" s="165"/>
    </row>
    <row r="341" spans="17:20">
      <c r="Q341" s="165">
        <v>718</v>
      </c>
      <c r="R341" s="166">
        <v>1.67526452909727E-3</v>
      </c>
      <c r="S341" s="165"/>
      <c r="T341" s="165"/>
    </row>
    <row r="342" spans="17:20">
      <c r="Q342" s="165">
        <v>719</v>
      </c>
      <c r="R342" s="166">
        <v>1.6361329741826701E-3</v>
      </c>
      <c r="S342" s="165"/>
      <c r="T342" s="165"/>
    </row>
    <row r="343" spans="17:20">
      <c r="Q343" s="165">
        <v>720</v>
      </c>
      <c r="R343" s="166">
        <v>1.58743749347293E-3</v>
      </c>
      <c r="S343" s="165"/>
      <c r="T343" s="165"/>
    </row>
    <row r="344" spans="17:20">
      <c r="Q344" s="165">
        <v>721</v>
      </c>
      <c r="R344" s="166">
        <v>1.54249183333267E-3</v>
      </c>
      <c r="S344" s="165"/>
      <c r="T344" s="165"/>
    </row>
    <row r="345" spans="17:20">
      <c r="Q345" s="165">
        <v>722</v>
      </c>
      <c r="R345" s="166">
        <v>1.50537052441471E-3</v>
      </c>
      <c r="S345" s="165"/>
      <c r="T345" s="165"/>
    </row>
    <row r="346" spans="17:20">
      <c r="Q346" s="165">
        <v>723</v>
      </c>
      <c r="R346" s="166">
        <v>1.4568809618923299E-3</v>
      </c>
      <c r="S346" s="165"/>
      <c r="T346" s="165"/>
    </row>
    <row r="347" spans="17:20">
      <c r="Q347" s="165">
        <v>724</v>
      </c>
      <c r="R347" s="166">
        <v>1.4211938434799099E-3</v>
      </c>
      <c r="S347" s="165"/>
      <c r="T347" s="165"/>
    </row>
    <row r="348" spans="17:20">
      <c r="Q348" s="165">
        <v>725</v>
      </c>
      <c r="R348" s="166">
        <v>1.38225227206883E-3</v>
      </c>
      <c r="S348" s="165"/>
      <c r="T348" s="165"/>
    </row>
    <row r="349" spans="17:20">
      <c r="Q349" s="165">
        <v>726</v>
      </c>
      <c r="R349" s="166">
        <v>1.3407402483131001E-3</v>
      </c>
      <c r="S349" s="165"/>
      <c r="T349" s="165"/>
    </row>
    <row r="350" spans="17:20">
      <c r="Q350" s="165">
        <v>727</v>
      </c>
      <c r="R350" s="166">
        <v>1.31061689071548E-3</v>
      </c>
      <c r="S350" s="165"/>
      <c r="T350" s="165"/>
    </row>
    <row r="351" spans="17:20">
      <c r="Q351" s="165">
        <v>728</v>
      </c>
      <c r="R351" s="166">
        <v>1.26778710685154E-3</v>
      </c>
      <c r="S351" s="165"/>
      <c r="T351" s="165"/>
    </row>
    <row r="352" spans="17:20">
      <c r="Q352" s="165">
        <v>729</v>
      </c>
      <c r="R352" s="166">
        <v>1.2356883170786101E-3</v>
      </c>
      <c r="S352" s="165"/>
      <c r="T352" s="165"/>
    </row>
    <row r="353" spans="17:20">
      <c r="Q353" s="165">
        <v>730</v>
      </c>
      <c r="R353" s="166">
        <v>1.20309052849101E-3</v>
      </c>
      <c r="S353" s="165"/>
      <c r="T353" s="165"/>
    </row>
    <row r="354" spans="17:20">
      <c r="Q354" s="165">
        <v>731</v>
      </c>
      <c r="R354" s="166">
        <v>1.16291189320011E-3</v>
      </c>
      <c r="S354" s="165"/>
      <c r="T354" s="165"/>
    </row>
    <row r="355" spans="17:20">
      <c r="Q355" s="165">
        <v>732</v>
      </c>
      <c r="R355" s="166">
        <v>1.1337118095171501E-3</v>
      </c>
      <c r="S355" s="165"/>
      <c r="T355" s="165"/>
    </row>
    <row r="356" spans="17:20">
      <c r="Q356" s="165">
        <v>733</v>
      </c>
      <c r="R356" s="166">
        <v>1.0992598460670699E-3</v>
      </c>
      <c r="S356" s="165"/>
      <c r="T356" s="165"/>
    </row>
    <row r="357" spans="17:20">
      <c r="Q357" s="165">
        <v>734</v>
      </c>
      <c r="R357" s="166">
        <v>1.0708194508521601E-3</v>
      </c>
      <c r="S357" s="165"/>
      <c r="T357" s="165"/>
    </row>
    <row r="358" spans="17:20">
      <c r="Q358" s="165">
        <v>735</v>
      </c>
      <c r="R358" s="166">
        <v>1.0327210198580699E-3</v>
      </c>
      <c r="S358" s="165"/>
      <c r="T358" s="165"/>
    </row>
    <row r="359" spans="17:20">
      <c r="Q359" s="165">
        <v>736</v>
      </c>
      <c r="R359" s="166">
        <v>1.0104032923906E-3</v>
      </c>
      <c r="S359" s="165"/>
      <c r="T359" s="165"/>
    </row>
    <row r="360" spans="17:20">
      <c r="Q360" s="165">
        <v>737</v>
      </c>
      <c r="R360" s="166">
        <v>9.8803777030825705E-4</v>
      </c>
      <c r="S360" s="165"/>
      <c r="T360" s="165"/>
    </row>
    <row r="361" spans="17:20">
      <c r="Q361" s="165">
        <v>738</v>
      </c>
      <c r="R361" s="166">
        <v>9.5726680499479903E-4</v>
      </c>
      <c r="S361" s="165"/>
      <c r="T361" s="165"/>
    </row>
    <row r="362" spans="17:20">
      <c r="Q362" s="165">
        <v>739</v>
      </c>
      <c r="R362" s="166">
        <v>9.2695639185840005E-4</v>
      </c>
      <c r="S362" s="165"/>
      <c r="T362" s="165"/>
    </row>
    <row r="363" spans="17:20">
      <c r="Q363" s="165">
        <v>740</v>
      </c>
      <c r="R363" s="166">
        <v>9.0469958092995E-4</v>
      </c>
      <c r="S363" s="165"/>
      <c r="T363" s="165"/>
    </row>
    <row r="364" spans="17:20">
      <c r="Q364" s="165">
        <v>741</v>
      </c>
      <c r="R364" s="166">
        <v>8.7824613467367397E-4</v>
      </c>
      <c r="S364" s="165"/>
      <c r="T364" s="165"/>
    </row>
    <row r="365" spans="17:20">
      <c r="Q365" s="165">
        <v>742</v>
      </c>
      <c r="R365" s="166">
        <v>8.5200157822916097E-4</v>
      </c>
      <c r="S365" s="165"/>
      <c r="T365" s="165"/>
    </row>
    <row r="366" spans="17:20">
      <c r="Q366" s="165">
        <v>743</v>
      </c>
      <c r="R366" s="166">
        <v>8.2931448140223399E-4</v>
      </c>
      <c r="S366" s="165"/>
      <c r="T366" s="165"/>
    </row>
    <row r="367" spans="17:20">
      <c r="Q367" s="165">
        <v>744</v>
      </c>
      <c r="R367" s="166">
        <v>8.0382040269491898E-4</v>
      </c>
      <c r="S367" s="165"/>
      <c r="T367" s="165"/>
    </row>
    <row r="368" spans="17:20">
      <c r="Q368" s="165">
        <v>745</v>
      </c>
      <c r="R368" s="166">
        <v>7.85885878178707E-4</v>
      </c>
      <c r="S368" s="165"/>
      <c r="T368" s="165"/>
    </row>
    <row r="369" spans="17:20">
      <c r="Q369" s="165">
        <v>746</v>
      </c>
      <c r="R369" s="166">
        <v>7.66204652569303E-4</v>
      </c>
      <c r="S369" s="165"/>
      <c r="T369" s="165"/>
    </row>
    <row r="370" spans="17:20">
      <c r="Q370" s="165">
        <v>747</v>
      </c>
      <c r="R370" s="166">
        <v>7.4093703257093304E-4</v>
      </c>
      <c r="S370" s="165"/>
      <c r="T370" s="165"/>
    </row>
    <row r="371" spans="17:20">
      <c r="Q371" s="165">
        <v>748</v>
      </c>
      <c r="R371" s="166">
        <v>7.2442848152340703E-4</v>
      </c>
      <c r="S371" s="165"/>
      <c r="T371" s="165"/>
    </row>
    <row r="372" spans="17:20">
      <c r="Q372" s="165">
        <v>749</v>
      </c>
      <c r="R372" s="166">
        <v>7.0321144636905199E-4</v>
      </c>
      <c r="S372" s="165"/>
      <c r="T372" s="165"/>
    </row>
    <row r="373" spans="17:20">
      <c r="Q373" s="165">
        <v>750</v>
      </c>
      <c r="R373" s="166">
        <v>6.8472437115487295E-4</v>
      </c>
      <c r="S373" s="165"/>
      <c r="T373" s="165"/>
    </row>
    <row r="374" spans="17:20">
      <c r="Q374" s="165">
        <v>751</v>
      </c>
      <c r="R374" s="166">
        <v>6.6442293745883302E-4</v>
      </c>
      <c r="S374" s="165"/>
      <c r="T374" s="165"/>
    </row>
    <row r="375" spans="17:20">
      <c r="Q375" s="165">
        <v>752</v>
      </c>
      <c r="R375" s="166">
        <v>6.4878993284004098E-4</v>
      </c>
      <c r="S375" s="165"/>
      <c r="T375" s="165"/>
    </row>
    <row r="376" spans="17:20">
      <c r="Q376" s="165">
        <v>753</v>
      </c>
      <c r="R376" s="166">
        <v>6.3432525305117499E-4</v>
      </c>
      <c r="S376" s="165"/>
      <c r="T376" s="165"/>
    </row>
    <row r="377" spans="17:20">
      <c r="Q377" s="165">
        <v>754</v>
      </c>
      <c r="R377" s="166">
        <v>6.1726625748981701E-4</v>
      </c>
      <c r="S377" s="165"/>
      <c r="T377" s="165"/>
    </row>
    <row r="378" spans="17:20">
      <c r="Q378" s="165">
        <v>755</v>
      </c>
      <c r="R378" s="166">
        <v>5.9566915913701504E-4</v>
      </c>
      <c r="S378" s="165"/>
      <c r="T378" s="165"/>
    </row>
    <row r="379" spans="17:20">
      <c r="Q379" s="165">
        <v>756</v>
      </c>
      <c r="R379" s="166">
        <v>5.8094698403299305E-4</v>
      </c>
      <c r="S379" s="165"/>
      <c r="T379" s="165"/>
    </row>
    <row r="380" spans="17:20">
      <c r="Q380" s="165">
        <v>757</v>
      </c>
      <c r="R380" s="166">
        <v>5.6862630841026296E-4</v>
      </c>
      <c r="S380" s="165"/>
      <c r="T380" s="165"/>
    </row>
    <row r="381" spans="17:20">
      <c r="Q381" s="165">
        <v>758</v>
      </c>
      <c r="R381" s="166">
        <v>5.5324567155859796E-4</v>
      </c>
      <c r="S381" s="165"/>
      <c r="T381" s="165"/>
    </row>
    <row r="382" spans="17:20">
      <c r="Q382" s="165">
        <v>759</v>
      </c>
      <c r="R382" s="166">
        <v>5.4094171861001196E-4</v>
      </c>
      <c r="S382" s="165"/>
      <c r="T382" s="165"/>
    </row>
    <row r="383" spans="17:20">
      <c r="Q383" s="165">
        <v>760</v>
      </c>
      <c r="R383" s="166">
        <v>5.2361454725959999E-4</v>
      </c>
      <c r="S383" s="165"/>
      <c r="T383" s="165"/>
    </row>
    <row r="384" spans="17:20">
      <c r="Q384" s="165">
        <v>761</v>
      </c>
      <c r="R384" s="166">
        <v>5.1381123186764897E-4</v>
      </c>
      <c r="S384" s="165"/>
      <c r="T384" s="165"/>
    </row>
    <row r="385" spans="17:20">
      <c r="Q385" s="165">
        <v>762</v>
      </c>
      <c r="R385" s="166">
        <v>4.9763262546993899E-4</v>
      </c>
      <c r="S385" s="165"/>
      <c r="T385" s="165"/>
    </row>
    <row r="386" spans="17:20">
      <c r="Q386" s="165">
        <v>763</v>
      </c>
      <c r="R386" s="166">
        <v>4.8513555249998601E-4</v>
      </c>
      <c r="S386" s="165"/>
      <c r="T386" s="165"/>
    </row>
    <row r="387" spans="17:20">
      <c r="Q387" s="165">
        <v>764</v>
      </c>
      <c r="R387" s="166">
        <v>4.7328589988063799E-4</v>
      </c>
      <c r="S387" s="165"/>
      <c r="T387" s="165"/>
    </row>
    <row r="388" spans="17:20">
      <c r="Q388" s="165">
        <v>765</v>
      </c>
      <c r="R388" s="166">
        <v>4.6111955924214799E-4</v>
      </c>
      <c r="S388" s="165"/>
      <c r="T388" s="165"/>
    </row>
    <row r="389" spans="17:20">
      <c r="Q389" s="165">
        <v>766</v>
      </c>
      <c r="R389" s="166">
        <v>4.4851677568615901E-4</v>
      </c>
      <c r="S389" s="165"/>
      <c r="T389" s="165"/>
    </row>
    <row r="390" spans="17:20">
      <c r="Q390" s="165">
        <v>767</v>
      </c>
      <c r="R390" s="166">
        <v>4.3852264772923001E-4</v>
      </c>
      <c r="S390" s="165"/>
      <c r="T390" s="165"/>
    </row>
    <row r="391" spans="17:20">
      <c r="Q391" s="165">
        <v>768</v>
      </c>
      <c r="R391" s="166">
        <v>4.27658008638269E-4</v>
      </c>
      <c r="S391" s="165"/>
      <c r="T391" s="165"/>
    </row>
    <row r="392" spans="17:20">
      <c r="Q392" s="165">
        <v>769</v>
      </c>
      <c r="R392" s="166">
        <v>4.1694147827516702E-4</v>
      </c>
      <c r="S392" s="165"/>
      <c r="T392" s="165"/>
    </row>
    <row r="393" spans="17:20">
      <c r="Q393" s="165">
        <v>770</v>
      </c>
      <c r="R393" s="166">
        <v>4.0453918093917102E-4</v>
      </c>
      <c r="S393" s="165"/>
      <c r="T393" s="165"/>
    </row>
    <row r="394" spans="17:20">
      <c r="Q394" s="165">
        <v>771</v>
      </c>
      <c r="R394" s="166">
        <v>3.9441633153784202E-4</v>
      </c>
      <c r="S394" s="165"/>
      <c r="T394" s="165"/>
    </row>
    <row r="395" spans="17:20">
      <c r="Q395" s="165">
        <v>772</v>
      </c>
      <c r="R395" s="166">
        <v>3.8470237986706598E-4</v>
      </c>
      <c r="S395" s="165"/>
      <c r="T395" s="165"/>
    </row>
    <row r="396" spans="17:20">
      <c r="Q396" s="165">
        <v>773</v>
      </c>
      <c r="R396" s="166">
        <v>3.7545386696852701E-4</v>
      </c>
      <c r="S396" s="165"/>
      <c r="T396" s="165"/>
    </row>
    <row r="397" spans="17:20">
      <c r="Q397" s="165">
        <v>774</v>
      </c>
      <c r="R397" s="166">
        <v>3.6381240518274698E-4</v>
      </c>
      <c r="S397" s="165"/>
      <c r="T397" s="165"/>
    </row>
    <row r="398" spans="17:20">
      <c r="Q398" s="165">
        <v>775</v>
      </c>
      <c r="R398" s="166">
        <v>3.56382035796382E-4</v>
      </c>
      <c r="S398" s="165"/>
      <c r="T398" s="165"/>
    </row>
    <row r="399" spans="17:20">
      <c r="Q399" s="165">
        <v>776</v>
      </c>
      <c r="R399" s="166">
        <v>3.4875716241162299E-4</v>
      </c>
      <c r="S399" s="165"/>
      <c r="T399" s="165"/>
    </row>
    <row r="400" spans="17:20">
      <c r="Q400" s="165">
        <v>777</v>
      </c>
      <c r="R400" s="166">
        <v>3.4227177919388601E-4</v>
      </c>
      <c r="S400" s="165"/>
      <c r="T400" s="165"/>
    </row>
    <row r="401" spans="17:20">
      <c r="Q401" s="165">
        <v>778</v>
      </c>
      <c r="R401" s="166">
        <v>3.3085889716857902E-4</v>
      </c>
      <c r="S401" s="165"/>
      <c r="T401" s="165"/>
    </row>
    <row r="402" spans="17:20">
      <c r="Q402" s="165">
        <v>779</v>
      </c>
      <c r="R402" s="166">
        <v>3.2740313618373902E-4</v>
      </c>
      <c r="S402" s="165"/>
      <c r="T402" s="165"/>
    </row>
    <row r="403" spans="17:20">
      <c r="Q403" s="165">
        <v>780</v>
      </c>
      <c r="R403" s="166">
        <v>3.16175758890274E-4</v>
      </c>
      <c r="S403" s="165"/>
      <c r="T403" s="165"/>
    </row>
    <row r="404" spans="17:20">
      <c r="Q404" s="165">
        <v>781</v>
      </c>
      <c r="R404" s="168">
        <v>0</v>
      </c>
      <c r="S404" s="165"/>
      <c r="T404" s="165"/>
    </row>
    <row r="405" spans="17:20">
      <c r="Q405" s="165">
        <v>782</v>
      </c>
      <c r="R405" s="168">
        <v>0</v>
      </c>
      <c r="S405" s="165"/>
      <c r="T405" s="165"/>
    </row>
    <row r="406" spans="17:20">
      <c r="Q406" s="165">
        <v>783</v>
      </c>
      <c r="R406" s="168">
        <v>0</v>
      </c>
      <c r="S406" s="165"/>
      <c r="T406" s="165"/>
    </row>
    <row r="407" spans="17:20">
      <c r="Q407" s="165">
        <v>784</v>
      </c>
      <c r="R407" s="168">
        <v>0</v>
      </c>
      <c r="S407" s="165"/>
      <c r="T407" s="165"/>
    </row>
    <row r="408" spans="17:20">
      <c r="Q408" s="165">
        <v>785</v>
      </c>
      <c r="R408" s="168">
        <v>0</v>
      </c>
      <c r="S408" s="165"/>
      <c r="T408" s="165"/>
    </row>
    <row r="409" spans="17:20">
      <c r="Q409" s="165">
        <v>786</v>
      </c>
      <c r="R409" s="168">
        <v>0</v>
      </c>
      <c r="S409" s="165"/>
      <c r="T409" s="165"/>
    </row>
    <row r="410" spans="17:20">
      <c r="Q410" s="165">
        <v>787</v>
      </c>
      <c r="R410" s="168">
        <v>0</v>
      </c>
      <c r="S410" s="165"/>
      <c r="T410" s="165"/>
    </row>
    <row r="411" spans="17:20">
      <c r="Q411" s="165">
        <v>788</v>
      </c>
      <c r="R411" s="168">
        <v>0</v>
      </c>
      <c r="S411" s="165"/>
      <c r="T411" s="165"/>
    </row>
    <row r="412" spans="17:20">
      <c r="Q412" s="165">
        <v>789</v>
      </c>
      <c r="R412" s="168">
        <v>0</v>
      </c>
      <c r="S412" s="165"/>
      <c r="T412" s="165"/>
    </row>
    <row r="413" spans="17:20">
      <c r="Q413" s="165">
        <v>790</v>
      </c>
      <c r="R413" s="168">
        <v>0</v>
      </c>
      <c r="S413" s="165"/>
      <c r="T413" s="165"/>
    </row>
    <row r="414" spans="17:20">
      <c r="Q414" s="165">
        <v>791</v>
      </c>
      <c r="R414" s="168">
        <v>0</v>
      </c>
      <c r="S414" s="165"/>
      <c r="T414" s="165"/>
    </row>
    <row r="415" spans="17:20">
      <c r="Q415" s="165">
        <v>792</v>
      </c>
      <c r="R415" s="168">
        <v>0</v>
      </c>
      <c r="S415" s="165"/>
      <c r="T415" s="165"/>
    </row>
    <row r="416" spans="17:20">
      <c r="Q416" s="165">
        <v>793</v>
      </c>
      <c r="R416" s="168">
        <v>0</v>
      </c>
      <c r="S416" s="165"/>
      <c r="T416" s="165"/>
    </row>
    <row r="417" spans="17:20">
      <c r="Q417" s="165">
        <v>794</v>
      </c>
      <c r="R417" s="168">
        <v>0</v>
      </c>
      <c r="S417" s="165"/>
      <c r="T417" s="165"/>
    </row>
    <row r="418" spans="17:20">
      <c r="Q418" s="165">
        <v>795</v>
      </c>
      <c r="R418" s="168">
        <v>0</v>
      </c>
      <c r="S418" s="165"/>
      <c r="T418" s="165"/>
    </row>
    <row r="419" spans="17:20">
      <c r="Q419" s="165">
        <v>796</v>
      </c>
      <c r="R419" s="168">
        <v>0</v>
      </c>
      <c r="S419" s="165"/>
      <c r="T419" s="165"/>
    </row>
    <row r="420" spans="17:20">
      <c r="Q420" s="165">
        <v>797</v>
      </c>
      <c r="R420" s="168">
        <v>0</v>
      </c>
      <c r="S420" s="165"/>
      <c r="T420" s="165"/>
    </row>
    <row r="421" spans="17:20">
      <c r="Q421" s="165">
        <v>798</v>
      </c>
      <c r="R421" s="168">
        <v>0</v>
      </c>
      <c r="S421" s="165"/>
      <c r="T421" s="165"/>
    </row>
    <row r="422" spans="17:20">
      <c r="Q422" s="165">
        <v>799</v>
      </c>
      <c r="R422" s="168">
        <v>0</v>
      </c>
      <c r="S422" s="165"/>
      <c r="T422" s="165"/>
    </row>
    <row r="423" spans="17:20">
      <c r="Q423" s="165">
        <v>800</v>
      </c>
      <c r="R423" s="168">
        <v>0</v>
      </c>
      <c r="S423" s="165"/>
      <c r="T423" s="165"/>
    </row>
    <row r="424" spans="17:20">
      <c r="Q424" s="165">
        <v>801</v>
      </c>
      <c r="R424" s="168">
        <v>0</v>
      </c>
      <c r="S424" s="165"/>
      <c r="T424" s="165"/>
    </row>
    <row r="425" spans="17:20">
      <c r="Q425" s="165">
        <v>802</v>
      </c>
      <c r="R425" s="168">
        <v>0</v>
      </c>
      <c r="S425" s="165"/>
      <c r="T425" s="165"/>
    </row>
    <row r="426" spans="17:20">
      <c r="Q426" s="165">
        <v>803</v>
      </c>
      <c r="R426" s="168">
        <v>0</v>
      </c>
      <c r="S426" s="165"/>
      <c r="T426" s="165"/>
    </row>
    <row r="427" spans="17:20">
      <c r="Q427" s="165">
        <v>804</v>
      </c>
      <c r="R427" s="168">
        <v>0</v>
      </c>
      <c r="S427" s="165"/>
      <c r="T427" s="165"/>
    </row>
    <row r="428" spans="17:20">
      <c r="Q428" s="165">
        <v>805</v>
      </c>
      <c r="R428" s="168">
        <v>0</v>
      </c>
      <c r="S428" s="165"/>
      <c r="T428" s="165"/>
    </row>
    <row r="429" spans="17:20">
      <c r="Q429" s="165">
        <v>806</v>
      </c>
      <c r="R429" s="168">
        <v>0</v>
      </c>
      <c r="S429" s="165"/>
      <c r="T429" s="165"/>
    </row>
    <row r="430" spans="17:20">
      <c r="Q430" s="165">
        <v>807</v>
      </c>
      <c r="R430" s="168">
        <v>0</v>
      </c>
      <c r="S430" s="165"/>
      <c r="T430" s="165"/>
    </row>
    <row r="431" spans="17:20">
      <c r="Q431" s="165">
        <v>808</v>
      </c>
      <c r="R431" s="168">
        <v>0</v>
      </c>
      <c r="S431" s="165"/>
      <c r="T431" s="165"/>
    </row>
    <row r="432" spans="17:20">
      <c r="Q432" s="165">
        <v>809</v>
      </c>
      <c r="R432" s="168">
        <v>0</v>
      </c>
      <c r="S432" s="165"/>
      <c r="T432" s="165"/>
    </row>
    <row r="433" spans="17:20">
      <c r="Q433" s="165">
        <v>810</v>
      </c>
      <c r="R433" s="168">
        <v>0</v>
      </c>
      <c r="S433" s="165"/>
      <c r="T433" s="165"/>
    </row>
    <row r="434" spans="17:20">
      <c r="Q434" s="165">
        <v>811</v>
      </c>
      <c r="R434" s="168">
        <v>0</v>
      </c>
      <c r="S434" s="165"/>
      <c r="T434" s="165"/>
    </row>
    <row r="435" spans="17:20">
      <c r="Q435" s="165">
        <v>812</v>
      </c>
      <c r="R435" s="168">
        <v>0</v>
      </c>
      <c r="S435" s="165"/>
      <c r="T435" s="165"/>
    </row>
    <row r="436" spans="17:20">
      <c r="Q436" s="165">
        <v>813</v>
      </c>
      <c r="R436" s="168">
        <v>0</v>
      </c>
      <c r="S436" s="165"/>
      <c r="T436" s="165"/>
    </row>
    <row r="437" spans="17:20">
      <c r="Q437" s="165">
        <v>814</v>
      </c>
      <c r="R437" s="168">
        <v>0</v>
      </c>
      <c r="S437" s="165"/>
      <c r="T437" s="165"/>
    </row>
    <row r="438" spans="17:20">
      <c r="Q438" s="165">
        <v>815</v>
      </c>
      <c r="R438" s="168">
        <v>0</v>
      </c>
      <c r="S438" s="165"/>
      <c r="T438" s="165"/>
    </row>
    <row r="439" spans="17:20">
      <c r="Q439" s="165">
        <v>816</v>
      </c>
      <c r="R439" s="168">
        <v>0</v>
      </c>
      <c r="S439" s="165"/>
      <c r="T439" s="165"/>
    </row>
    <row r="440" spans="17:20">
      <c r="Q440" s="165">
        <v>817</v>
      </c>
      <c r="R440" s="168">
        <v>0</v>
      </c>
      <c r="S440" s="165"/>
      <c r="T440" s="165"/>
    </row>
    <row r="441" spans="17:20">
      <c r="Q441" s="165">
        <v>818</v>
      </c>
      <c r="R441" s="168">
        <v>0</v>
      </c>
      <c r="S441" s="165"/>
      <c r="T441" s="165"/>
    </row>
    <row r="442" spans="17:20">
      <c r="Q442" s="165">
        <v>819</v>
      </c>
      <c r="R442" s="168">
        <v>0</v>
      </c>
      <c r="S442" s="165"/>
      <c r="T442" s="165"/>
    </row>
    <row r="443" spans="17:20">
      <c r="Q443" s="165">
        <v>820</v>
      </c>
      <c r="R443" s="168">
        <v>0</v>
      </c>
      <c r="S443" s="165"/>
      <c r="T443" s="165"/>
    </row>
    <row r="444" spans="17:20">
      <c r="Q444" s="165">
        <v>821</v>
      </c>
      <c r="R444" s="168">
        <v>0</v>
      </c>
      <c r="S444" s="165"/>
      <c r="T444" s="165"/>
    </row>
    <row r="445" spans="17:20">
      <c r="Q445" s="165">
        <v>822</v>
      </c>
      <c r="R445" s="168">
        <v>0</v>
      </c>
      <c r="S445" s="165"/>
      <c r="T445" s="165"/>
    </row>
    <row r="446" spans="17:20">
      <c r="Q446" s="165">
        <v>823</v>
      </c>
      <c r="R446" s="168">
        <v>0</v>
      </c>
      <c r="S446" s="165"/>
      <c r="T446" s="165"/>
    </row>
    <row r="447" spans="17:20">
      <c r="Q447" s="165">
        <v>824</v>
      </c>
      <c r="R447" s="168">
        <v>0</v>
      </c>
      <c r="S447" s="165"/>
      <c r="T447" s="165"/>
    </row>
    <row r="448" spans="17:20">
      <c r="Q448" s="165">
        <v>825</v>
      </c>
      <c r="R448" s="168">
        <v>0</v>
      </c>
      <c r="S448" s="165"/>
      <c r="T448" s="165"/>
    </row>
    <row r="449" spans="17:20">
      <c r="Q449" s="165">
        <v>826</v>
      </c>
      <c r="R449" s="168">
        <v>0</v>
      </c>
      <c r="S449" s="165"/>
      <c r="T449" s="165"/>
    </row>
    <row r="450" spans="17:20">
      <c r="Q450" s="165">
        <v>827</v>
      </c>
      <c r="R450" s="168">
        <v>0</v>
      </c>
      <c r="S450" s="165"/>
      <c r="T450" s="165"/>
    </row>
    <row r="451" spans="17:20">
      <c r="Q451" s="165">
        <v>828</v>
      </c>
      <c r="R451" s="168">
        <v>0</v>
      </c>
      <c r="S451" s="165"/>
      <c r="T451" s="165"/>
    </row>
    <row r="452" spans="17:20">
      <c r="Q452" s="165">
        <v>829</v>
      </c>
      <c r="R452" s="168">
        <v>0</v>
      </c>
      <c r="S452" s="165"/>
      <c r="T452" s="165"/>
    </row>
    <row r="453" spans="17:20">
      <c r="Q453" s="165">
        <v>830</v>
      </c>
      <c r="R453" s="168">
        <v>0</v>
      </c>
      <c r="S453" s="165"/>
      <c r="T453" s="165"/>
    </row>
  </sheetData>
  <protectedRanges>
    <protectedRange sqref="R3:R453" name="Bereik2"/>
    <protectedRange sqref="B2" name="Bereik3"/>
  </protectedRanges>
  <mergeCells count="1">
    <mergeCell ref="Q1:T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B211"/>
  <sheetViews>
    <sheetView topLeftCell="A13" workbookViewId="0">
      <selection activeCell="EH20" sqref="EH20:IB21"/>
    </sheetView>
  </sheetViews>
  <sheetFormatPr defaultColWidth="11.453125" defaultRowHeight="14.5"/>
  <cols>
    <col min="1" max="1" width="12.453125" customWidth="1"/>
    <col min="2" max="2" width="10.08984375" style="66" customWidth="1"/>
    <col min="3" max="3" width="8.90625" customWidth="1"/>
    <col min="4" max="4" width="5.08984375" customWidth="1"/>
    <col min="5" max="5" width="17.90625" style="67" customWidth="1"/>
    <col min="6" max="6" width="10.90625" style="68" customWidth="1"/>
    <col min="7" max="7" width="9.6328125" customWidth="1"/>
    <col min="8" max="8" width="10.453125" customWidth="1"/>
    <col min="9" max="12" width="9.6328125" customWidth="1"/>
    <col min="13" max="13" width="9.90625" customWidth="1"/>
    <col min="14" max="23" width="9.6328125" customWidth="1"/>
    <col min="111" max="111" width="11.6328125" bestFit="1" customWidth="1"/>
    <col min="112" max="113" width="12.54296875" bestFit="1" customWidth="1"/>
    <col min="124" max="124" width="15.36328125" customWidth="1"/>
    <col min="252" max="252" width="12.453125" customWidth="1"/>
    <col min="253" max="253" width="10.08984375" customWidth="1"/>
    <col min="254" max="254" width="8.90625" customWidth="1"/>
    <col min="255" max="255" width="5.08984375" customWidth="1"/>
    <col min="256" max="256" width="17.90625" customWidth="1"/>
    <col min="257" max="257" width="10.90625" customWidth="1"/>
    <col min="258" max="258" width="9.6328125" customWidth="1"/>
    <col min="259" max="259" width="10.453125" customWidth="1"/>
    <col min="260" max="263" width="9.6328125" customWidth="1"/>
    <col min="264" max="264" width="9.90625" customWidth="1"/>
    <col min="265" max="274" width="9.6328125" customWidth="1"/>
    <col min="362" max="362" width="11.6328125" bestFit="1" customWidth="1"/>
    <col min="363" max="364" width="12.54296875" bestFit="1" customWidth="1"/>
    <col min="508" max="508" width="12.453125" customWidth="1"/>
    <col min="509" max="509" width="10.08984375" customWidth="1"/>
    <col min="510" max="510" width="8.90625" customWidth="1"/>
    <col min="511" max="511" width="5.08984375" customWidth="1"/>
    <col min="512" max="512" width="17.90625" customWidth="1"/>
    <col min="513" max="513" width="10.90625" customWidth="1"/>
    <col min="514" max="514" width="9.6328125" customWidth="1"/>
    <col min="515" max="515" width="10.453125" customWidth="1"/>
    <col min="516" max="519" width="9.6328125" customWidth="1"/>
    <col min="520" max="520" width="9.90625" customWidth="1"/>
    <col min="521" max="530" width="9.6328125" customWidth="1"/>
    <col min="618" max="618" width="11.6328125" bestFit="1" customWidth="1"/>
    <col min="619" max="620" width="12.54296875" bestFit="1" customWidth="1"/>
    <col min="764" max="764" width="12.453125" customWidth="1"/>
    <col min="765" max="765" width="10.08984375" customWidth="1"/>
    <col min="766" max="766" width="8.90625" customWidth="1"/>
    <col min="767" max="767" width="5.08984375" customWidth="1"/>
    <col min="768" max="768" width="17.90625" customWidth="1"/>
    <col min="769" max="769" width="10.90625" customWidth="1"/>
    <col min="770" max="770" width="9.6328125" customWidth="1"/>
    <col min="771" max="771" width="10.453125" customWidth="1"/>
    <col min="772" max="775" width="9.6328125" customWidth="1"/>
    <col min="776" max="776" width="9.90625" customWidth="1"/>
    <col min="777" max="786" width="9.6328125" customWidth="1"/>
    <col min="874" max="874" width="11.6328125" bestFit="1" customWidth="1"/>
    <col min="875" max="876" width="12.54296875" bestFit="1" customWidth="1"/>
    <col min="1020" max="1020" width="12.453125" customWidth="1"/>
    <col min="1021" max="1021" width="10.08984375" customWidth="1"/>
    <col min="1022" max="1022" width="8.90625" customWidth="1"/>
    <col min="1023" max="1023" width="5.08984375" customWidth="1"/>
    <col min="1024" max="1024" width="17.90625" customWidth="1"/>
    <col min="1025" max="1025" width="10.90625" customWidth="1"/>
    <col min="1026" max="1026" width="9.6328125" customWidth="1"/>
    <col min="1027" max="1027" width="10.453125" customWidth="1"/>
    <col min="1028" max="1031" width="9.6328125" customWidth="1"/>
    <col min="1032" max="1032" width="9.90625" customWidth="1"/>
    <col min="1033" max="1042" width="9.6328125" customWidth="1"/>
    <col min="1130" max="1130" width="11.6328125" bestFit="1" customWidth="1"/>
    <col min="1131" max="1132" width="12.54296875" bestFit="1" customWidth="1"/>
    <col min="1276" max="1276" width="12.453125" customWidth="1"/>
    <col min="1277" max="1277" width="10.08984375" customWidth="1"/>
    <col min="1278" max="1278" width="8.90625" customWidth="1"/>
    <col min="1279" max="1279" width="5.08984375" customWidth="1"/>
    <col min="1280" max="1280" width="17.90625" customWidth="1"/>
    <col min="1281" max="1281" width="10.90625" customWidth="1"/>
    <col min="1282" max="1282" width="9.6328125" customWidth="1"/>
    <col min="1283" max="1283" width="10.453125" customWidth="1"/>
    <col min="1284" max="1287" width="9.6328125" customWidth="1"/>
    <col min="1288" max="1288" width="9.90625" customWidth="1"/>
    <col min="1289" max="1298" width="9.6328125" customWidth="1"/>
    <col min="1386" max="1386" width="11.6328125" bestFit="1" customWidth="1"/>
    <col min="1387" max="1388" width="12.54296875" bestFit="1" customWidth="1"/>
    <col min="1532" max="1532" width="12.453125" customWidth="1"/>
    <col min="1533" max="1533" width="10.08984375" customWidth="1"/>
    <col min="1534" max="1534" width="8.90625" customWidth="1"/>
    <col min="1535" max="1535" width="5.08984375" customWidth="1"/>
    <col min="1536" max="1536" width="17.90625" customWidth="1"/>
    <col min="1537" max="1537" width="10.90625" customWidth="1"/>
    <col min="1538" max="1538" width="9.6328125" customWidth="1"/>
    <col min="1539" max="1539" width="10.453125" customWidth="1"/>
    <col min="1540" max="1543" width="9.6328125" customWidth="1"/>
    <col min="1544" max="1544" width="9.90625" customWidth="1"/>
    <col min="1545" max="1554" width="9.6328125" customWidth="1"/>
    <col min="1642" max="1642" width="11.6328125" bestFit="1" customWidth="1"/>
    <col min="1643" max="1644" width="12.54296875" bestFit="1" customWidth="1"/>
    <col min="1788" max="1788" width="12.453125" customWidth="1"/>
    <col min="1789" max="1789" width="10.08984375" customWidth="1"/>
    <col min="1790" max="1790" width="8.90625" customWidth="1"/>
    <col min="1791" max="1791" width="5.08984375" customWidth="1"/>
    <col min="1792" max="1792" width="17.90625" customWidth="1"/>
    <col min="1793" max="1793" width="10.90625" customWidth="1"/>
    <col min="1794" max="1794" width="9.6328125" customWidth="1"/>
    <col min="1795" max="1795" width="10.453125" customWidth="1"/>
    <col min="1796" max="1799" width="9.6328125" customWidth="1"/>
    <col min="1800" max="1800" width="9.90625" customWidth="1"/>
    <col min="1801" max="1810" width="9.6328125" customWidth="1"/>
    <col min="1898" max="1898" width="11.6328125" bestFit="1" customWidth="1"/>
    <col min="1899" max="1900" width="12.54296875" bestFit="1" customWidth="1"/>
    <col min="2044" max="2044" width="12.453125" customWidth="1"/>
    <col min="2045" max="2045" width="10.08984375" customWidth="1"/>
    <col min="2046" max="2046" width="8.90625" customWidth="1"/>
    <col min="2047" max="2047" width="5.08984375" customWidth="1"/>
    <col min="2048" max="2048" width="17.90625" customWidth="1"/>
    <col min="2049" max="2049" width="10.90625" customWidth="1"/>
    <col min="2050" max="2050" width="9.6328125" customWidth="1"/>
    <col min="2051" max="2051" width="10.453125" customWidth="1"/>
    <col min="2052" max="2055" width="9.6328125" customWidth="1"/>
    <col min="2056" max="2056" width="9.90625" customWidth="1"/>
    <col min="2057" max="2066" width="9.6328125" customWidth="1"/>
    <col min="2154" max="2154" width="11.6328125" bestFit="1" customWidth="1"/>
    <col min="2155" max="2156" width="12.54296875" bestFit="1" customWidth="1"/>
    <col min="2300" max="2300" width="12.453125" customWidth="1"/>
    <col min="2301" max="2301" width="10.08984375" customWidth="1"/>
    <col min="2302" max="2302" width="8.90625" customWidth="1"/>
    <col min="2303" max="2303" width="5.08984375" customWidth="1"/>
    <col min="2304" max="2304" width="17.90625" customWidth="1"/>
    <col min="2305" max="2305" width="10.90625" customWidth="1"/>
    <col min="2306" max="2306" width="9.6328125" customWidth="1"/>
    <col min="2307" max="2307" width="10.453125" customWidth="1"/>
    <col min="2308" max="2311" width="9.6328125" customWidth="1"/>
    <col min="2312" max="2312" width="9.90625" customWidth="1"/>
    <col min="2313" max="2322" width="9.6328125" customWidth="1"/>
    <col min="2410" max="2410" width="11.6328125" bestFit="1" customWidth="1"/>
    <col min="2411" max="2412" width="12.54296875" bestFit="1" customWidth="1"/>
    <col min="2556" max="2556" width="12.453125" customWidth="1"/>
    <col min="2557" max="2557" width="10.08984375" customWidth="1"/>
    <col min="2558" max="2558" width="8.90625" customWidth="1"/>
    <col min="2559" max="2559" width="5.08984375" customWidth="1"/>
    <col min="2560" max="2560" width="17.90625" customWidth="1"/>
    <col min="2561" max="2561" width="10.90625" customWidth="1"/>
    <col min="2562" max="2562" width="9.6328125" customWidth="1"/>
    <col min="2563" max="2563" width="10.453125" customWidth="1"/>
    <col min="2564" max="2567" width="9.6328125" customWidth="1"/>
    <col min="2568" max="2568" width="9.90625" customWidth="1"/>
    <col min="2569" max="2578" width="9.6328125" customWidth="1"/>
    <col min="2666" max="2666" width="11.6328125" bestFit="1" customWidth="1"/>
    <col min="2667" max="2668" width="12.54296875" bestFit="1" customWidth="1"/>
    <col min="2812" max="2812" width="12.453125" customWidth="1"/>
    <col min="2813" max="2813" width="10.08984375" customWidth="1"/>
    <col min="2814" max="2814" width="8.90625" customWidth="1"/>
    <col min="2815" max="2815" width="5.08984375" customWidth="1"/>
    <col min="2816" max="2816" width="17.90625" customWidth="1"/>
    <col min="2817" max="2817" width="10.90625" customWidth="1"/>
    <col min="2818" max="2818" width="9.6328125" customWidth="1"/>
    <col min="2819" max="2819" width="10.453125" customWidth="1"/>
    <col min="2820" max="2823" width="9.6328125" customWidth="1"/>
    <col min="2824" max="2824" width="9.90625" customWidth="1"/>
    <col min="2825" max="2834" width="9.6328125" customWidth="1"/>
    <col min="2922" max="2922" width="11.6328125" bestFit="1" customWidth="1"/>
    <col min="2923" max="2924" width="12.54296875" bestFit="1" customWidth="1"/>
    <col min="3068" max="3068" width="12.453125" customWidth="1"/>
    <col min="3069" max="3069" width="10.08984375" customWidth="1"/>
    <col min="3070" max="3070" width="8.90625" customWidth="1"/>
    <col min="3071" max="3071" width="5.08984375" customWidth="1"/>
    <col min="3072" max="3072" width="17.90625" customWidth="1"/>
    <col min="3073" max="3073" width="10.90625" customWidth="1"/>
    <col min="3074" max="3074" width="9.6328125" customWidth="1"/>
    <col min="3075" max="3075" width="10.453125" customWidth="1"/>
    <col min="3076" max="3079" width="9.6328125" customWidth="1"/>
    <col min="3080" max="3080" width="9.90625" customWidth="1"/>
    <col min="3081" max="3090" width="9.6328125" customWidth="1"/>
    <col min="3178" max="3178" width="11.6328125" bestFit="1" customWidth="1"/>
    <col min="3179" max="3180" width="12.54296875" bestFit="1" customWidth="1"/>
    <col min="3324" max="3324" width="12.453125" customWidth="1"/>
    <col min="3325" max="3325" width="10.08984375" customWidth="1"/>
    <col min="3326" max="3326" width="8.90625" customWidth="1"/>
    <col min="3327" max="3327" width="5.08984375" customWidth="1"/>
    <col min="3328" max="3328" width="17.90625" customWidth="1"/>
    <col min="3329" max="3329" width="10.90625" customWidth="1"/>
    <col min="3330" max="3330" width="9.6328125" customWidth="1"/>
    <col min="3331" max="3331" width="10.453125" customWidth="1"/>
    <col min="3332" max="3335" width="9.6328125" customWidth="1"/>
    <col min="3336" max="3336" width="9.90625" customWidth="1"/>
    <col min="3337" max="3346" width="9.6328125" customWidth="1"/>
    <col min="3434" max="3434" width="11.6328125" bestFit="1" customWidth="1"/>
    <col min="3435" max="3436" width="12.54296875" bestFit="1" customWidth="1"/>
    <col min="3580" max="3580" width="12.453125" customWidth="1"/>
    <col min="3581" max="3581" width="10.08984375" customWidth="1"/>
    <col min="3582" max="3582" width="8.90625" customWidth="1"/>
    <col min="3583" max="3583" width="5.08984375" customWidth="1"/>
    <col min="3584" max="3584" width="17.90625" customWidth="1"/>
    <col min="3585" max="3585" width="10.90625" customWidth="1"/>
    <col min="3586" max="3586" width="9.6328125" customWidth="1"/>
    <col min="3587" max="3587" width="10.453125" customWidth="1"/>
    <col min="3588" max="3591" width="9.6328125" customWidth="1"/>
    <col min="3592" max="3592" width="9.90625" customWidth="1"/>
    <col min="3593" max="3602" width="9.6328125" customWidth="1"/>
    <col min="3690" max="3690" width="11.6328125" bestFit="1" customWidth="1"/>
    <col min="3691" max="3692" width="12.54296875" bestFit="1" customWidth="1"/>
    <col min="3836" max="3836" width="12.453125" customWidth="1"/>
    <col min="3837" max="3837" width="10.08984375" customWidth="1"/>
    <col min="3838" max="3838" width="8.90625" customWidth="1"/>
    <col min="3839" max="3839" width="5.08984375" customWidth="1"/>
    <col min="3840" max="3840" width="17.90625" customWidth="1"/>
    <col min="3841" max="3841" width="10.90625" customWidth="1"/>
    <col min="3842" max="3842" width="9.6328125" customWidth="1"/>
    <col min="3843" max="3843" width="10.453125" customWidth="1"/>
    <col min="3844" max="3847" width="9.6328125" customWidth="1"/>
    <col min="3848" max="3848" width="9.90625" customWidth="1"/>
    <col min="3849" max="3858" width="9.6328125" customWidth="1"/>
    <col min="3946" max="3946" width="11.6328125" bestFit="1" customWidth="1"/>
    <col min="3947" max="3948" width="12.54296875" bestFit="1" customWidth="1"/>
    <col min="4092" max="4092" width="12.453125" customWidth="1"/>
    <col min="4093" max="4093" width="10.08984375" customWidth="1"/>
    <col min="4094" max="4094" width="8.90625" customWidth="1"/>
    <col min="4095" max="4095" width="5.08984375" customWidth="1"/>
    <col min="4096" max="4096" width="17.90625" customWidth="1"/>
    <col min="4097" max="4097" width="10.90625" customWidth="1"/>
    <col min="4098" max="4098" width="9.6328125" customWidth="1"/>
    <col min="4099" max="4099" width="10.453125" customWidth="1"/>
    <col min="4100" max="4103" width="9.6328125" customWidth="1"/>
    <col min="4104" max="4104" width="9.90625" customWidth="1"/>
    <col min="4105" max="4114" width="9.6328125" customWidth="1"/>
    <col min="4202" max="4202" width="11.6328125" bestFit="1" customWidth="1"/>
    <col min="4203" max="4204" width="12.54296875" bestFit="1" customWidth="1"/>
    <col min="4348" max="4348" width="12.453125" customWidth="1"/>
    <col min="4349" max="4349" width="10.08984375" customWidth="1"/>
    <col min="4350" max="4350" width="8.90625" customWidth="1"/>
    <col min="4351" max="4351" width="5.08984375" customWidth="1"/>
    <col min="4352" max="4352" width="17.90625" customWidth="1"/>
    <col min="4353" max="4353" width="10.90625" customWidth="1"/>
    <col min="4354" max="4354" width="9.6328125" customWidth="1"/>
    <col min="4355" max="4355" width="10.453125" customWidth="1"/>
    <col min="4356" max="4359" width="9.6328125" customWidth="1"/>
    <col min="4360" max="4360" width="9.90625" customWidth="1"/>
    <col min="4361" max="4370" width="9.6328125" customWidth="1"/>
    <col min="4458" max="4458" width="11.6328125" bestFit="1" customWidth="1"/>
    <col min="4459" max="4460" width="12.54296875" bestFit="1" customWidth="1"/>
    <col min="4604" max="4604" width="12.453125" customWidth="1"/>
    <col min="4605" max="4605" width="10.08984375" customWidth="1"/>
    <col min="4606" max="4606" width="8.90625" customWidth="1"/>
    <col min="4607" max="4607" width="5.08984375" customWidth="1"/>
    <col min="4608" max="4608" width="17.90625" customWidth="1"/>
    <col min="4609" max="4609" width="10.90625" customWidth="1"/>
    <col min="4610" max="4610" width="9.6328125" customWidth="1"/>
    <col min="4611" max="4611" width="10.453125" customWidth="1"/>
    <col min="4612" max="4615" width="9.6328125" customWidth="1"/>
    <col min="4616" max="4616" width="9.90625" customWidth="1"/>
    <col min="4617" max="4626" width="9.6328125" customWidth="1"/>
    <col min="4714" max="4714" width="11.6328125" bestFit="1" customWidth="1"/>
    <col min="4715" max="4716" width="12.54296875" bestFit="1" customWidth="1"/>
    <col min="4860" max="4860" width="12.453125" customWidth="1"/>
    <col min="4861" max="4861" width="10.08984375" customWidth="1"/>
    <col min="4862" max="4862" width="8.90625" customWidth="1"/>
    <col min="4863" max="4863" width="5.08984375" customWidth="1"/>
    <col min="4864" max="4864" width="17.90625" customWidth="1"/>
    <col min="4865" max="4865" width="10.90625" customWidth="1"/>
    <col min="4866" max="4866" width="9.6328125" customWidth="1"/>
    <col min="4867" max="4867" width="10.453125" customWidth="1"/>
    <col min="4868" max="4871" width="9.6328125" customWidth="1"/>
    <col min="4872" max="4872" width="9.90625" customWidth="1"/>
    <col min="4873" max="4882" width="9.6328125" customWidth="1"/>
    <col min="4970" max="4970" width="11.6328125" bestFit="1" customWidth="1"/>
    <col min="4971" max="4972" width="12.54296875" bestFit="1" customWidth="1"/>
    <col min="5116" max="5116" width="12.453125" customWidth="1"/>
    <col min="5117" max="5117" width="10.08984375" customWidth="1"/>
    <col min="5118" max="5118" width="8.90625" customWidth="1"/>
    <col min="5119" max="5119" width="5.08984375" customWidth="1"/>
    <col min="5120" max="5120" width="17.90625" customWidth="1"/>
    <col min="5121" max="5121" width="10.90625" customWidth="1"/>
    <col min="5122" max="5122" width="9.6328125" customWidth="1"/>
    <col min="5123" max="5123" width="10.453125" customWidth="1"/>
    <col min="5124" max="5127" width="9.6328125" customWidth="1"/>
    <col min="5128" max="5128" width="9.90625" customWidth="1"/>
    <col min="5129" max="5138" width="9.6328125" customWidth="1"/>
    <col min="5226" max="5226" width="11.6328125" bestFit="1" customWidth="1"/>
    <col min="5227" max="5228" width="12.54296875" bestFit="1" customWidth="1"/>
    <col min="5372" max="5372" width="12.453125" customWidth="1"/>
    <col min="5373" max="5373" width="10.08984375" customWidth="1"/>
    <col min="5374" max="5374" width="8.90625" customWidth="1"/>
    <col min="5375" max="5375" width="5.08984375" customWidth="1"/>
    <col min="5376" max="5376" width="17.90625" customWidth="1"/>
    <col min="5377" max="5377" width="10.90625" customWidth="1"/>
    <col min="5378" max="5378" width="9.6328125" customWidth="1"/>
    <col min="5379" max="5379" width="10.453125" customWidth="1"/>
    <col min="5380" max="5383" width="9.6328125" customWidth="1"/>
    <col min="5384" max="5384" width="9.90625" customWidth="1"/>
    <col min="5385" max="5394" width="9.6328125" customWidth="1"/>
    <col min="5482" max="5482" width="11.6328125" bestFit="1" customWidth="1"/>
    <col min="5483" max="5484" width="12.54296875" bestFit="1" customWidth="1"/>
    <col min="5628" max="5628" width="12.453125" customWidth="1"/>
    <col min="5629" max="5629" width="10.08984375" customWidth="1"/>
    <col min="5630" max="5630" width="8.90625" customWidth="1"/>
    <col min="5631" max="5631" width="5.08984375" customWidth="1"/>
    <col min="5632" max="5632" width="17.90625" customWidth="1"/>
    <col min="5633" max="5633" width="10.90625" customWidth="1"/>
    <col min="5634" max="5634" width="9.6328125" customWidth="1"/>
    <col min="5635" max="5635" width="10.453125" customWidth="1"/>
    <col min="5636" max="5639" width="9.6328125" customWidth="1"/>
    <col min="5640" max="5640" width="9.90625" customWidth="1"/>
    <col min="5641" max="5650" width="9.6328125" customWidth="1"/>
    <col min="5738" max="5738" width="11.6328125" bestFit="1" customWidth="1"/>
    <col min="5739" max="5740" width="12.54296875" bestFit="1" customWidth="1"/>
    <col min="5884" max="5884" width="12.453125" customWidth="1"/>
    <col min="5885" max="5885" width="10.08984375" customWidth="1"/>
    <col min="5886" max="5886" width="8.90625" customWidth="1"/>
    <col min="5887" max="5887" width="5.08984375" customWidth="1"/>
    <col min="5888" max="5888" width="17.90625" customWidth="1"/>
    <col min="5889" max="5889" width="10.90625" customWidth="1"/>
    <col min="5890" max="5890" width="9.6328125" customWidth="1"/>
    <col min="5891" max="5891" width="10.453125" customWidth="1"/>
    <col min="5892" max="5895" width="9.6328125" customWidth="1"/>
    <col min="5896" max="5896" width="9.90625" customWidth="1"/>
    <col min="5897" max="5906" width="9.6328125" customWidth="1"/>
    <col min="5994" max="5994" width="11.6328125" bestFit="1" customWidth="1"/>
    <col min="5995" max="5996" width="12.54296875" bestFit="1" customWidth="1"/>
    <col min="6140" max="6140" width="12.453125" customWidth="1"/>
    <col min="6141" max="6141" width="10.08984375" customWidth="1"/>
    <col min="6142" max="6142" width="8.90625" customWidth="1"/>
    <col min="6143" max="6143" width="5.08984375" customWidth="1"/>
    <col min="6144" max="6144" width="17.90625" customWidth="1"/>
    <col min="6145" max="6145" width="10.90625" customWidth="1"/>
    <col min="6146" max="6146" width="9.6328125" customWidth="1"/>
    <col min="6147" max="6147" width="10.453125" customWidth="1"/>
    <col min="6148" max="6151" width="9.6328125" customWidth="1"/>
    <col min="6152" max="6152" width="9.90625" customWidth="1"/>
    <col min="6153" max="6162" width="9.6328125" customWidth="1"/>
    <col min="6250" max="6250" width="11.6328125" bestFit="1" customWidth="1"/>
    <col min="6251" max="6252" width="12.54296875" bestFit="1" customWidth="1"/>
    <col min="6396" max="6396" width="12.453125" customWidth="1"/>
    <col min="6397" max="6397" width="10.08984375" customWidth="1"/>
    <col min="6398" max="6398" width="8.90625" customWidth="1"/>
    <col min="6399" max="6399" width="5.08984375" customWidth="1"/>
    <col min="6400" max="6400" width="17.90625" customWidth="1"/>
    <col min="6401" max="6401" width="10.90625" customWidth="1"/>
    <col min="6402" max="6402" width="9.6328125" customWidth="1"/>
    <col min="6403" max="6403" width="10.453125" customWidth="1"/>
    <col min="6404" max="6407" width="9.6328125" customWidth="1"/>
    <col min="6408" max="6408" width="9.90625" customWidth="1"/>
    <col min="6409" max="6418" width="9.6328125" customWidth="1"/>
    <col min="6506" max="6506" width="11.6328125" bestFit="1" customWidth="1"/>
    <col min="6507" max="6508" width="12.54296875" bestFit="1" customWidth="1"/>
    <col min="6652" max="6652" width="12.453125" customWidth="1"/>
    <col min="6653" max="6653" width="10.08984375" customWidth="1"/>
    <col min="6654" max="6654" width="8.90625" customWidth="1"/>
    <col min="6655" max="6655" width="5.08984375" customWidth="1"/>
    <col min="6656" max="6656" width="17.90625" customWidth="1"/>
    <col min="6657" max="6657" width="10.90625" customWidth="1"/>
    <col min="6658" max="6658" width="9.6328125" customWidth="1"/>
    <col min="6659" max="6659" width="10.453125" customWidth="1"/>
    <col min="6660" max="6663" width="9.6328125" customWidth="1"/>
    <col min="6664" max="6664" width="9.90625" customWidth="1"/>
    <col min="6665" max="6674" width="9.6328125" customWidth="1"/>
    <col min="6762" max="6762" width="11.6328125" bestFit="1" customWidth="1"/>
    <col min="6763" max="6764" width="12.54296875" bestFit="1" customWidth="1"/>
    <col min="6908" max="6908" width="12.453125" customWidth="1"/>
    <col min="6909" max="6909" width="10.08984375" customWidth="1"/>
    <col min="6910" max="6910" width="8.90625" customWidth="1"/>
    <col min="6911" max="6911" width="5.08984375" customWidth="1"/>
    <col min="6912" max="6912" width="17.90625" customWidth="1"/>
    <col min="6913" max="6913" width="10.90625" customWidth="1"/>
    <col min="6914" max="6914" width="9.6328125" customWidth="1"/>
    <col min="6915" max="6915" width="10.453125" customWidth="1"/>
    <col min="6916" max="6919" width="9.6328125" customWidth="1"/>
    <col min="6920" max="6920" width="9.90625" customWidth="1"/>
    <col min="6921" max="6930" width="9.6328125" customWidth="1"/>
    <col min="7018" max="7018" width="11.6328125" bestFit="1" customWidth="1"/>
    <col min="7019" max="7020" width="12.54296875" bestFit="1" customWidth="1"/>
    <col min="7164" max="7164" width="12.453125" customWidth="1"/>
    <col min="7165" max="7165" width="10.08984375" customWidth="1"/>
    <col min="7166" max="7166" width="8.90625" customWidth="1"/>
    <col min="7167" max="7167" width="5.08984375" customWidth="1"/>
    <col min="7168" max="7168" width="17.90625" customWidth="1"/>
    <col min="7169" max="7169" width="10.90625" customWidth="1"/>
    <col min="7170" max="7170" width="9.6328125" customWidth="1"/>
    <col min="7171" max="7171" width="10.453125" customWidth="1"/>
    <col min="7172" max="7175" width="9.6328125" customWidth="1"/>
    <col min="7176" max="7176" width="9.90625" customWidth="1"/>
    <col min="7177" max="7186" width="9.6328125" customWidth="1"/>
    <col min="7274" max="7274" width="11.6328125" bestFit="1" customWidth="1"/>
    <col min="7275" max="7276" width="12.54296875" bestFit="1" customWidth="1"/>
    <col min="7420" max="7420" width="12.453125" customWidth="1"/>
    <col min="7421" max="7421" width="10.08984375" customWidth="1"/>
    <col min="7422" max="7422" width="8.90625" customWidth="1"/>
    <col min="7423" max="7423" width="5.08984375" customWidth="1"/>
    <col min="7424" max="7424" width="17.90625" customWidth="1"/>
    <col min="7425" max="7425" width="10.90625" customWidth="1"/>
    <col min="7426" max="7426" width="9.6328125" customWidth="1"/>
    <col min="7427" max="7427" width="10.453125" customWidth="1"/>
    <col min="7428" max="7431" width="9.6328125" customWidth="1"/>
    <col min="7432" max="7432" width="9.90625" customWidth="1"/>
    <col min="7433" max="7442" width="9.6328125" customWidth="1"/>
    <col min="7530" max="7530" width="11.6328125" bestFit="1" customWidth="1"/>
    <col min="7531" max="7532" width="12.54296875" bestFit="1" customWidth="1"/>
    <col min="7676" max="7676" width="12.453125" customWidth="1"/>
    <col min="7677" max="7677" width="10.08984375" customWidth="1"/>
    <col min="7678" max="7678" width="8.90625" customWidth="1"/>
    <col min="7679" max="7679" width="5.08984375" customWidth="1"/>
    <col min="7680" max="7680" width="17.90625" customWidth="1"/>
    <col min="7681" max="7681" width="10.90625" customWidth="1"/>
    <col min="7682" max="7682" width="9.6328125" customWidth="1"/>
    <col min="7683" max="7683" width="10.453125" customWidth="1"/>
    <col min="7684" max="7687" width="9.6328125" customWidth="1"/>
    <col min="7688" max="7688" width="9.90625" customWidth="1"/>
    <col min="7689" max="7698" width="9.6328125" customWidth="1"/>
    <col min="7786" max="7786" width="11.6328125" bestFit="1" customWidth="1"/>
    <col min="7787" max="7788" width="12.54296875" bestFit="1" customWidth="1"/>
    <col min="7932" max="7932" width="12.453125" customWidth="1"/>
    <col min="7933" max="7933" width="10.08984375" customWidth="1"/>
    <col min="7934" max="7934" width="8.90625" customWidth="1"/>
    <col min="7935" max="7935" width="5.08984375" customWidth="1"/>
    <col min="7936" max="7936" width="17.90625" customWidth="1"/>
    <col min="7937" max="7937" width="10.90625" customWidth="1"/>
    <col min="7938" max="7938" width="9.6328125" customWidth="1"/>
    <col min="7939" max="7939" width="10.453125" customWidth="1"/>
    <col min="7940" max="7943" width="9.6328125" customWidth="1"/>
    <col min="7944" max="7944" width="9.90625" customWidth="1"/>
    <col min="7945" max="7954" width="9.6328125" customWidth="1"/>
    <col min="8042" max="8042" width="11.6328125" bestFit="1" customWidth="1"/>
    <col min="8043" max="8044" width="12.54296875" bestFit="1" customWidth="1"/>
    <col min="8188" max="8188" width="12.453125" customWidth="1"/>
    <col min="8189" max="8189" width="10.08984375" customWidth="1"/>
    <col min="8190" max="8190" width="8.90625" customWidth="1"/>
    <col min="8191" max="8191" width="5.08984375" customWidth="1"/>
    <col min="8192" max="8192" width="17.90625" customWidth="1"/>
    <col min="8193" max="8193" width="10.90625" customWidth="1"/>
    <col min="8194" max="8194" width="9.6328125" customWidth="1"/>
    <col min="8195" max="8195" width="10.453125" customWidth="1"/>
    <col min="8196" max="8199" width="9.6328125" customWidth="1"/>
    <col min="8200" max="8200" width="9.90625" customWidth="1"/>
    <col min="8201" max="8210" width="9.6328125" customWidth="1"/>
    <col min="8298" max="8298" width="11.6328125" bestFit="1" customWidth="1"/>
    <col min="8299" max="8300" width="12.54296875" bestFit="1" customWidth="1"/>
    <col min="8444" max="8444" width="12.453125" customWidth="1"/>
    <col min="8445" max="8445" width="10.08984375" customWidth="1"/>
    <col min="8446" max="8446" width="8.90625" customWidth="1"/>
    <col min="8447" max="8447" width="5.08984375" customWidth="1"/>
    <col min="8448" max="8448" width="17.90625" customWidth="1"/>
    <col min="8449" max="8449" width="10.90625" customWidth="1"/>
    <col min="8450" max="8450" width="9.6328125" customWidth="1"/>
    <col min="8451" max="8451" width="10.453125" customWidth="1"/>
    <col min="8452" max="8455" width="9.6328125" customWidth="1"/>
    <col min="8456" max="8456" width="9.90625" customWidth="1"/>
    <col min="8457" max="8466" width="9.6328125" customWidth="1"/>
    <col min="8554" max="8554" width="11.6328125" bestFit="1" customWidth="1"/>
    <col min="8555" max="8556" width="12.54296875" bestFit="1" customWidth="1"/>
    <col min="8700" max="8700" width="12.453125" customWidth="1"/>
    <col min="8701" max="8701" width="10.08984375" customWidth="1"/>
    <col min="8702" max="8702" width="8.90625" customWidth="1"/>
    <col min="8703" max="8703" width="5.08984375" customWidth="1"/>
    <col min="8704" max="8704" width="17.90625" customWidth="1"/>
    <col min="8705" max="8705" width="10.90625" customWidth="1"/>
    <col min="8706" max="8706" width="9.6328125" customWidth="1"/>
    <col min="8707" max="8707" width="10.453125" customWidth="1"/>
    <col min="8708" max="8711" width="9.6328125" customWidth="1"/>
    <col min="8712" max="8712" width="9.90625" customWidth="1"/>
    <col min="8713" max="8722" width="9.6328125" customWidth="1"/>
    <col min="8810" max="8810" width="11.6328125" bestFit="1" customWidth="1"/>
    <col min="8811" max="8812" width="12.54296875" bestFit="1" customWidth="1"/>
    <col min="8956" max="8956" width="12.453125" customWidth="1"/>
    <col min="8957" max="8957" width="10.08984375" customWidth="1"/>
    <col min="8958" max="8958" width="8.90625" customWidth="1"/>
    <col min="8959" max="8959" width="5.08984375" customWidth="1"/>
    <col min="8960" max="8960" width="17.90625" customWidth="1"/>
    <col min="8961" max="8961" width="10.90625" customWidth="1"/>
    <col min="8962" max="8962" width="9.6328125" customWidth="1"/>
    <col min="8963" max="8963" width="10.453125" customWidth="1"/>
    <col min="8964" max="8967" width="9.6328125" customWidth="1"/>
    <col min="8968" max="8968" width="9.90625" customWidth="1"/>
    <col min="8969" max="8978" width="9.6328125" customWidth="1"/>
    <col min="9066" max="9066" width="11.6328125" bestFit="1" customWidth="1"/>
    <col min="9067" max="9068" width="12.54296875" bestFit="1" customWidth="1"/>
    <col min="9212" max="9212" width="12.453125" customWidth="1"/>
    <col min="9213" max="9213" width="10.08984375" customWidth="1"/>
    <col min="9214" max="9214" width="8.90625" customWidth="1"/>
    <col min="9215" max="9215" width="5.08984375" customWidth="1"/>
    <col min="9216" max="9216" width="17.90625" customWidth="1"/>
    <col min="9217" max="9217" width="10.90625" customWidth="1"/>
    <col min="9218" max="9218" width="9.6328125" customWidth="1"/>
    <col min="9219" max="9219" width="10.453125" customWidth="1"/>
    <col min="9220" max="9223" width="9.6328125" customWidth="1"/>
    <col min="9224" max="9224" width="9.90625" customWidth="1"/>
    <col min="9225" max="9234" width="9.6328125" customWidth="1"/>
    <col min="9322" max="9322" width="11.6328125" bestFit="1" customWidth="1"/>
    <col min="9323" max="9324" width="12.54296875" bestFit="1" customWidth="1"/>
    <col min="9468" max="9468" width="12.453125" customWidth="1"/>
    <col min="9469" max="9469" width="10.08984375" customWidth="1"/>
    <col min="9470" max="9470" width="8.90625" customWidth="1"/>
    <col min="9471" max="9471" width="5.08984375" customWidth="1"/>
    <col min="9472" max="9472" width="17.90625" customWidth="1"/>
    <col min="9473" max="9473" width="10.90625" customWidth="1"/>
    <col min="9474" max="9474" width="9.6328125" customWidth="1"/>
    <col min="9475" max="9475" width="10.453125" customWidth="1"/>
    <col min="9476" max="9479" width="9.6328125" customWidth="1"/>
    <col min="9480" max="9480" width="9.90625" customWidth="1"/>
    <col min="9481" max="9490" width="9.6328125" customWidth="1"/>
    <col min="9578" max="9578" width="11.6328125" bestFit="1" customWidth="1"/>
    <col min="9579" max="9580" width="12.54296875" bestFit="1" customWidth="1"/>
    <col min="9724" max="9724" width="12.453125" customWidth="1"/>
    <col min="9725" max="9725" width="10.08984375" customWidth="1"/>
    <col min="9726" max="9726" width="8.90625" customWidth="1"/>
    <col min="9727" max="9727" width="5.08984375" customWidth="1"/>
    <col min="9728" max="9728" width="17.90625" customWidth="1"/>
    <col min="9729" max="9729" width="10.90625" customWidth="1"/>
    <col min="9730" max="9730" width="9.6328125" customWidth="1"/>
    <col min="9731" max="9731" width="10.453125" customWidth="1"/>
    <col min="9732" max="9735" width="9.6328125" customWidth="1"/>
    <col min="9736" max="9736" width="9.90625" customWidth="1"/>
    <col min="9737" max="9746" width="9.6328125" customWidth="1"/>
    <col min="9834" max="9834" width="11.6328125" bestFit="1" customWidth="1"/>
    <col min="9835" max="9836" width="12.54296875" bestFit="1" customWidth="1"/>
    <col min="9980" max="9980" width="12.453125" customWidth="1"/>
    <col min="9981" max="9981" width="10.08984375" customWidth="1"/>
    <col min="9982" max="9982" width="8.90625" customWidth="1"/>
    <col min="9983" max="9983" width="5.08984375" customWidth="1"/>
    <col min="9984" max="9984" width="17.90625" customWidth="1"/>
    <col min="9985" max="9985" width="10.90625" customWidth="1"/>
    <col min="9986" max="9986" width="9.6328125" customWidth="1"/>
    <col min="9987" max="9987" width="10.453125" customWidth="1"/>
    <col min="9988" max="9991" width="9.6328125" customWidth="1"/>
    <col min="9992" max="9992" width="9.90625" customWidth="1"/>
    <col min="9993" max="10002" width="9.6328125" customWidth="1"/>
    <col min="10090" max="10090" width="11.6328125" bestFit="1" customWidth="1"/>
    <col min="10091" max="10092" width="12.54296875" bestFit="1" customWidth="1"/>
    <col min="10236" max="10236" width="12.453125" customWidth="1"/>
    <col min="10237" max="10237" width="10.08984375" customWidth="1"/>
    <col min="10238" max="10238" width="8.90625" customWidth="1"/>
    <col min="10239" max="10239" width="5.08984375" customWidth="1"/>
    <col min="10240" max="10240" width="17.90625" customWidth="1"/>
    <col min="10241" max="10241" width="10.90625" customWidth="1"/>
    <col min="10242" max="10242" width="9.6328125" customWidth="1"/>
    <col min="10243" max="10243" width="10.453125" customWidth="1"/>
    <col min="10244" max="10247" width="9.6328125" customWidth="1"/>
    <col min="10248" max="10248" width="9.90625" customWidth="1"/>
    <col min="10249" max="10258" width="9.6328125" customWidth="1"/>
    <col min="10346" max="10346" width="11.6328125" bestFit="1" customWidth="1"/>
    <col min="10347" max="10348" width="12.54296875" bestFit="1" customWidth="1"/>
    <col min="10492" max="10492" width="12.453125" customWidth="1"/>
    <col min="10493" max="10493" width="10.08984375" customWidth="1"/>
    <col min="10494" max="10494" width="8.90625" customWidth="1"/>
    <col min="10495" max="10495" width="5.08984375" customWidth="1"/>
    <col min="10496" max="10496" width="17.90625" customWidth="1"/>
    <col min="10497" max="10497" width="10.90625" customWidth="1"/>
    <col min="10498" max="10498" width="9.6328125" customWidth="1"/>
    <col min="10499" max="10499" width="10.453125" customWidth="1"/>
    <col min="10500" max="10503" width="9.6328125" customWidth="1"/>
    <col min="10504" max="10504" width="9.90625" customWidth="1"/>
    <col min="10505" max="10514" width="9.6328125" customWidth="1"/>
    <col min="10602" max="10602" width="11.6328125" bestFit="1" customWidth="1"/>
    <col min="10603" max="10604" width="12.54296875" bestFit="1" customWidth="1"/>
    <col min="10748" max="10748" width="12.453125" customWidth="1"/>
    <col min="10749" max="10749" width="10.08984375" customWidth="1"/>
    <col min="10750" max="10750" width="8.90625" customWidth="1"/>
    <col min="10751" max="10751" width="5.08984375" customWidth="1"/>
    <col min="10752" max="10752" width="17.90625" customWidth="1"/>
    <col min="10753" max="10753" width="10.90625" customWidth="1"/>
    <col min="10754" max="10754" width="9.6328125" customWidth="1"/>
    <col min="10755" max="10755" width="10.453125" customWidth="1"/>
    <col min="10756" max="10759" width="9.6328125" customWidth="1"/>
    <col min="10760" max="10760" width="9.90625" customWidth="1"/>
    <col min="10761" max="10770" width="9.6328125" customWidth="1"/>
    <col min="10858" max="10858" width="11.6328125" bestFit="1" customWidth="1"/>
    <col min="10859" max="10860" width="12.54296875" bestFit="1" customWidth="1"/>
    <col min="11004" max="11004" width="12.453125" customWidth="1"/>
    <col min="11005" max="11005" width="10.08984375" customWidth="1"/>
    <col min="11006" max="11006" width="8.90625" customWidth="1"/>
    <col min="11007" max="11007" width="5.08984375" customWidth="1"/>
    <col min="11008" max="11008" width="17.90625" customWidth="1"/>
    <col min="11009" max="11009" width="10.90625" customWidth="1"/>
    <col min="11010" max="11010" width="9.6328125" customWidth="1"/>
    <col min="11011" max="11011" width="10.453125" customWidth="1"/>
    <col min="11012" max="11015" width="9.6328125" customWidth="1"/>
    <col min="11016" max="11016" width="9.90625" customWidth="1"/>
    <col min="11017" max="11026" width="9.6328125" customWidth="1"/>
    <col min="11114" max="11114" width="11.6328125" bestFit="1" customWidth="1"/>
    <col min="11115" max="11116" width="12.54296875" bestFit="1" customWidth="1"/>
    <col min="11260" max="11260" width="12.453125" customWidth="1"/>
    <col min="11261" max="11261" width="10.08984375" customWidth="1"/>
    <col min="11262" max="11262" width="8.90625" customWidth="1"/>
    <col min="11263" max="11263" width="5.08984375" customWidth="1"/>
    <col min="11264" max="11264" width="17.90625" customWidth="1"/>
    <col min="11265" max="11265" width="10.90625" customWidth="1"/>
    <col min="11266" max="11266" width="9.6328125" customWidth="1"/>
    <col min="11267" max="11267" width="10.453125" customWidth="1"/>
    <col min="11268" max="11271" width="9.6328125" customWidth="1"/>
    <col min="11272" max="11272" width="9.90625" customWidth="1"/>
    <col min="11273" max="11282" width="9.6328125" customWidth="1"/>
    <col min="11370" max="11370" width="11.6328125" bestFit="1" customWidth="1"/>
    <col min="11371" max="11372" width="12.54296875" bestFit="1" customWidth="1"/>
    <col min="11516" max="11516" width="12.453125" customWidth="1"/>
    <col min="11517" max="11517" width="10.08984375" customWidth="1"/>
    <col min="11518" max="11518" width="8.90625" customWidth="1"/>
    <col min="11519" max="11519" width="5.08984375" customWidth="1"/>
    <col min="11520" max="11520" width="17.90625" customWidth="1"/>
    <col min="11521" max="11521" width="10.90625" customWidth="1"/>
    <col min="11522" max="11522" width="9.6328125" customWidth="1"/>
    <col min="11523" max="11523" width="10.453125" customWidth="1"/>
    <col min="11524" max="11527" width="9.6328125" customWidth="1"/>
    <col min="11528" max="11528" width="9.90625" customWidth="1"/>
    <col min="11529" max="11538" width="9.6328125" customWidth="1"/>
    <col min="11626" max="11626" width="11.6328125" bestFit="1" customWidth="1"/>
    <col min="11627" max="11628" width="12.54296875" bestFit="1" customWidth="1"/>
    <col min="11772" max="11772" width="12.453125" customWidth="1"/>
    <col min="11773" max="11773" width="10.08984375" customWidth="1"/>
    <col min="11774" max="11774" width="8.90625" customWidth="1"/>
    <col min="11775" max="11775" width="5.08984375" customWidth="1"/>
    <col min="11776" max="11776" width="17.90625" customWidth="1"/>
    <col min="11777" max="11777" width="10.90625" customWidth="1"/>
    <col min="11778" max="11778" width="9.6328125" customWidth="1"/>
    <col min="11779" max="11779" width="10.453125" customWidth="1"/>
    <col min="11780" max="11783" width="9.6328125" customWidth="1"/>
    <col min="11784" max="11784" width="9.90625" customWidth="1"/>
    <col min="11785" max="11794" width="9.6328125" customWidth="1"/>
    <col min="11882" max="11882" width="11.6328125" bestFit="1" customWidth="1"/>
    <col min="11883" max="11884" width="12.54296875" bestFit="1" customWidth="1"/>
    <col min="12028" max="12028" width="12.453125" customWidth="1"/>
    <col min="12029" max="12029" width="10.08984375" customWidth="1"/>
    <col min="12030" max="12030" width="8.90625" customWidth="1"/>
    <col min="12031" max="12031" width="5.08984375" customWidth="1"/>
    <col min="12032" max="12032" width="17.90625" customWidth="1"/>
    <col min="12033" max="12033" width="10.90625" customWidth="1"/>
    <col min="12034" max="12034" width="9.6328125" customWidth="1"/>
    <col min="12035" max="12035" width="10.453125" customWidth="1"/>
    <col min="12036" max="12039" width="9.6328125" customWidth="1"/>
    <col min="12040" max="12040" width="9.90625" customWidth="1"/>
    <col min="12041" max="12050" width="9.6328125" customWidth="1"/>
    <col min="12138" max="12138" width="11.6328125" bestFit="1" customWidth="1"/>
    <col min="12139" max="12140" width="12.54296875" bestFit="1" customWidth="1"/>
    <col min="12284" max="12284" width="12.453125" customWidth="1"/>
    <col min="12285" max="12285" width="10.08984375" customWidth="1"/>
    <col min="12286" max="12286" width="8.90625" customWidth="1"/>
    <col min="12287" max="12287" width="5.08984375" customWidth="1"/>
    <col min="12288" max="12288" width="17.90625" customWidth="1"/>
    <col min="12289" max="12289" width="10.90625" customWidth="1"/>
    <col min="12290" max="12290" width="9.6328125" customWidth="1"/>
    <col min="12291" max="12291" width="10.453125" customWidth="1"/>
    <col min="12292" max="12295" width="9.6328125" customWidth="1"/>
    <col min="12296" max="12296" width="9.90625" customWidth="1"/>
    <col min="12297" max="12306" width="9.6328125" customWidth="1"/>
    <col min="12394" max="12394" width="11.6328125" bestFit="1" customWidth="1"/>
    <col min="12395" max="12396" width="12.54296875" bestFit="1" customWidth="1"/>
    <col min="12540" max="12540" width="12.453125" customWidth="1"/>
    <col min="12541" max="12541" width="10.08984375" customWidth="1"/>
    <col min="12542" max="12542" width="8.90625" customWidth="1"/>
    <col min="12543" max="12543" width="5.08984375" customWidth="1"/>
    <col min="12544" max="12544" width="17.90625" customWidth="1"/>
    <col min="12545" max="12545" width="10.90625" customWidth="1"/>
    <col min="12546" max="12546" width="9.6328125" customWidth="1"/>
    <col min="12547" max="12547" width="10.453125" customWidth="1"/>
    <col min="12548" max="12551" width="9.6328125" customWidth="1"/>
    <col min="12552" max="12552" width="9.90625" customWidth="1"/>
    <col min="12553" max="12562" width="9.6328125" customWidth="1"/>
    <col min="12650" max="12650" width="11.6328125" bestFit="1" customWidth="1"/>
    <col min="12651" max="12652" width="12.54296875" bestFit="1" customWidth="1"/>
    <col min="12796" max="12796" width="12.453125" customWidth="1"/>
    <col min="12797" max="12797" width="10.08984375" customWidth="1"/>
    <col min="12798" max="12798" width="8.90625" customWidth="1"/>
    <col min="12799" max="12799" width="5.08984375" customWidth="1"/>
    <col min="12800" max="12800" width="17.90625" customWidth="1"/>
    <col min="12801" max="12801" width="10.90625" customWidth="1"/>
    <col min="12802" max="12802" width="9.6328125" customWidth="1"/>
    <col min="12803" max="12803" width="10.453125" customWidth="1"/>
    <col min="12804" max="12807" width="9.6328125" customWidth="1"/>
    <col min="12808" max="12808" width="9.90625" customWidth="1"/>
    <col min="12809" max="12818" width="9.6328125" customWidth="1"/>
    <col min="12906" max="12906" width="11.6328125" bestFit="1" customWidth="1"/>
    <col min="12907" max="12908" width="12.54296875" bestFit="1" customWidth="1"/>
    <col min="13052" max="13052" width="12.453125" customWidth="1"/>
    <col min="13053" max="13053" width="10.08984375" customWidth="1"/>
    <col min="13054" max="13054" width="8.90625" customWidth="1"/>
    <col min="13055" max="13055" width="5.08984375" customWidth="1"/>
    <col min="13056" max="13056" width="17.90625" customWidth="1"/>
    <col min="13057" max="13057" width="10.90625" customWidth="1"/>
    <col min="13058" max="13058" width="9.6328125" customWidth="1"/>
    <col min="13059" max="13059" width="10.453125" customWidth="1"/>
    <col min="13060" max="13063" width="9.6328125" customWidth="1"/>
    <col min="13064" max="13064" width="9.90625" customWidth="1"/>
    <col min="13065" max="13074" width="9.6328125" customWidth="1"/>
    <col min="13162" max="13162" width="11.6328125" bestFit="1" customWidth="1"/>
    <col min="13163" max="13164" width="12.54296875" bestFit="1" customWidth="1"/>
    <col min="13308" max="13308" width="12.453125" customWidth="1"/>
    <col min="13309" max="13309" width="10.08984375" customWidth="1"/>
    <col min="13310" max="13310" width="8.90625" customWidth="1"/>
    <col min="13311" max="13311" width="5.08984375" customWidth="1"/>
    <col min="13312" max="13312" width="17.90625" customWidth="1"/>
    <col min="13313" max="13313" width="10.90625" customWidth="1"/>
    <col min="13314" max="13314" width="9.6328125" customWidth="1"/>
    <col min="13315" max="13315" width="10.453125" customWidth="1"/>
    <col min="13316" max="13319" width="9.6328125" customWidth="1"/>
    <col min="13320" max="13320" width="9.90625" customWidth="1"/>
    <col min="13321" max="13330" width="9.6328125" customWidth="1"/>
    <col min="13418" max="13418" width="11.6328125" bestFit="1" customWidth="1"/>
    <col min="13419" max="13420" width="12.54296875" bestFit="1" customWidth="1"/>
    <col min="13564" max="13564" width="12.453125" customWidth="1"/>
    <col min="13565" max="13565" width="10.08984375" customWidth="1"/>
    <col min="13566" max="13566" width="8.90625" customWidth="1"/>
    <col min="13567" max="13567" width="5.08984375" customWidth="1"/>
    <col min="13568" max="13568" width="17.90625" customWidth="1"/>
    <col min="13569" max="13569" width="10.90625" customWidth="1"/>
    <col min="13570" max="13570" width="9.6328125" customWidth="1"/>
    <col min="13571" max="13571" width="10.453125" customWidth="1"/>
    <col min="13572" max="13575" width="9.6328125" customWidth="1"/>
    <col min="13576" max="13576" width="9.90625" customWidth="1"/>
    <col min="13577" max="13586" width="9.6328125" customWidth="1"/>
    <col min="13674" max="13674" width="11.6328125" bestFit="1" customWidth="1"/>
    <col min="13675" max="13676" width="12.54296875" bestFit="1" customWidth="1"/>
    <col min="13820" max="13820" width="12.453125" customWidth="1"/>
    <col min="13821" max="13821" width="10.08984375" customWidth="1"/>
    <col min="13822" max="13822" width="8.90625" customWidth="1"/>
    <col min="13823" max="13823" width="5.08984375" customWidth="1"/>
    <col min="13824" max="13824" width="17.90625" customWidth="1"/>
    <col min="13825" max="13825" width="10.90625" customWidth="1"/>
    <col min="13826" max="13826" width="9.6328125" customWidth="1"/>
    <col min="13827" max="13827" width="10.453125" customWidth="1"/>
    <col min="13828" max="13831" width="9.6328125" customWidth="1"/>
    <col min="13832" max="13832" width="9.90625" customWidth="1"/>
    <col min="13833" max="13842" width="9.6328125" customWidth="1"/>
    <col min="13930" max="13930" width="11.6328125" bestFit="1" customWidth="1"/>
    <col min="13931" max="13932" width="12.54296875" bestFit="1" customWidth="1"/>
    <col min="14076" max="14076" width="12.453125" customWidth="1"/>
    <col min="14077" max="14077" width="10.08984375" customWidth="1"/>
    <col min="14078" max="14078" width="8.90625" customWidth="1"/>
    <col min="14079" max="14079" width="5.08984375" customWidth="1"/>
    <col min="14080" max="14080" width="17.90625" customWidth="1"/>
    <col min="14081" max="14081" width="10.90625" customWidth="1"/>
    <col min="14082" max="14082" width="9.6328125" customWidth="1"/>
    <col min="14083" max="14083" width="10.453125" customWidth="1"/>
    <col min="14084" max="14087" width="9.6328125" customWidth="1"/>
    <col min="14088" max="14088" width="9.90625" customWidth="1"/>
    <col min="14089" max="14098" width="9.6328125" customWidth="1"/>
    <col min="14186" max="14186" width="11.6328125" bestFit="1" customWidth="1"/>
    <col min="14187" max="14188" width="12.54296875" bestFit="1" customWidth="1"/>
    <col min="14332" max="14332" width="12.453125" customWidth="1"/>
    <col min="14333" max="14333" width="10.08984375" customWidth="1"/>
    <col min="14334" max="14334" width="8.90625" customWidth="1"/>
    <col min="14335" max="14335" width="5.08984375" customWidth="1"/>
    <col min="14336" max="14336" width="17.90625" customWidth="1"/>
    <col min="14337" max="14337" width="10.90625" customWidth="1"/>
    <col min="14338" max="14338" width="9.6328125" customWidth="1"/>
    <col min="14339" max="14339" width="10.453125" customWidth="1"/>
    <col min="14340" max="14343" width="9.6328125" customWidth="1"/>
    <col min="14344" max="14344" width="9.90625" customWidth="1"/>
    <col min="14345" max="14354" width="9.6328125" customWidth="1"/>
    <col min="14442" max="14442" width="11.6328125" bestFit="1" customWidth="1"/>
    <col min="14443" max="14444" width="12.54296875" bestFit="1" customWidth="1"/>
    <col min="14588" max="14588" width="12.453125" customWidth="1"/>
    <col min="14589" max="14589" width="10.08984375" customWidth="1"/>
    <col min="14590" max="14590" width="8.90625" customWidth="1"/>
    <col min="14591" max="14591" width="5.08984375" customWidth="1"/>
    <col min="14592" max="14592" width="17.90625" customWidth="1"/>
    <col min="14593" max="14593" width="10.90625" customWidth="1"/>
    <col min="14594" max="14594" width="9.6328125" customWidth="1"/>
    <col min="14595" max="14595" width="10.453125" customWidth="1"/>
    <col min="14596" max="14599" width="9.6328125" customWidth="1"/>
    <col min="14600" max="14600" width="9.90625" customWidth="1"/>
    <col min="14601" max="14610" width="9.6328125" customWidth="1"/>
    <col min="14698" max="14698" width="11.6328125" bestFit="1" customWidth="1"/>
    <col min="14699" max="14700" width="12.54296875" bestFit="1" customWidth="1"/>
    <col min="14844" max="14844" width="12.453125" customWidth="1"/>
    <col min="14845" max="14845" width="10.08984375" customWidth="1"/>
    <col min="14846" max="14846" width="8.90625" customWidth="1"/>
    <col min="14847" max="14847" width="5.08984375" customWidth="1"/>
    <col min="14848" max="14848" width="17.90625" customWidth="1"/>
    <col min="14849" max="14849" width="10.90625" customWidth="1"/>
    <col min="14850" max="14850" width="9.6328125" customWidth="1"/>
    <col min="14851" max="14851" width="10.453125" customWidth="1"/>
    <col min="14852" max="14855" width="9.6328125" customWidth="1"/>
    <col min="14856" max="14856" width="9.90625" customWidth="1"/>
    <col min="14857" max="14866" width="9.6328125" customWidth="1"/>
    <col min="14954" max="14954" width="11.6328125" bestFit="1" customWidth="1"/>
    <col min="14955" max="14956" width="12.54296875" bestFit="1" customWidth="1"/>
    <col min="15100" max="15100" width="12.453125" customWidth="1"/>
    <col min="15101" max="15101" width="10.08984375" customWidth="1"/>
    <col min="15102" max="15102" width="8.90625" customWidth="1"/>
    <col min="15103" max="15103" width="5.08984375" customWidth="1"/>
    <col min="15104" max="15104" width="17.90625" customWidth="1"/>
    <col min="15105" max="15105" width="10.90625" customWidth="1"/>
    <col min="15106" max="15106" width="9.6328125" customWidth="1"/>
    <col min="15107" max="15107" width="10.453125" customWidth="1"/>
    <col min="15108" max="15111" width="9.6328125" customWidth="1"/>
    <col min="15112" max="15112" width="9.90625" customWidth="1"/>
    <col min="15113" max="15122" width="9.6328125" customWidth="1"/>
    <col min="15210" max="15210" width="11.6328125" bestFit="1" customWidth="1"/>
    <col min="15211" max="15212" width="12.54296875" bestFit="1" customWidth="1"/>
    <col min="15356" max="15356" width="12.453125" customWidth="1"/>
    <col min="15357" max="15357" width="10.08984375" customWidth="1"/>
    <col min="15358" max="15358" width="8.90625" customWidth="1"/>
    <col min="15359" max="15359" width="5.08984375" customWidth="1"/>
    <col min="15360" max="15360" width="17.90625" customWidth="1"/>
    <col min="15361" max="15361" width="10.90625" customWidth="1"/>
    <col min="15362" max="15362" width="9.6328125" customWidth="1"/>
    <col min="15363" max="15363" width="10.453125" customWidth="1"/>
    <col min="15364" max="15367" width="9.6328125" customWidth="1"/>
    <col min="15368" max="15368" width="9.90625" customWidth="1"/>
    <col min="15369" max="15378" width="9.6328125" customWidth="1"/>
    <col min="15466" max="15466" width="11.6328125" bestFit="1" customWidth="1"/>
    <col min="15467" max="15468" width="12.54296875" bestFit="1" customWidth="1"/>
    <col min="15612" max="15612" width="12.453125" customWidth="1"/>
    <col min="15613" max="15613" width="10.08984375" customWidth="1"/>
    <col min="15614" max="15614" width="8.90625" customWidth="1"/>
    <col min="15615" max="15615" width="5.08984375" customWidth="1"/>
    <col min="15616" max="15616" width="17.90625" customWidth="1"/>
    <col min="15617" max="15617" width="10.90625" customWidth="1"/>
    <col min="15618" max="15618" width="9.6328125" customWidth="1"/>
    <col min="15619" max="15619" width="10.453125" customWidth="1"/>
    <col min="15620" max="15623" width="9.6328125" customWidth="1"/>
    <col min="15624" max="15624" width="9.90625" customWidth="1"/>
    <col min="15625" max="15634" width="9.6328125" customWidth="1"/>
    <col min="15722" max="15722" width="11.6328125" bestFit="1" customWidth="1"/>
    <col min="15723" max="15724" width="12.54296875" bestFit="1" customWidth="1"/>
    <col min="15868" max="15868" width="12.453125" customWidth="1"/>
    <col min="15869" max="15869" width="10.08984375" customWidth="1"/>
    <col min="15870" max="15870" width="8.90625" customWidth="1"/>
    <col min="15871" max="15871" width="5.08984375" customWidth="1"/>
    <col min="15872" max="15872" width="17.90625" customWidth="1"/>
    <col min="15873" max="15873" width="10.90625" customWidth="1"/>
    <col min="15874" max="15874" width="9.6328125" customWidth="1"/>
    <col min="15875" max="15875" width="10.453125" customWidth="1"/>
    <col min="15876" max="15879" width="9.6328125" customWidth="1"/>
    <col min="15880" max="15880" width="9.90625" customWidth="1"/>
    <col min="15881" max="15890" width="9.6328125" customWidth="1"/>
    <col min="15978" max="15978" width="11.6328125" bestFit="1" customWidth="1"/>
    <col min="15979" max="15980" width="12.54296875" bestFit="1" customWidth="1"/>
    <col min="16124" max="16124" width="12.453125" customWidth="1"/>
    <col min="16125" max="16125" width="10.08984375" customWidth="1"/>
    <col min="16126" max="16126" width="8.90625" customWidth="1"/>
    <col min="16127" max="16127" width="5.08984375" customWidth="1"/>
    <col min="16128" max="16128" width="17.90625" customWidth="1"/>
    <col min="16129" max="16129" width="10.90625" customWidth="1"/>
    <col min="16130" max="16130" width="9.6328125" customWidth="1"/>
    <col min="16131" max="16131" width="10.453125" customWidth="1"/>
    <col min="16132" max="16135" width="9.6328125" customWidth="1"/>
    <col min="16136" max="16136" width="9.90625" customWidth="1"/>
    <col min="16137" max="16146" width="9.6328125" customWidth="1"/>
    <col min="16234" max="16234" width="11.6328125" bestFit="1" customWidth="1"/>
    <col min="16235" max="16236" width="12.54296875" bestFit="1" customWidth="1"/>
  </cols>
  <sheetData>
    <row r="1" spans="1:236" ht="18">
      <c r="A1" s="227" t="s">
        <v>324</v>
      </c>
    </row>
    <row r="2" spans="1:236">
      <c r="A2" t="s">
        <v>65</v>
      </c>
      <c r="B2" s="69"/>
    </row>
    <row r="3" spans="1:236" s="70" customFormat="1" ht="13">
      <c r="B3" s="71" t="s">
        <v>26</v>
      </c>
      <c r="C3" s="70" t="s">
        <v>25</v>
      </c>
      <c r="E3" s="72"/>
      <c r="F3" s="73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DM3" s="70">
        <v>6</v>
      </c>
      <c r="DN3" s="70">
        <f>ROUNDDOWN(((DL3/2/PI()))*16,0)+1</f>
        <v>1</v>
      </c>
      <c r="DQ3" s="70" t="s">
        <v>433</v>
      </c>
      <c r="DU3" s="75" t="s">
        <v>66</v>
      </c>
      <c r="EC3" s="70" t="s">
        <v>67</v>
      </c>
      <c r="EF3" s="70" t="s">
        <v>428</v>
      </c>
    </row>
    <row r="4" spans="1:236" s="74" customFormat="1" ht="13">
      <c r="A4" s="70" t="s">
        <v>33</v>
      </c>
      <c r="B4" s="71" t="s">
        <v>68</v>
      </c>
      <c r="C4" s="70" t="s">
        <v>29</v>
      </c>
      <c r="D4" s="70"/>
      <c r="E4" s="76" t="s">
        <v>29</v>
      </c>
      <c r="F4" s="77" t="s">
        <v>40</v>
      </c>
      <c r="G4" s="78" t="s">
        <v>325</v>
      </c>
      <c r="H4" s="78" t="s">
        <v>326</v>
      </c>
      <c r="I4" s="78" t="s">
        <v>327</v>
      </c>
      <c r="J4" s="78" t="s">
        <v>328</v>
      </c>
      <c r="K4" s="78" t="s">
        <v>329</v>
      </c>
      <c r="L4" s="78" t="s">
        <v>330</v>
      </c>
      <c r="M4" s="78" t="s">
        <v>331</v>
      </c>
      <c r="N4" s="78" t="s">
        <v>332</v>
      </c>
      <c r="O4" s="78" t="s">
        <v>333</v>
      </c>
      <c r="P4" s="78" t="s">
        <v>334</v>
      </c>
      <c r="Q4" s="78" t="s">
        <v>335</v>
      </c>
      <c r="R4" s="78" t="s">
        <v>336</v>
      </c>
      <c r="S4" s="78" t="s">
        <v>337</v>
      </c>
      <c r="T4" s="78" t="s">
        <v>338</v>
      </c>
      <c r="U4" s="78" t="s">
        <v>339</v>
      </c>
      <c r="V4" s="78" t="s">
        <v>340</v>
      </c>
      <c r="W4" s="78" t="s">
        <v>341</v>
      </c>
      <c r="X4" s="78" t="s">
        <v>342</v>
      </c>
      <c r="Y4" s="78" t="s">
        <v>343</v>
      </c>
      <c r="Z4" s="78" t="s">
        <v>344</v>
      </c>
      <c r="AA4" s="78" t="s">
        <v>345</v>
      </c>
      <c r="AB4" s="78" t="s">
        <v>346</v>
      </c>
      <c r="AC4" s="78" t="s">
        <v>347</v>
      </c>
      <c r="AD4" s="78" t="s">
        <v>348</v>
      </c>
      <c r="AE4" s="78" t="s">
        <v>349</v>
      </c>
      <c r="AF4" s="78" t="s">
        <v>350</v>
      </c>
      <c r="AG4" s="78" t="s">
        <v>351</v>
      </c>
      <c r="AH4" s="78" t="s">
        <v>352</v>
      </c>
      <c r="AI4" s="78" t="s">
        <v>353</v>
      </c>
      <c r="AJ4" s="78" t="s">
        <v>354</v>
      </c>
      <c r="AK4" s="78" t="s">
        <v>355</v>
      </c>
      <c r="AL4" s="78" t="s">
        <v>356</v>
      </c>
      <c r="AM4" s="78" t="s">
        <v>357</v>
      </c>
      <c r="AN4" s="78" t="s">
        <v>358</v>
      </c>
      <c r="AO4" s="78" t="s">
        <v>359</v>
      </c>
      <c r="AP4" s="78" t="s">
        <v>360</v>
      </c>
      <c r="AQ4" s="78" t="s">
        <v>361</v>
      </c>
      <c r="AR4" s="78" t="s">
        <v>362</v>
      </c>
      <c r="AS4" s="78" t="s">
        <v>363</v>
      </c>
      <c r="AT4" s="78" t="s">
        <v>364</v>
      </c>
      <c r="AU4" s="78" t="s">
        <v>365</v>
      </c>
      <c r="AV4" s="78" t="s">
        <v>366</v>
      </c>
      <c r="AW4" s="78" t="s">
        <v>367</v>
      </c>
      <c r="AX4" s="78" t="s">
        <v>368</v>
      </c>
      <c r="AY4" s="78" t="s">
        <v>369</v>
      </c>
      <c r="AZ4" s="78" t="s">
        <v>370</v>
      </c>
      <c r="BA4" s="78" t="s">
        <v>371</v>
      </c>
      <c r="BB4" s="78" t="s">
        <v>372</v>
      </c>
      <c r="BC4" s="78" t="s">
        <v>373</v>
      </c>
      <c r="BD4" s="78" t="s">
        <v>374</v>
      </c>
      <c r="BE4" s="78" t="s">
        <v>375</v>
      </c>
      <c r="BF4" s="78" t="s">
        <v>376</v>
      </c>
      <c r="BG4" s="78" t="s">
        <v>377</v>
      </c>
      <c r="BH4" s="78" t="s">
        <v>378</v>
      </c>
      <c r="BI4" s="78" t="s">
        <v>379</v>
      </c>
      <c r="BJ4" s="78" t="s">
        <v>380</v>
      </c>
      <c r="BK4" s="78" t="s">
        <v>381</v>
      </c>
      <c r="BL4" s="78" t="s">
        <v>382</v>
      </c>
      <c r="BM4" s="78" t="s">
        <v>383</v>
      </c>
      <c r="BN4" s="78" t="s">
        <v>384</v>
      </c>
      <c r="BO4" s="78" t="s">
        <v>385</v>
      </c>
      <c r="BP4" s="78" t="s">
        <v>386</v>
      </c>
      <c r="BQ4" s="78" t="s">
        <v>387</v>
      </c>
      <c r="BR4" s="78" t="s">
        <v>388</v>
      </c>
      <c r="BS4" s="78" t="s">
        <v>389</v>
      </c>
      <c r="BT4" s="78" t="s">
        <v>390</v>
      </c>
      <c r="BU4" s="78" t="s">
        <v>391</v>
      </c>
      <c r="BV4" s="78" t="s">
        <v>392</v>
      </c>
      <c r="BW4" s="78" t="s">
        <v>393</v>
      </c>
      <c r="BX4" s="78" t="s">
        <v>394</v>
      </c>
      <c r="BY4" s="78" t="s">
        <v>395</v>
      </c>
      <c r="BZ4" s="78" t="s">
        <v>396</v>
      </c>
      <c r="CA4" s="78" t="s">
        <v>397</v>
      </c>
      <c r="CB4" s="78" t="s">
        <v>398</v>
      </c>
      <c r="CC4" s="78" t="s">
        <v>399</v>
      </c>
      <c r="CD4" s="78" t="s">
        <v>400</v>
      </c>
      <c r="CE4" s="78" t="s">
        <v>401</v>
      </c>
      <c r="CF4" s="78" t="s">
        <v>402</v>
      </c>
      <c r="CG4" s="78" t="s">
        <v>403</v>
      </c>
      <c r="CH4" s="78" t="s">
        <v>404</v>
      </c>
      <c r="CI4" s="78" t="s">
        <v>405</v>
      </c>
      <c r="CJ4" s="78" t="s">
        <v>406</v>
      </c>
      <c r="CK4" s="78" t="s">
        <v>407</v>
      </c>
      <c r="CL4" s="78" t="s">
        <v>408</v>
      </c>
      <c r="CM4" s="78" t="s">
        <v>409</v>
      </c>
      <c r="CN4" s="78" t="s">
        <v>410</v>
      </c>
      <c r="CO4" s="78" t="s">
        <v>411</v>
      </c>
      <c r="CP4" s="78" t="s">
        <v>412</v>
      </c>
      <c r="CQ4" s="78" t="s">
        <v>413</v>
      </c>
      <c r="CR4" s="78" t="s">
        <v>414</v>
      </c>
      <c r="CS4" s="78" t="s">
        <v>415</v>
      </c>
      <c r="CT4" s="78" t="s">
        <v>416</v>
      </c>
      <c r="CU4" s="78" t="s">
        <v>417</v>
      </c>
      <c r="CV4" s="78" t="s">
        <v>418</v>
      </c>
      <c r="CW4" s="78" t="s">
        <v>419</v>
      </c>
      <c r="CX4" s="78" t="s">
        <v>420</v>
      </c>
      <c r="CY4" s="78" t="s">
        <v>421</v>
      </c>
      <c r="CZ4" s="78" t="s">
        <v>422</v>
      </c>
      <c r="DA4" s="78" t="s">
        <v>423</v>
      </c>
      <c r="DB4" s="79"/>
      <c r="DC4" s="79"/>
      <c r="DD4" s="80" t="s">
        <v>69</v>
      </c>
      <c r="DE4" s="80" t="s">
        <v>70</v>
      </c>
      <c r="DF4" s="80" t="s">
        <v>71</v>
      </c>
      <c r="DG4" s="80" t="s">
        <v>72</v>
      </c>
      <c r="DH4" s="80" t="s">
        <v>16</v>
      </c>
      <c r="DI4" s="80" t="s">
        <v>17</v>
      </c>
      <c r="DJ4" s="80" t="s">
        <v>73</v>
      </c>
      <c r="DK4" s="80" t="s">
        <v>74</v>
      </c>
      <c r="DL4" s="80" t="s">
        <v>75</v>
      </c>
      <c r="DM4" s="80" t="s">
        <v>76</v>
      </c>
      <c r="DN4" s="80" t="s">
        <v>77</v>
      </c>
      <c r="DO4" s="80" t="s">
        <v>78</v>
      </c>
      <c r="DP4" s="80" t="s">
        <v>434</v>
      </c>
      <c r="DQ4" s="80" t="s">
        <v>432</v>
      </c>
      <c r="DR4" s="80" t="s">
        <v>432</v>
      </c>
      <c r="DS4" s="79"/>
      <c r="DT4" s="79"/>
      <c r="DU4" s="81" t="s">
        <v>77</v>
      </c>
      <c r="DV4" s="81" t="s">
        <v>77</v>
      </c>
      <c r="DW4" s="81" t="s">
        <v>77</v>
      </c>
      <c r="DX4" s="81" t="s">
        <v>77</v>
      </c>
      <c r="DY4" s="81" t="s">
        <v>77</v>
      </c>
      <c r="DZ4" s="81" t="s">
        <v>77</v>
      </c>
      <c r="EA4" s="81" t="s">
        <v>77</v>
      </c>
      <c r="EB4" s="81" t="s">
        <v>77</v>
      </c>
      <c r="EC4" s="81" t="s">
        <v>77</v>
      </c>
    </row>
    <row r="5" spans="1:236">
      <c r="A5" s="228">
        <v>360</v>
      </c>
      <c r="B5" s="229">
        <v>0</v>
      </c>
      <c r="C5" s="229">
        <f>Reference!N5</f>
        <v>0</v>
      </c>
      <c r="D5" s="82"/>
      <c r="E5" s="83" t="s">
        <v>52</v>
      </c>
      <c r="F5" s="77">
        <f>100*SUMPRODUCT($C5:$C99,CMFs!$F2:$F96,'99set'!B$10:B$104)/SUMPRODUCT($C5:$C99,CMFs!$G2:$G96)</f>
        <v>106.4864215382584</v>
      </c>
      <c r="G5" s="77">
        <f>100*SUMPRODUCT($C5:$C99,CMFs!$F2:$F96,'99set'!C$10:C$104)/SUMPRODUCT($C5:$C99,CMFs!$G2:$G96)</f>
        <v>76.03630994267418</v>
      </c>
      <c r="H5" s="77">
        <f>100*SUMPRODUCT($C5:$C99,CMFs!$F2:$F96,'99set'!D$10:D$104)/SUMPRODUCT($C5:$C99,CMFs!$G2:$G96)</f>
        <v>40.71039278541695</v>
      </c>
      <c r="I5" s="77">
        <f>100*SUMPRODUCT($C5:$C99,CMFs!$F2:$F96,'99set'!E$10:E$104)/SUMPRODUCT($C5:$C99,CMFs!$G2:$G96)</f>
        <v>7.8436594363062895</v>
      </c>
      <c r="J5" s="77">
        <f>100*SUMPRODUCT($C5:$C99,CMFs!$F2:$F96,'99set'!F$10:F$104)/SUMPRODUCT($C5:$C99,CMFs!$G2:$G96)</f>
        <v>46.517187461227188</v>
      </c>
      <c r="K5" s="77">
        <f>100*SUMPRODUCT($C5:$C99,CMFs!$F2:$F96,'99set'!G$10:G$104)/SUMPRODUCT($C5:$C99,CMFs!$G2:$G96)</f>
        <v>27.034020566862022</v>
      </c>
      <c r="L5" s="77">
        <f>100*SUMPRODUCT($C5:$C99,CMFs!$F2:$F96,'99set'!H$10:H$104)/SUMPRODUCT($C5:$C99,CMFs!$G2:$G96)</f>
        <v>22.241080974353437</v>
      </c>
      <c r="M5" s="77">
        <f>100*SUMPRODUCT($C5:$C99,CMFs!$F2:$F96,'99set'!I$10:I$104)/SUMPRODUCT($C5:$C99,CMFs!$G2:$G96)</f>
        <v>19.053722193753604</v>
      </c>
      <c r="N5" s="77">
        <f>100*SUMPRODUCT($C5:$C99,CMFs!$F2:$F96,'99set'!J$10:J$104)/SUMPRODUCT($C5:$C99,CMFs!$G2:$G96)</f>
        <v>17.669506926384461</v>
      </c>
      <c r="O5" s="77">
        <f>100*SUMPRODUCT($C5:$C99,CMFs!$F2:$F96,'99set'!K$10:K$104)/SUMPRODUCT($C5:$C99,CMFs!$G2:$G96)</f>
        <v>5.5298498396358449</v>
      </c>
      <c r="P5" s="77">
        <f>100*SUMPRODUCT($C5:$C99,CMFs!$F2:$F96,'99set'!L$10:L$104)/SUMPRODUCT($C5:$C99,CMFs!$G2:$G96)</f>
        <v>64.317403368777704</v>
      </c>
      <c r="Q5" s="77">
        <f>100*SUMPRODUCT($C5:$C99,CMFs!$F2:$F96,'99set'!M$10:M$104)/SUMPRODUCT($C5:$C99,CMFs!$G2:$G96)</f>
        <v>35.033490565525369</v>
      </c>
      <c r="R5" s="77">
        <f>100*SUMPRODUCT($C5:$C99,CMFs!$F2:$F96,'99set'!N$10:N$104)/SUMPRODUCT($C5:$C99,CMFs!$G2:$G96)</f>
        <v>45.20880808915522</v>
      </c>
      <c r="S5" s="77">
        <f>100*SUMPRODUCT($C5:$C99,CMFs!$F2:$F96,'99set'!O$10:O$104)/SUMPRODUCT($C5:$C99,CMFs!$G2:$G96)</f>
        <v>16.462462724802378</v>
      </c>
      <c r="T5" s="77">
        <f>100*SUMPRODUCT($C5:$C99,CMFs!$F2:$F96,'99set'!P$10:P$104)/SUMPRODUCT($C5:$C99,CMFs!$G2:$G96)</f>
        <v>47.722915837891748</v>
      </c>
      <c r="U5" s="77">
        <f>100*SUMPRODUCT($C5:$C99,CMFs!$F2:$F96,'99set'!Q$10:Q$104)/SUMPRODUCT($C5:$C99,CMFs!$G2:$G96)</f>
        <v>46.667262537789398</v>
      </c>
      <c r="V5" s="77">
        <f>100*SUMPRODUCT($C5:$C99,CMFs!$F2:$F96,'99set'!R$10:R$104)/SUMPRODUCT($C5:$C99,CMFs!$G2:$G96)</f>
        <v>20.040822210264235</v>
      </c>
      <c r="W5" s="77">
        <f>100*SUMPRODUCT($C5:$C99,CMFs!$F2:$F96,'99set'!S$10:S$104)/SUMPRODUCT($C5:$C99,CMFs!$G2:$G96)</f>
        <v>21.074873977658267</v>
      </c>
      <c r="X5" s="77">
        <f>100*SUMPRODUCT($C5:$C99,CMFs!$F2:$F96,'99set'!T$10:T$104)/SUMPRODUCT($C5:$C99,CMFs!$G2:$G96)</f>
        <v>26.534055351913224</v>
      </c>
      <c r="Y5" s="77">
        <f>100*SUMPRODUCT($C5:$C99,CMFs!$F2:$F96,'99set'!U$10:U$104)/SUMPRODUCT($C5:$C99,CMFs!$G2:$G96)</f>
        <v>48.935114912631981</v>
      </c>
      <c r="Z5" s="77">
        <f>100*SUMPRODUCT($C5:$C99,CMFs!$F2:$F96,'99set'!V$10:V$104)/SUMPRODUCT($C5:$C99,CMFs!$G2:$G96)</f>
        <v>45.475581551563515</v>
      </c>
      <c r="AA5" s="77">
        <f>100*SUMPRODUCT($C5:$C99,CMFs!$F2:$F96,'99set'!W$10:W$104)/SUMPRODUCT($C5:$C99,CMFs!$G2:$G96)</f>
        <v>80.631823416384009</v>
      </c>
      <c r="AB5" s="77">
        <f>100*SUMPRODUCT($C5:$C99,CMFs!$F2:$F96,'99set'!X$10:X$104)/SUMPRODUCT($C5:$C99,CMFs!$G2:$G96)</f>
        <v>64.249076176848405</v>
      </c>
      <c r="AC5" s="77">
        <f>100*SUMPRODUCT($C5:$C99,CMFs!$F2:$F96,'99set'!Y$10:Y$104)/SUMPRODUCT($C5:$C99,CMFs!$G2:$G96)</f>
        <v>84.348632436895031</v>
      </c>
      <c r="AD5" s="77">
        <f>100*SUMPRODUCT($C5:$C99,CMFs!$F2:$F96,'99set'!Z$10:Z$104)/SUMPRODUCT($C5:$C99,CMFs!$G2:$G96)</f>
        <v>85.394331289969941</v>
      </c>
      <c r="AE5" s="77">
        <f>100*SUMPRODUCT($C5:$C99,CMFs!$F2:$F96,'99set'!AA$10:AA$104)/SUMPRODUCT($C5:$C99,CMFs!$G2:$G96)</f>
        <v>48.063724501400777</v>
      </c>
      <c r="AF5" s="77">
        <f>100*SUMPRODUCT($C5:$C99,CMFs!$F2:$F96,'99set'!AB$10:AB$104)/SUMPRODUCT($C5:$C99,CMFs!$G2:$G96)</f>
        <v>84.46817310697125</v>
      </c>
      <c r="AG5" s="77">
        <f>100*SUMPRODUCT($C5:$C99,CMFs!$F2:$F96,'99set'!AC$10:AC$104)/SUMPRODUCT($C5:$C99,CMFs!$G2:$G96)</f>
        <v>45.378185440358152</v>
      </c>
      <c r="AH5" s="77">
        <f>100*SUMPRODUCT($C5:$C99,CMFs!$F2:$F96,'99set'!AD$10:AD$104)/SUMPRODUCT($C5:$C99,CMFs!$G2:$G96)</f>
        <v>12.115581268282144</v>
      </c>
      <c r="AI5" s="77">
        <f>100*SUMPRODUCT($C5:$C99,CMFs!$F2:$F96,'99set'!AE$10:AE$104)/SUMPRODUCT($C5:$C99,CMFs!$G2:$G96)</f>
        <v>73.996307288990778</v>
      </c>
      <c r="AJ5" s="77">
        <f>100*SUMPRODUCT($C5:$C99,CMFs!$F2:$F96,'99set'!AF$10:AF$104)/SUMPRODUCT($C5:$C99,CMFs!$G2:$G96)</f>
        <v>33.041165431308173</v>
      </c>
      <c r="AK5" s="77">
        <f>100*SUMPRODUCT($C5:$C99,CMFs!$F2:$F96,'99set'!AG$10:AG$104)/SUMPRODUCT($C5:$C99,CMFs!$G2:$G96)</f>
        <v>77.124468741695225</v>
      </c>
      <c r="AL5" s="77">
        <f>100*SUMPRODUCT($C5:$C99,CMFs!$F2:$F96,'99set'!AH$10:AH$104)/SUMPRODUCT($C5:$C99,CMFs!$G2:$G96)</f>
        <v>49.840396250234321</v>
      </c>
      <c r="AM5" s="77">
        <f>100*SUMPRODUCT($C5:$C99,CMFs!$F2:$F96,'99set'!AI$10:AI$104)/SUMPRODUCT($C5:$C99,CMFs!$G2:$G96)</f>
        <v>78.354006947454522</v>
      </c>
      <c r="AN5" s="77">
        <f>100*SUMPRODUCT($C5:$C99,CMFs!$F2:$F96,'99set'!AJ$10:AJ$104)/SUMPRODUCT($C5:$C99,CMFs!$G2:$G96)</f>
        <v>29.776902912312337</v>
      </c>
      <c r="AO5" s="77">
        <f>100*SUMPRODUCT($C5:$C99,CMFs!$F2:$F96,'99set'!AK$10:AK$104)/SUMPRODUCT($C5:$C99,CMFs!$G2:$G96)</f>
        <v>11.99932109941304</v>
      </c>
      <c r="AP5" s="77">
        <f>100*SUMPRODUCT($C5:$C99,CMFs!$F2:$F96,'99set'!AL$10:AL$104)/SUMPRODUCT($C5:$C99,CMFs!$G2:$G96)</f>
        <v>57.162607039294613</v>
      </c>
      <c r="AQ5" s="77">
        <f>100*SUMPRODUCT($C5:$C99,CMFs!$F2:$F96,'99set'!AM$10:AM$104)/SUMPRODUCT($C5:$C99,CMFs!$G2:$G96)</f>
        <v>15.525076315686166</v>
      </c>
      <c r="AR5" s="77">
        <f>100*SUMPRODUCT($C5:$C99,CMFs!$F2:$F96,'99set'!AN$10:AN$104)/SUMPRODUCT($C5:$C99,CMFs!$G2:$G96)</f>
        <v>68.498232175988704</v>
      </c>
      <c r="AS5" s="77">
        <f>100*SUMPRODUCT($C5:$C99,CMFs!$F2:$F96,'99set'!AO$10:AO$104)/SUMPRODUCT($C5:$C99,CMFs!$G2:$G96)</f>
        <v>7.9981122585814779</v>
      </c>
      <c r="AT5" s="77">
        <f>100*SUMPRODUCT($C5:$C99,CMFs!$F2:$F96,'99set'!AP$10:AP$104)/SUMPRODUCT($C5:$C99,CMFs!$G2:$G96)</f>
        <v>17.117312567405587</v>
      </c>
      <c r="AU5" s="77">
        <f>100*SUMPRODUCT($C5:$C99,CMFs!$F2:$F96,'99set'!AQ$10:AQ$104)/SUMPRODUCT($C5:$C99,CMFs!$G2:$G96)</f>
        <v>72.197219224998349</v>
      </c>
      <c r="AV5" s="77">
        <f>100*SUMPRODUCT($C5:$C99,CMFs!$F2:$F96,'99set'!AR$10:AR$104)/SUMPRODUCT($C5:$C99,CMFs!$G2:$G96)</f>
        <v>32.940709172993103</v>
      </c>
      <c r="AW5" s="77">
        <f>100*SUMPRODUCT($C5:$C99,CMFs!$F2:$F96,'99set'!AS$10:AS$104)/SUMPRODUCT($C5:$C99,CMFs!$G2:$G96)</f>
        <v>37.631710670361549</v>
      </c>
      <c r="AX5" s="77">
        <f>100*SUMPRODUCT($C5:$C99,CMFs!$F2:$F96,'99set'!AT$10:AT$104)/SUMPRODUCT($C5:$C99,CMFs!$G2:$G96)</f>
        <v>5.2380615637703123</v>
      </c>
      <c r="AY5" s="77">
        <f>100*SUMPRODUCT($C5:$C99,CMFs!$F2:$F96,'99set'!AU$10:AU$104)/SUMPRODUCT($C5:$C99,CMFs!$G2:$G96)</f>
        <v>21.158998106716666</v>
      </c>
      <c r="AZ5" s="77">
        <f>100*SUMPRODUCT($C5:$C99,CMFs!$F2:$F96,'99set'!AV$10:AV$104)/SUMPRODUCT($C5:$C99,CMFs!$G2:$G96)</f>
        <v>30.86964863358595</v>
      </c>
      <c r="BA5" s="77">
        <f>100*SUMPRODUCT($C5:$C99,CMFs!$F2:$F96,'99set'!AW$10:AW$104)/SUMPRODUCT($C5:$C99,CMFs!$G2:$G96)</f>
        <v>36.952754759391517</v>
      </c>
      <c r="BB5" s="77">
        <f>100*SUMPRODUCT($C5:$C99,CMFs!$F2:$F96,'99set'!AX$10:AX$104)/SUMPRODUCT($C5:$C99,CMFs!$G2:$G96)</f>
        <v>43.961927814579191</v>
      </c>
      <c r="BC5" s="77">
        <f>100*SUMPRODUCT($C5:$C99,CMFs!$F2:$F96,'99set'!AY$10:AY$104)/SUMPRODUCT($C5:$C99,CMFs!$G2:$G96)</f>
        <v>12.124430795493605</v>
      </c>
      <c r="BD5" s="77">
        <f>100*SUMPRODUCT($C5:$C99,CMFs!$F2:$F96,'99set'!AZ$10:AZ$104)/SUMPRODUCT($C5:$C99,CMFs!$G2:$G96)</f>
        <v>18.048432777247573</v>
      </c>
      <c r="BE5" s="77">
        <f>100*SUMPRODUCT($C5:$C99,CMFs!$F2:$F96,'99set'!BA$10:BA$104)/SUMPRODUCT($C5:$C99,CMFs!$G2:$G96)</f>
        <v>22.027446952966564</v>
      </c>
      <c r="BF5" s="77">
        <f>100*SUMPRODUCT($C5:$C99,CMFs!$F2:$F96,'99set'!BB$10:BB$104)/SUMPRODUCT($C5:$C99,CMFs!$G2:$G96)</f>
        <v>8.6630669213503708</v>
      </c>
      <c r="BG5" s="77">
        <f>100*SUMPRODUCT($C5:$C99,CMFs!$F2:$F96,'99set'!BC$10:BC$104)/SUMPRODUCT($C5:$C99,CMFs!$G2:$G96)</f>
        <v>11.076028274136789</v>
      </c>
      <c r="BH5" s="77">
        <f>100*SUMPRODUCT($C5:$C99,CMFs!$F2:$F96,'99set'!BD$10:BD$104)/SUMPRODUCT($C5:$C99,CMFs!$G2:$G96)</f>
        <v>64.146770610908675</v>
      </c>
      <c r="BI5" s="77">
        <f>100*SUMPRODUCT($C5:$C99,CMFs!$F2:$F96,'99set'!BE$10:BE$104)/SUMPRODUCT($C5:$C99,CMFs!$G2:$G96)</f>
        <v>56.1263418920948</v>
      </c>
      <c r="BJ5" s="77">
        <f>100*SUMPRODUCT($C5:$C99,CMFs!$F2:$F96,'99set'!BF$10:BF$104)/SUMPRODUCT($C5:$C99,CMFs!$G2:$G96)</f>
        <v>29.929270184144553</v>
      </c>
      <c r="BK5" s="77">
        <f>100*SUMPRODUCT($C5:$C99,CMFs!$F2:$F96,'99set'!BG$10:BG$104)/SUMPRODUCT($C5:$C99,CMFs!$G2:$G96)</f>
        <v>15.948708761011009</v>
      </c>
      <c r="BL5" s="77">
        <f>100*SUMPRODUCT($C5:$C99,CMFs!$F2:$F96,'99set'!BH$10:BH$104)/SUMPRODUCT($C5:$C99,CMFs!$G2:$G96)</f>
        <v>13.358767328678384</v>
      </c>
      <c r="BM5" s="77">
        <f>100*SUMPRODUCT($C5:$C99,CMFs!$F2:$F96,'99set'!BI$10:BI$104)/SUMPRODUCT($C5:$C99,CMFs!$G2:$G96)</f>
        <v>63.863213894361749</v>
      </c>
      <c r="BN5" s="77">
        <f>100*SUMPRODUCT($C5:$C99,CMFs!$F2:$F96,'99set'!BJ$10:BJ$104)/SUMPRODUCT($C5:$C99,CMFs!$G2:$G96)</f>
        <v>71.351724348188327</v>
      </c>
      <c r="BO5" s="77">
        <f>100*SUMPRODUCT($C5:$C99,CMFs!$F2:$F96,'99set'!BK$10:BK$104)/SUMPRODUCT($C5:$C99,CMFs!$G2:$G96)</f>
        <v>45.606115775170267</v>
      </c>
      <c r="BP5" s="77">
        <f>100*SUMPRODUCT($C5:$C99,CMFs!$F2:$F96,'99set'!BL$10:BL$104)/SUMPRODUCT($C5:$C99,CMFs!$G2:$G96)</f>
        <v>34.008620929381237</v>
      </c>
      <c r="BQ5" s="77">
        <f>100*SUMPRODUCT($C5:$C99,CMFs!$F2:$F96,'99set'!BM$10:BM$104)/SUMPRODUCT($C5:$C99,CMFs!$G2:$G96)</f>
        <v>7.6574823163383599</v>
      </c>
      <c r="BR5" s="77">
        <f>100*SUMPRODUCT($C5:$C99,CMFs!$F2:$F96,'99set'!BN$10:BN$104)/SUMPRODUCT($C5:$C99,CMFs!$G2:$G96)</f>
        <v>17.374842152399708</v>
      </c>
      <c r="BS5" s="77">
        <f>100*SUMPRODUCT($C5:$C99,CMFs!$F2:$F96,'99set'!BO$10:BO$104)/SUMPRODUCT($C5:$C99,CMFs!$G2:$G96)</f>
        <v>8.5168313395544466</v>
      </c>
      <c r="BT5" s="77">
        <f>100*SUMPRODUCT($C5:$C99,CMFs!$F2:$F96,'99set'!BP$10:BP$104)/SUMPRODUCT($C5:$C99,CMFs!$G2:$G96)</f>
        <v>9.1391283560853065</v>
      </c>
      <c r="BU5" s="77">
        <f>100*SUMPRODUCT($C5:$C99,CMFs!$F2:$F96,'99set'!BQ$10:BQ$104)/SUMPRODUCT($C5:$C99,CMFs!$G2:$G96)</f>
        <v>10.785243865847129</v>
      </c>
      <c r="BV5" s="77">
        <f>100*SUMPRODUCT($C5:$C99,CMFs!$F2:$F96,'99set'!BR$10:BR$104)/SUMPRODUCT($C5:$C99,CMFs!$G2:$G96)</f>
        <v>26.784621773657442</v>
      </c>
      <c r="BW5" s="77">
        <f>100*SUMPRODUCT($C5:$C99,CMFs!$F2:$F96,'99set'!BS$10:BS$104)/SUMPRODUCT($C5:$C99,CMFs!$G2:$G96)</f>
        <v>19.112977043461974</v>
      </c>
      <c r="BX5" s="77">
        <f>100*SUMPRODUCT($C5:$C99,CMFs!$F2:$F96,'99set'!BT$10:BT$104)/SUMPRODUCT($C5:$C99,CMFs!$G2:$G96)</f>
        <v>36.754188853114279</v>
      </c>
      <c r="BY5" s="77">
        <f>100*SUMPRODUCT($C5:$C99,CMFs!$F2:$F96,'99set'!BU$10:BU$104)/SUMPRODUCT($C5:$C99,CMFs!$G2:$G96)</f>
        <v>6.5037096861832833</v>
      </c>
      <c r="BZ5" s="77">
        <f>100*SUMPRODUCT($C5:$C99,CMFs!$F2:$F96,'99set'!BV$10:BV$104)/SUMPRODUCT($C5:$C99,CMFs!$G2:$G96)</f>
        <v>48.166834497034763</v>
      </c>
      <c r="CA5" s="77">
        <f>100*SUMPRODUCT($C5:$C99,CMFs!$F2:$F96,'99set'!BW$10:BW$104)/SUMPRODUCT($C5:$C99,CMFs!$G2:$G96)</f>
        <v>19.077517789584189</v>
      </c>
      <c r="CB5" s="77">
        <f>100*SUMPRODUCT($C5:$C99,CMFs!$F2:$F96,'99set'!BX$10:BX$104)/SUMPRODUCT($C5:$C99,CMFs!$G2:$G96)</f>
        <v>5.071371190664645</v>
      </c>
      <c r="CC5" s="77">
        <f>100*SUMPRODUCT($C5:$C99,CMFs!$F2:$F96,'99set'!BY$10:BY$104)/SUMPRODUCT($C5:$C99,CMFs!$G2:$G96)</f>
        <v>6.0415393308292984</v>
      </c>
      <c r="CD5" s="77">
        <f>100*SUMPRODUCT($C5:$C99,CMFs!$F2:$F96,'99set'!BZ$10:BZ$104)/SUMPRODUCT($C5:$C99,CMFs!$G2:$G96)</f>
        <v>13.672136044580446</v>
      </c>
      <c r="CE5" s="77">
        <f>100*SUMPRODUCT($C5:$C99,CMFs!$F2:$F96,'99set'!CA$10:CA$104)/SUMPRODUCT($C5:$C99,CMFs!$G2:$G96)</f>
        <v>12.41970923449197</v>
      </c>
      <c r="CF5" s="77">
        <f>100*SUMPRODUCT($C5:$C99,CMFs!$F2:$F96,'99set'!CB$10:CB$104)/SUMPRODUCT($C5:$C99,CMFs!$G2:$G96)</f>
        <v>11.668965197366996</v>
      </c>
      <c r="CG5" s="77">
        <f>100*SUMPRODUCT($C5:$C99,CMFs!$F2:$F96,'99set'!CC$10:CC$104)/SUMPRODUCT($C5:$C99,CMFs!$G2:$G96)</f>
        <v>43.994679375029818</v>
      </c>
      <c r="CH5" s="77">
        <f>100*SUMPRODUCT($C5:$C99,CMFs!$F2:$F96,'99set'!CD$10:CD$104)/SUMPRODUCT($C5:$C99,CMFs!$G2:$G96)</f>
        <v>34.056464663991356</v>
      </c>
      <c r="CI5" s="77">
        <f>100*SUMPRODUCT($C5:$C99,CMFs!$F2:$F96,'99set'!CE$10:CE$104)/SUMPRODUCT($C5:$C99,CMFs!$G2:$G96)</f>
        <v>14.31165512470101</v>
      </c>
      <c r="CJ5" s="77">
        <f>100*SUMPRODUCT($C5:$C99,CMFs!$F2:$F96,'99set'!CF$10:CF$104)/SUMPRODUCT($C5:$C99,CMFs!$G2:$G96)</f>
        <v>71.511512936779553</v>
      </c>
      <c r="CK5" s="77">
        <f>100*SUMPRODUCT($C5:$C99,CMFs!$F2:$F96,'99set'!CG$10:CG$104)/SUMPRODUCT($C5:$C99,CMFs!$G2:$G96)</f>
        <v>44.699835446000733</v>
      </c>
      <c r="CL5" s="77">
        <f>100*SUMPRODUCT($C5:$C99,CMFs!$F2:$F96,'99set'!CH$10:CH$104)/SUMPRODUCT($C5:$C99,CMFs!$G2:$G96)</f>
        <v>5.288626111923854</v>
      </c>
      <c r="CM5" s="77">
        <f>100*SUMPRODUCT($C5:$C99,CMFs!$F2:$F96,'99set'!CI$10:CI$104)/SUMPRODUCT($C5:$C99,CMFs!$G2:$G96)</f>
        <v>12.162001359390207</v>
      </c>
      <c r="CN5" s="77">
        <f>100*SUMPRODUCT($C5:$C99,CMFs!$F2:$F96,'99set'!CJ$10:CJ$104)/SUMPRODUCT($C5:$C99,CMFs!$G2:$G96)</f>
        <v>36.579923011222462</v>
      </c>
      <c r="CO5" s="77">
        <f>100*SUMPRODUCT($C5:$C99,CMFs!$F2:$F96,'99set'!CK$10:CK$104)/SUMPRODUCT($C5:$C99,CMFs!$G2:$G96)</f>
        <v>12.439120355875055</v>
      </c>
      <c r="CP5" s="77">
        <f>100*SUMPRODUCT($C5:$C99,CMFs!$F2:$F96,'99set'!CL$10:CL$104)/SUMPRODUCT($C5:$C99,CMFs!$G2:$G96)</f>
        <v>34.498285597597935</v>
      </c>
      <c r="CQ5" s="77">
        <f>100*SUMPRODUCT($C5:$C99,CMFs!$F2:$F96,'99set'!CM$10:CM$104)/SUMPRODUCT($C5:$C99,CMFs!$G2:$G96)</f>
        <v>12.012460568982439</v>
      </c>
      <c r="CR5" s="77">
        <f>100*SUMPRODUCT($C5:$C99,CMFs!$F2:$F96,'99set'!CN$10:CN$104)/SUMPRODUCT($C5:$C99,CMFs!$G2:$G96)</f>
        <v>16.444455006016561</v>
      </c>
      <c r="CS5" s="77">
        <f>100*SUMPRODUCT($C5:$C99,CMFs!$F2:$F96,'99set'!CO$10:CO$104)/SUMPRODUCT($C5:$C99,CMFs!$G2:$G96)</f>
        <v>58.057911138086659</v>
      </c>
      <c r="CT5" s="77">
        <f>100*SUMPRODUCT($C5:$C99,CMFs!$F2:$F96,'99set'!CP$10:CP$104)/SUMPRODUCT($C5:$C99,CMFs!$G2:$G96)</f>
        <v>26.928231894458595</v>
      </c>
      <c r="CU5" s="77">
        <f>100*SUMPRODUCT($C5:$C99,CMFs!$F2:$F96,'99set'!CQ$10:CQ$104)/SUMPRODUCT($C5:$C99,CMFs!$G2:$G96)</f>
        <v>39.838331180128968</v>
      </c>
      <c r="CV5" s="77">
        <f>100*SUMPRODUCT($C5:$C99,CMFs!$F2:$F96,'99set'!CR$10:CR$104)/SUMPRODUCT($C5:$C99,CMFs!$G2:$G96)</f>
        <v>14.00083623863112</v>
      </c>
      <c r="CW5" s="77">
        <f>100*SUMPRODUCT($C5:$C99,CMFs!$F2:$F96,'99set'!CS$10:CS$104)/SUMPRODUCT($C5:$C99,CMFs!$G2:$G96)</f>
        <v>46.242926272640574</v>
      </c>
      <c r="CX5" s="77">
        <f>100*SUMPRODUCT($C5:$C99,CMFs!$F2:$F96,'99set'!CT$10:CT$104)/SUMPRODUCT($C5:$C99,CMFs!$G2:$G96)</f>
        <v>60.2429647727255</v>
      </c>
      <c r="CY5" s="77">
        <f>100*SUMPRODUCT($C5:$C99,CMFs!$F2:$F96,'99set'!CU$10:CU$104)/SUMPRODUCT($C5:$C99,CMFs!$G2:$G96)</f>
        <v>24.823873111889633</v>
      </c>
      <c r="CZ5" s="77">
        <f>100*SUMPRODUCT($C5:$C99,CMFs!$F2:$F96,'99set'!CV$10:CV$104)/SUMPRODUCT($C5:$C99,CMFs!$G2:$G96)</f>
        <v>43.593635563610704</v>
      </c>
      <c r="DA5" s="77">
        <f>100*SUMPRODUCT($C5:$C99,CMFs!$F2:$F96,'99set'!CW$10:CW$104)/SUMPRODUCT($C5:$C99,CMFs!$G2:$G96)</f>
        <v>29.116728970715645</v>
      </c>
      <c r="DC5">
        <v>1</v>
      </c>
      <c r="DD5" s="84">
        <f t="array" ref="DD5:DF103">TRANSPOSE(G21:DA23)</f>
        <v>85.937478178127435</v>
      </c>
      <c r="DE5" s="84">
        <v>16.763604554018801</v>
      </c>
      <c r="DF5" s="84">
        <v>1.3236098082810404</v>
      </c>
      <c r="DG5" s="84">
        <f t="array" ref="DG5:DI103">TRANSPOSE(G25:DA27)</f>
        <v>85.881677333829131</v>
      </c>
      <c r="DH5" s="84">
        <v>15.236663912093682</v>
      </c>
      <c r="DI5" s="84">
        <v>0.98137994058961742</v>
      </c>
      <c r="DJ5" s="84">
        <f t="array" ref="DJ5:DJ103">TRANSPOSE(G30:DB30)</f>
        <v>1.5658169562650632</v>
      </c>
      <c r="DK5" s="84">
        <f>DJ5^2</f>
        <v>2.4517827405271868</v>
      </c>
      <c r="DL5" s="84">
        <f>ATAN(DF5/DE5)+PI()*IF(AND((DE5&lt;0),(DF5&gt;0)),1,0)+PI()*IF(AND((DE5&lt;0),(DF5&lt;0)),1,0)+2*PI()*IF(AND((DE5&gt;0),(DF5&lt;0)),1,0)</f>
        <v>7.8793881696836432E-2</v>
      </c>
      <c r="DM5" s="84">
        <f>DL5*180/PI()</f>
        <v>4.5145568726818333</v>
      </c>
      <c r="DN5" s="85">
        <v>1</v>
      </c>
      <c r="DO5">
        <f t="array" ref="DO5:DO103">TRANSPOSE('99set'!C8:CW8)</f>
        <v>3</v>
      </c>
      <c r="DP5">
        <f>ATAN(DR5/DQ5)*180/PI()</f>
        <v>22.5</v>
      </c>
      <c r="DQ5" s="270">
        <v>18.477590650225736</v>
      </c>
      <c r="DR5" s="270">
        <v>7.6536686473017959</v>
      </c>
      <c r="DU5" s="86">
        <v>1</v>
      </c>
      <c r="DV5" s="86">
        <v>2</v>
      </c>
      <c r="DW5" s="86">
        <v>3</v>
      </c>
      <c r="DX5" s="86">
        <v>4</v>
      </c>
      <c r="DY5" s="86">
        <v>5</v>
      </c>
      <c r="DZ5" s="86">
        <v>6</v>
      </c>
      <c r="EA5" s="86">
        <v>7</v>
      </c>
      <c r="EB5" s="86">
        <v>8</v>
      </c>
      <c r="EC5" s="86">
        <v>1</v>
      </c>
      <c r="ED5">
        <f>DV5</f>
        <v>2</v>
      </c>
      <c r="EH5">
        <v>1</v>
      </c>
      <c r="EI5">
        <v>2</v>
      </c>
      <c r="EJ5">
        <v>3</v>
      </c>
      <c r="EK5">
        <v>4</v>
      </c>
      <c r="EL5">
        <v>5</v>
      </c>
      <c r="EM5">
        <v>6</v>
      </c>
      <c r="EN5">
        <v>7</v>
      </c>
      <c r="EO5">
        <v>8</v>
      </c>
      <c r="EP5">
        <v>9</v>
      </c>
      <c r="EQ5">
        <v>10</v>
      </c>
      <c r="ER5">
        <v>11</v>
      </c>
      <c r="ES5">
        <v>12</v>
      </c>
      <c r="ET5">
        <v>13</v>
      </c>
      <c r="EU5">
        <v>14</v>
      </c>
      <c r="EV5">
        <v>15</v>
      </c>
      <c r="EW5">
        <v>16</v>
      </c>
      <c r="EX5">
        <v>17</v>
      </c>
      <c r="EY5">
        <v>18</v>
      </c>
      <c r="EZ5">
        <v>19</v>
      </c>
      <c r="FA5">
        <v>20</v>
      </c>
      <c r="FB5">
        <v>21</v>
      </c>
      <c r="FC5">
        <v>22</v>
      </c>
      <c r="FD5">
        <v>23</v>
      </c>
      <c r="FE5">
        <v>24</v>
      </c>
      <c r="FF5">
        <v>25</v>
      </c>
      <c r="FG5">
        <v>26</v>
      </c>
      <c r="FH5">
        <v>27</v>
      </c>
      <c r="FI5">
        <v>28</v>
      </c>
      <c r="FJ5">
        <v>29</v>
      </c>
      <c r="FK5">
        <v>30</v>
      </c>
      <c r="FL5">
        <v>31</v>
      </c>
      <c r="FM5">
        <v>32</v>
      </c>
      <c r="FN5">
        <v>33</v>
      </c>
      <c r="FO5">
        <v>34</v>
      </c>
      <c r="FP5">
        <v>35</v>
      </c>
      <c r="FQ5">
        <v>36</v>
      </c>
      <c r="FR5">
        <v>37</v>
      </c>
      <c r="FS5">
        <v>38</v>
      </c>
      <c r="FT5">
        <v>39</v>
      </c>
      <c r="FU5">
        <v>40</v>
      </c>
      <c r="FV5">
        <v>41</v>
      </c>
      <c r="FW5">
        <v>42</v>
      </c>
      <c r="FX5">
        <v>43</v>
      </c>
      <c r="FY5">
        <v>44</v>
      </c>
      <c r="FZ5">
        <v>45</v>
      </c>
      <c r="GA5">
        <v>46</v>
      </c>
      <c r="GB5">
        <v>47</v>
      </c>
      <c r="GC5">
        <v>48</v>
      </c>
      <c r="GD5">
        <v>49</v>
      </c>
      <c r="GE5">
        <v>50</v>
      </c>
      <c r="GF5">
        <v>51</v>
      </c>
      <c r="GG5">
        <v>52</v>
      </c>
      <c r="GH5">
        <v>53</v>
      </c>
      <c r="GI5">
        <v>54</v>
      </c>
      <c r="GJ5">
        <v>55</v>
      </c>
      <c r="GK5">
        <v>56</v>
      </c>
      <c r="GL5">
        <v>57</v>
      </c>
      <c r="GM5">
        <v>58</v>
      </c>
      <c r="GN5">
        <v>59</v>
      </c>
      <c r="GO5">
        <v>60</v>
      </c>
      <c r="GP5">
        <v>61</v>
      </c>
      <c r="GQ5">
        <v>62</v>
      </c>
      <c r="GR5">
        <v>63</v>
      </c>
      <c r="GS5">
        <v>64</v>
      </c>
      <c r="GT5">
        <v>65</v>
      </c>
      <c r="GU5">
        <v>66</v>
      </c>
      <c r="GV5">
        <v>67</v>
      </c>
      <c r="GW5">
        <v>68</v>
      </c>
      <c r="GX5">
        <v>69</v>
      </c>
      <c r="GY5">
        <v>70</v>
      </c>
      <c r="GZ5">
        <v>71</v>
      </c>
      <c r="HA5">
        <v>72</v>
      </c>
      <c r="HB5">
        <v>73</v>
      </c>
      <c r="HC5">
        <v>74</v>
      </c>
      <c r="HD5">
        <v>75</v>
      </c>
      <c r="HE5">
        <v>76</v>
      </c>
      <c r="HF5">
        <v>77</v>
      </c>
      <c r="HG5">
        <v>78</v>
      </c>
      <c r="HH5">
        <v>79</v>
      </c>
      <c r="HI5">
        <v>80</v>
      </c>
      <c r="HJ5">
        <v>81</v>
      </c>
      <c r="HK5">
        <v>82</v>
      </c>
      <c r="HL5">
        <v>83</v>
      </c>
      <c r="HM5">
        <v>84</v>
      </c>
      <c r="HN5">
        <v>85</v>
      </c>
      <c r="HO5">
        <v>86</v>
      </c>
      <c r="HP5">
        <v>87</v>
      </c>
      <c r="HQ5">
        <v>88</v>
      </c>
      <c r="HR5">
        <v>89</v>
      </c>
      <c r="HS5">
        <v>90</v>
      </c>
      <c r="HT5">
        <v>91</v>
      </c>
      <c r="HU5">
        <v>92</v>
      </c>
      <c r="HV5">
        <v>93</v>
      </c>
      <c r="HW5">
        <v>94</v>
      </c>
      <c r="HX5">
        <v>95</v>
      </c>
      <c r="HY5">
        <v>96</v>
      </c>
      <c r="HZ5">
        <v>97</v>
      </c>
      <c r="IA5">
        <v>98</v>
      </c>
      <c r="IB5">
        <v>99</v>
      </c>
    </row>
    <row r="6" spans="1:236">
      <c r="A6" s="228">
        <v>365</v>
      </c>
      <c r="B6" s="229">
        <v>0</v>
      </c>
      <c r="C6" s="229">
        <f>Reference!N6</f>
        <v>0</v>
      </c>
      <c r="D6" s="82"/>
      <c r="E6" s="83" t="s">
        <v>53</v>
      </c>
      <c r="F6" s="77">
        <f>100*SUMPRODUCT($C5:$C99,CMFs!$G2:$G96,'99set'!B$10:B$104)/SUMPRODUCT($C5:$C99,CMFs!$G2:$G96)</f>
        <v>100</v>
      </c>
      <c r="G6" s="77">
        <f>100*SUMPRODUCT($C5:$C99,CMFs!$G2:$G96,'99set'!C$10:C$104)/SUMPRODUCT($C5:$C99,CMFs!$G2:$G96)</f>
        <v>62.580067382508659</v>
      </c>
      <c r="H6" s="77">
        <f>100*SUMPRODUCT($C5:$C99,CMFs!$G2:$G96,'99set'!D$10:D$104)/SUMPRODUCT($C5:$C99,CMFs!$G2:$G96)</f>
        <v>26.621171922832588</v>
      </c>
      <c r="I6" s="77">
        <f>100*SUMPRODUCT($C5:$C99,CMFs!$G2:$G96,'99set'!E$10:E$104)/SUMPRODUCT($C5:$C99,CMFs!$G2:$G96)</f>
        <v>5.9177711359505194</v>
      </c>
      <c r="J6" s="77">
        <f>100*SUMPRODUCT($C5:$C99,CMFs!$G2:$G96,'99set'!F$10:F$104)/SUMPRODUCT($C5:$C99,CMFs!$G2:$G96)</f>
        <v>35.377685855408991</v>
      </c>
      <c r="K6" s="77">
        <f>100*SUMPRODUCT($C5:$C99,CMFs!$G2:$G96,'99set'!G$10:G$104)/SUMPRODUCT($C5:$C99,CMFs!$G2:$G96)</f>
        <v>16.069158427921824</v>
      </c>
      <c r="L6" s="77">
        <f>100*SUMPRODUCT($C5:$C99,CMFs!$G2:$G96,'99set'!H$10:H$104)/SUMPRODUCT($C5:$C99,CMFs!$G2:$G96)</f>
        <v>16.767876705630066</v>
      </c>
      <c r="M6" s="77">
        <f>100*SUMPRODUCT($C5:$C99,CMFs!$G2:$G96,'99set'!I$10:I$104)/SUMPRODUCT($C5:$C99,CMFs!$G2:$G96)</f>
        <v>11.239284141808891</v>
      </c>
      <c r="N6" s="77">
        <f>100*SUMPRODUCT($C5:$C99,CMFs!$G2:$G96,'99set'!J$10:J$104)/SUMPRODUCT($C5:$C99,CMFs!$G2:$G96)</f>
        <v>10.784031134561683</v>
      </c>
      <c r="O6" s="77">
        <f>100*SUMPRODUCT($C5:$C99,CMFs!$G2:$G96,'99set'!K$10:K$104)/SUMPRODUCT($C5:$C99,CMFs!$G2:$G96)</f>
        <v>4.997510090183293</v>
      </c>
      <c r="P6" s="77">
        <f>100*SUMPRODUCT($C5:$C99,CMFs!$G2:$G96,'99set'!L$10:L$104)/SUMPRODUCT($C5:$C99,CMFs!$G2:$G96)</f>
        <v>43.138352590478917</v>
      </c>
      <c r="Q6" s="77">
        <f>100*SUMPRODUCT($C5:$C99,CMFs!$G2:$G96,'99set'!M$10:M$104)/SUMPRODUCT($C5:$C99,CMFs!$G2:$G96)</f>
        <v>22.465626129540443</v>
      </c>
      <c r="R6" s="77">
        <f>100*SUMPRODUCT($C5:$C99,CMFs!$G2:$G96,'99set'!N$10:N$104)/SUMPRODUCT($C5:$C99,CMFs!$G2:$G96)</f>
        <v>28.750104531664014</v>
      </c>
      <c r="S6" s="77">
        <f>100*SUMPRODUCT($C5:$C99,CMFs!$G2:$G96,'99set'!O$10:O$104)/SUMPRODUCT($C5:$C99,CMFs!$G2:$G96)</f>
        <v>11.754898880989915</v>
      </c>
      <c r="T6" s="77">
        <f>100*SUMPRODUCT($C5:$C99,CMFs!$G2:$G96,'99set'!P$10:P$104)/SUMPRODUCT($C5:$C99,CMFs!$G2:$G96)</f>
        <v>42.346851366070645</v>
      </c>
      <c r="U6" s="77">
        <f>100*SUMPRODUCT($C5:$C99,CMFs!$G2:$G96,'99set'!Q$10:Q$104)/SUMPRODUCT($C5:$C99,CMFs!$G2:$G96)</f>
        <v>38.538969697830154</v>
      </c>
      <c r="V6" s="77">
        <f>100*SUMPRODUCT($C5:$C99,CMFs!$G2:$G96,'99set'!R$10:R$104)/SUMPRODUCT($C5:$C99,CMFs!$G2:$G96)</f>
        <v>14.658864074778169</v>
      </c>
      <c r="W6" s="77">
        <f>100*SUMPRODUCT($C5:$C99,CMFs!$G2:$G96,'99set'!S$10:S$104)/SUMPRODUCT($C5:$C99,CMFs!$G2:$G96)</f>
        <v>15.957277729162668</v>
      </c>
      <c r="X6" s="77">
        <f>100*SUMPRODUCT($C5:$C99,CMFs!$G2:$G96,'99set'!T$10:T$104)/SUMPRODUCT($C5:$C99,CMFs!$G2:$G96)</f>
        <v>21.491478315662647</v>
      </c>
      <c r="Y6" s="77">
        <f>100*SUMPRODUCT($C5:$C99,CMFs!$G2:$G96,'99set'!U$10:U$104)/SUMPRODUCT($C5:$C99,CMFs!$G2:$G96)</f>
        <v>38.325116924148723</v>
      </c>
      <c r="Z6" s="77">
        <f>100*SUMPRODUCT($C5:$C99,CMFs!$G2:$G96,'99set'!V$10:V$104)/SUMPRODUCT($C5:$C99,CMFs!$G2:$G96)</f>
        <v>32.564713511975903</v>
      </c>
      <c r="AA6" s="77">
        <f>100*SUMPRODUCT($C5:$C99,CMFs!$G2:$G96,'99set'!W$10:W$104)/SUMPRODUCT($C5:$C99,CMFs!$G2:$G96)</f>
        <v>63.575156102550778</v>
      </c>
      <c r="AB6" s="77">
        <f>100*SUMPRODUCT($C5:$C99,CMFs!$G2:$G96,'99set'!X$10:X$104)/SUMPRODUCT($C5:$C99,CMFs!$G2:$G96)</f>
        <v>49.258670007606369</v>
      </c>
      <c r="AC6" s="77">
        <f>100*SUMPRODUCT($C5:$C99,CMFs!$G2:$G96,'99set'!Y$10:Y$104)/SUMPRODUCT($C5:$C99,CMFs!$G2:$G96)</f>
        <v>76.4725949897215</v>
      </c>
      <c r="AD6" s="77">
        <f>100*SUMPRODUCT($C5:$C99,CMFs!$G2:$G96,'99set'!Z$10:Z$104)/SUMPRODUCT($C5:$C99,CMFs!$G2:$G96)</f>
        <v>73.830717195584754</v>
      </c>
      <c r="AE6" s="77">
        <f>100*SUMPRODUCT($C5:$C99,CMFs!$G2:$G96,'99set'!AA$10:AA$104)/SUMPRODUCT($C5:$C99,CMFs!$G2:$G96)</f>
        <v>38.711210696606166</v>
      </c>
      <c r="AF6" s="77">
        <f>100*SUMPRODUCT($C5:$C99,CMFs!$G2:$G96,'99set'!AB$10:AB$104)/SUMPRODUCT($C5:$C99,CMFs!$G2:$G96)</f>
        <v>71.954102901956105</v>
      </c>
      <c r="AG6" s="77">
        <f>100*SUMPRODUCT($C5:$C99,CMFs!$G2:$G96,'99set'!AC$10:AC$104)/SUMPRODUCT($C5:$C99,CMFs!$G2:$G96)</f>
        <v>41.66870484137074</v>
      </c>
      <c r="AH6" s="77">
        <f>100*SUMPRODUCT($C5:$C99,CMFs!$G2:$G96,'99set'!AD$10:AD$104)/SUMPRODUCT($C5:$C99,CMFs!$G2:$G96)</f>
        <v>11.101962494576007</v>
      </c>
      <c r="AI6" s="77">
        <f>100*SUMPRODUCT($C5:$C99,CMFs!$G2:$G96,'99set'!AE$10:AE$104)/SUMPRODUCT($C5:$C99,CMFs!$G2:$G96)</f>
        <v>66.043267109837487</v>
      </c>
      <c r="AJ6" s="77">
        <f>100*SUMPRODUCT($C5:$C99,CMFs!$G2:$G96,'99set'!AF$10:AF$104)/SUMPRODUCT($C5:$C99,CMFs!$G2:$G96)</f>
        <v>30.051705266011552</v>
      </c>
      <c r="AK6" s="77">
        <f>100*SUMPRODUCT($C5:$C99,CMFs!$G2:$G96,'99set'!AG$10:AG$104)/SUMPRODUCT($C5:$C99,CMFs!$G2:$G96)</f>
        <v>69.996415259935858</v>
      </c>
      <c r="AL6" s="77">
        <f>100*SUMPRODUCT($C5:$C99,CMFs!$G2:$G96,'99set'!AH$10:AH$104)/SUMPRODUCT($C5:$C99,CMFs!$G2:$G96)</f>
        <v>44.950350803339887</v>
      </c>
      <c r="AM6" s="77">
        <f>100*SUMPRODUCT($C5:$C99,CMFs!$G2:$G96,'99set'!AI$10:AI$104)/SUMPRODUCT($C5:$C99,CMFs!$G2:$G96)</f>
        <v>72.707808592791253</v>
      </c>
      <c r="AN6" s="77">
        <f>100*SUMPRODUCT($C5:$C99,CMFs!$G2:$G96,'99set'!AJ$10:AJ$104)/SUMPRODUCT($C5:$C99,CMFs!$G2:$G96)</f>
        <v>27.713712520390999</v>
      </c>
      <c r="AO6" s="77">
        <f>100*SUMPRODUCT($C5:$C99,CMFs!$G2:$G96,'99set'!AK$10:AK$104)/SUMPRODUCT($C5:$C99,CMFs!$G2:$G96)</f>
        <v>11.447131690108142</v>
      </c>
      <c r="AP6" s="77">
        <f>100*SUMPRODUCT($C5:$C99,CMFs!$G2:$G96,'99set'!AL$10:AL$104)/SUMPRODUCT($C5:$C99,CMFs!$G2:$G96)</f>
        <v>53.669609424192515</v>
      </c>
      <c r="AQ6" s="77">
        <f>100*SUMPRODUCT($C5:$C99,CMFs!$G2:$G96,'99set'!AM$10:AM$104)/SUMPRODUCT($C5:$C99,CMFs!$G2:$G96)</f>
        <v>15.155063787205441</v>
      </c>
      <c r="AR6" s="77">
        <f>100*SUMPRODUCT($C5:$C99,CMFs!$G2:$G96,'99set'!AN$10:AN$104)/SUMPRODUCT($C5:$C99,CMFs!$G2:$G96)</f>
        <v>65.385680596299721</v>
      </c>
      <c r="AS6" s="77">
        <f>100*SUMPRODUCT($C5:$C99,CMFs!$G2:$G96,'99set'!AO$10:AO$104)/SUMPRODUCT($C5:$C99,CMFs!$G2:$G96)</f>
        <v>7.699813466823664</v>
      </c>
      <c r="AT6" s="77">
        <f>100*SUMPRODUCT($C5:$C99,CMFs!$G2:$G96,'99set'!AP$10:AP$104)/SUMPRODUCT($C5:$C99,CMFs!$G2:$G96)</f>
        <v>16.782469840796466</v>
      </c>
      <c r="AU6" s="77">
        <f>100*SUMPRODUCT($C5:$C99,CMFs!$G2:$G96,'99set'!AQ$10:AQ$104)/SUMPRODUCT($C5:$C99,CMFs!$G2:$G96)</f>
        <v>69.295513386411045</v>
      </c>
      <c r="AV6" s="77">
        <f>100*SUMPRODUCT($C5:$C99,CMFs!$G2:$G96,'99set'!AR$10:AR$104)/SUMPRODUCT($C5:$C99,CMFs!$G2:$G96)</f>
        <v>36.349649512158322</v>
      </c>
      <c r="AW6" s="77">
        <f>100*SUMPRODUCT($C5:$C99,CMFs!$G2:$G96,'99set'!AS$10:AS$104)/SUMPRODUCT($C5:$C99,CMFs!$G2:$G96)</f>
        <v>41.761261968293084</v>
      </c>
      <c r="AX6" s="77">
        <f>100*SUMPRODUCT($C5:$C99,CMFs!$G2:$G96,'99set'!AT$10:AT$104)/SUMPRODUCT($C5:$C99,CMFs!$G2:$G96)</f>
        <v>4.9624858796544791</v>
      </c>
      <c r="AY6" s="77">
        <f>100*SUMPRODUCT($C5:$C99,CMFs!$G2:$G96,'99set'!AU$10:AU$104)/SUMPRODUCT($C5:$C99,CMFs!$G2:$G96)</f>
        <v>24.462072062392682</v>
      </c>
      <c r="AZ6" s="77">
        <f>100*SUMPRODUCT($C5:$C99,CMFs!$G2:$G96,'99set'!AV$10:AV$104)/SUMPRODUCT($C5:$C99,CMFs!$G2:$G96)</f>
        <v>33.346280845357029</v>
      </c>
      <c r="BA6" s="77">
        <f>100*SUMPRODUCT($C5:$C99,CMFs!$G2:$G96,'99set'!AW$10:AW$104)/SUMPRODUCT($C5:$C99,CMFs!$G2:$G96)</f>
        <v>37.658929299092279</v>
      </c>
      <c r="BB6" s="77">
        <f>100*SUMPRODUCT($C5:$C99,CMFs!$G2:$G96,'99set'!AX$10:AX$104)/SUMPRODUCT($C5:$C99,CMFs!$G2:$G96)</f>
        <v>49.596715245533048</v>
      </c>
      <c r="BC6" s="77">
        <f>100*SUMPRODUCT($C5:$C99,CMFs!$G2:$G96,'99set'!AY$10:AY$104)/SUMPRODUCT($C5:$C99,CMFs!$G2:$G96)</f>
        <v>14.308004455830137</v>
      </c>
      <c r="BD6" s="77">
        <f>100*SUMPRODUCT($C5:$C99,CMFs!$G2:$G96,'99set'!AZ$10:AZ$104)/SUMPRODUCT($C5:$C99,CMFs!$G2:$G96)</f>
        <v>20.77942846607349</v>
      </c>
      <c r="BE6" s="77">
        <f>100*SUMPRODUCT($C5:$C99,CMFs!$G2:$G96,'99set'!BA$10:BA$104)/SUMPRODUCT($C5:$C99,CMFs!$G2:$G96)</f>
        <v>24.323252402779691</v>
      </c>
      <c r="BF6" s="77">
        <f>100*SUMPRODUCT($C5:$C99,CMFs!$G2:$G96,'99set'!BB$10:BB$104)/SUMPRODUCT($C5:$C99,CMFs!$G2:$G96)</f>
        <v>11.162821272593041</v>
      </c>
      <c r="BG6" s="77">
        <f>100*SUMPRODUCT($C5:$C99,CMFs!$G2:$G96,'99set'!BC$10:BC$104)/SUMPRODUCT($C5:$C99,CMFs!$G2:$G96)</f>
        <v>17.114502368094861</v>
      </c>
      <c r="BH6" s="77">
        <f>100*SUMPRODUCT($C5:$C99,CMFs!$G2:$G96,'99set'!BD$10:BD$104)/SUMPRODUCT($C5:$C99,CMFs!$G2:$G96)</f>
        <v>67.071993876888357</v>
      </c>
      <c r="BI6" s="77">
        <f>100*SUMPRODUCT($C5:$C99,CMFs!$G2:$G96,'99set'!BE$10:BE$104)/SUMPRODUCT($C5:$C99,CMFs!$G2:$G96)</f>
        <v>60.020530129480271</v>
      </c>
      <c r="BJ6" s="77">
        <f>100*SUMPRODUCT($C5:$C99,CMFs!$G2:$G96,'99set'!BF$10:BF$104)/SUMPRODUCT($C5:$C99,CMFs!$G2:$G96)</f>
        <v>39.76232782696502</v>
      </c>
      <c r="BK6" s="77">
        <f>100*SUMPRODUCT($C5:$C99,CMFs!$G2:$G96,'99set'!BG$10:BG$104)/SUMPRODUCT($C5:$C99,CMFs!$G2:$G96)</f>
        <v>23.911831953059501</v>
      </c>
      <c r="BL6" s="77">
        <f>100*SUMPRODUCT($C5:$C99,CMFs!$G2:$G96,'99set'!BH$10:BH$104)/SUMPRODUCT($C5:$C99,CMFs!$G2:$G96)</f>
        <v>20.426053371899055</v>
      </c>
      <c r="BM6" s="77">
        <f>100*SUMPRODUCT($C5:$C99,CMFs!$G2:$G96,'99set'!BI$10:BI$104)/SUMPRODUCT($C5:$C99,CMFs!$G2:$G96)</f>
        <v>66.611078417097175</v>
      </c>
      <c r="BN6" s="77">
        <f>100*SUMPRODUCT($C5:$C99,CMFs!$G2:$G96,'99set'!BJ$10:BJ$104)/SUMPRODUCT($C5:$C99,CMFs!$G2:$G96)</f>
        <v>69.321429858029191</v>
      </c>
      <c r="BO6" s="77">
        <f>100*SUMPRODUCT($C5:$C99,CMFs!$G2:$G96,'99set'!BK$10:BK$104)/SUMPRODUCT($C5:$C99,CMFs!$G2:$G96)</f>
        <v>47.495216638238297</v>
      </c>
      <c r="BP6" s="77">
        <f>100*SUMPRODUCT($C5:$C99,CMFs!$G2:$G96,'99set'!BL$10:BL$104)/SUMPRODUCT($C5:$C99,CMFs!$G2:$G96)</f>
        <v>33.246200276758678</v>
      </c>
      <c r="BQ6" s="77">
        <f>100*SUMPRODUCT($C5:$C99,CMFs!$G2:$G96,'99set'!BM$10:BM$104)/SUMPRODUCT($C5:$C99,CMFs!$G2:$G96)</f>
        <v>7.3330157758110621</v>
      </c>
      <c r="BR6" s="77">
        <f>100*SUMPRODUCT($C5:$C99,CMFs!$G2:$G96,'99set'!BN$10:BN$104)/SUMPRODUCT($C5:$C99,CMFs!$G2:$G96)</f>
        <v>24.40616937973002</v>
      </c>
      <c r="BS6" s="77">
        <f>100*SUMPRODUCT($C5:$C99,CMFs!$G2:$G96,'99set'!BO$10:BO$104)/SUMPRODUCT($C5:$C99,CMFs!$G2:$G96)</f>
        <v>10.184734414632807</v>
      </c>
      <c r="BT6" s="77">
        <f>100*SUMPRODUCT($C5:$C99,CMFs!$G2:$G96,'99set'!BP$10:BP$104)/SUMPRODUCT($C5:$C99,CMFs!$G2:$G96)</f>
        <v>13.009941700720951</v>
      </c>
      <c r="BU6" s="77">
        <f>100*SUMPRODUCT($C5:$C99,CMFs!$G2:$G96,'99set'!BQ$10:BQ$104)/SUMPRODUCT($C5:$C99,CMFs!$G2:$G96)</f>
        <v>15.180003948609647</v>
      </c>
      <c r="BV6" s="77">
        <f>100*SUMPRODUCT($C5:$C99,CMFs!$G2:$G96,'99set'!BR$10:BR$104)/SUMPRODUCT($C5:$C99,CMFs!$G2:$G96)</f>
        <v>29.602103634552876</v>
      </c>
      <c r="BW6" s="77">
        <f>100*SUMPRODUCT($C5:$C99,CMFs!$G2:$G96,'99set'!BS$10:BS$104)/SUMPRODUCT($C5:$C99,CMFs!$G2:$G96)</f>
        <v>19.110437895127561</v>
      </c>
      <c r="BX6" s="77">
        <f>100*SUMPRODUCT($C5:$C99,CMFs!$G2:$G96,'99set'!BT$10:BT$104)/SUMPRODUCT($C5:$C99,CMFs!$G2:$G96)</f>
        <v>40.439809471250918</v>
      </c>
      <c r="BY6" s="77">
        <f>100*SUMPRODUCT($C5:$C99,CMFs!$G2:$G96,'99set'!BU$10:BU$104)/SUMPRODUCT($C5:$C99,CMFs!$G2:$G96)</f>
        <v>7.5699428198362604</v>
      </c>
      <c r="BZ6" s="77">
        <f>100*SUMPRODUCT($C5:$C99,CMFs!$G2:$G96,'99set'!BV$10:BV$104)/SUMPRODUCT($C5:$C99,CMFs!$G2:$G96)</f>
        <v>46.858082861949256</v>
      </c>
      <c r="CA6" s="77">
        <f>100*SUMPRODUCT($C5:$C99,CMFs!$G2:$G96,'99set'!BW$10:BW$104)/SUMPRODUCT($C5:$C99,CMFs!$G2:$G96)</f>
        <v>22.90959223009845</v>
      </c>
      <c r="CB6" s="77">
        <f>100*SUMPRODUCT($C5:$C99,CMFs!$G2:$G96,'99set'!BX$10:BX$104)/SUMPRODUCT($C5:$C99,CMFs!$G2:$G96)</f>
        <v>4.8206639602198349</v>
      </c>
      <c r="CC6" s="77">
        <f>100*SUMPRODUCT($C5:$C99,CMFs!$G2:$G96,'99set'!BY$10:BY$104)/SUMPRODUCT($C5:$C99,CMFs!$G2:$G96)</f>
        <v>6.6455102944701281</v>
      </c>
      <c r="CD6" s="77">
        <f>100*SUMPRODUCT($C5:$C99,CMFs!$G2:$G96,'99set'!BZ$10:BZ$104)/SUMPRODUCT($C5:$C99,CMFs!$G2:$G96)</f>
        <v>14.759196959645008</v>
      </c>
      <c r="CE6" s="77">
        <f>100*SUMPRODUCT($C5:$C99,CMFs!$G2:$G96,'99set'!CA$10:CA$104)/SUMPRODUCT($C5:$C99,CMFs!$G2:$G96)</f>
        <v>12.643324121507439</v>
      </c>
      <c r="CF6" s="77">
        <f>100*SUMPRODUCT($C5:$C99,CMFs!$G2:$G96,'99set'!CB$10:CB$104)/SUMPRODUCT($C5:$C99,CMFs!$G2:$G96)</f>
        <v>12.199640913496751</v>
      </c>
      <c r="CG6" s="77">
        <f>100*SUMPRODUCT($C5:$C99,CMFs!$G2:$G96,'99set'!CC$10:CC$104)/SUMPRODUCT($C5:$C99,CMFs!$G2:$G96)</f>
        <v>42.138619069874082</v>
      </c>
      <c r="CH6" s="77">
        <f>100*SUMPRODUCT($C5:$C99,CMFs!$G2:$G96,'99set'!CD$10:CD$104)/SUMPRODUCT($C5:$C99,CMFs!$G2:$G96)</f>
        <v>31.329005213301951</v>
      </c>
      <c r="CI6" s="77">
        <f>100*SUMPRODUCT($C5:$C99,CMFs!$G2:$G96,'99set'!CE$10:CE$104)/SUMPRODUCT($C5:$C99,CMFs!$G2:$G96)</f>
        <v>12.159607181756973</v>
      </c>
      <c r="CJ6" s="77">
        <f>100*SUMPRODUCT($C5:$C99,CMFs!$G2:$G96,'99set'!CF$10:CF$104)/SUMPRODUCT($C5:$C99,CMFs!$G2:$G96)</f>
        <v>66.728822304021861</v>
      </c>
      <c r="CK6" s="77">
        <f>100*SUMPRODUCT($C5:$C99,CMFs!$G2:$G96,'99set'!CG$10:CG$104)/SUMPRODUCT($C5:$C99,CMFs!$G2:$G96)</f>
        <v>40.819308625505549</v>
      </c>
      <c r="CL6" s="77">
        <f>100*SUMPRODUCT($C5:$C99,CMFs!$G2:$G96,'99set'!CH$10:CH$104)/SUMPRODUCT($C5:$C99,CMFs!$G2:$G96)</f>
        <v>4.7457613889707293</v>
      </c>
      <c r="CM6" s="77">
        <f>100*SUMPRODUCT($C5:$C99,CMFs!$G2:$G96,'99set'!CI$10:CI$104)/SUMPRODUCT($C5:$C99,CMFs!$G2:$G96)</f>
        <v>10.67315067505872</v>
      </c>
      <c r="CN6" s="77">
        <f>100*SUMPRODUCT($C5:$C99,CMFs!$G2:$G96,'99set'!CJ$10:CJ$104)/SUMPRODUCT($C5:$C99,CMFs!$G2:$G96)</f>
        <v>31.057382746945333</v>
      </c>
      <c r="CO6" s="77">
        <f>100*SUMPRODUCT($C5:$C99,CMFs!$G2:$G96,'99set'!CK$10:CK$104)/SUMPRODUCT($C5:$C99,CMFs!$G2:$G96)</f>
        <v>9.5301687293854336</v>
      </c>
      <c r="CP6" s="77">
        <f>100*SUMPRODUCT($C5:$C99,CMFs!$G2:$G96,'99set'!CL$10:CL$104)/SUMPRODUCT($C5:$C99,CMFs!$G2:$G96)</f>
        <v>27.081800527702939</v>
      </c>
      <c r="CQ6" s="77">
        <f>100*SUMPRODUCT($C5:$C99,CMFs!$G2:$G96,'99set'!CM$10:CM$104)/SUMPRODUCT($C5:$C99,CMFs!$G2:$G96)</f>
        <v>8.8513637759770543</v>
      </c>
      <c r="CR6" s="77">
        <f>100*SUMPRODUCT($C5:$C99,CMFs!$G2:$G96,'99set'!CN$10:CN$104)/SUMPRODUCT($C5:$C99,CMFs!$G2:$G96)</f>
        <v>11.837067822066151</v>
      </c>
      <c r="CS6" s="77">
        <f>100*SUMPRODUCT($C5:$C99,CMFs!$G2:$G96,'99set'!CO$10:CO$104)/SUMPRODUCT($C5:$C99,CMFs!$G2:$G96)</f>
        <v>53.493561730933031</v>
      </c>
      <c r="CT6" s="77">
        <f>100*SUMPRODUCT($C5:$C99,CMFs!$G2:$G96,'99set'!CP$10:CP$104)/SUMPRODUCT($C5:$C99,CMFs!$G2:$G96)</f>
        <v>21.643351362666294</v>
      </c>
      <c r="CU6" s="77">
        <f>100*SUMPRODUCT($C5:$C99,CMFs!$G2:$G96,'99set'!CQ$10:CQ$104)/SUMPRODUCT($C5:$C99,CMFs!$G2:$G96)</f>
        <v>33.43802695973973</v>
      </c>
      <c r="CV6" s="77">
        <f>100*SUMPRODUCT($C5:$C99,CMFs!$G2:$G96,'99set'!CR$10:CR$104)/SUMPRODUCT($C5:$C99,CMFs!$G2:$G96)</f>
        <v>9.6089359917265682</v>
      </c>
      <c r="CW6" s="77">
        <f>100*SUMPRODUCT($C5:$C99,CMFs!$G2:$G96,'99set'!CS$10:CS$104)/SUMPRODUCT($C5:$C99,CMFs!$G2:$G96)</f>
        <v>37.133507385146331</v>
      </c>
      <c r="CX6" s="77">
        <f>100*SUMPRODUCT($C5:$C99,CMFs!$G2:$G96,'99set'!CT$10:CT$104)/SUMPRODUCT($C5:$C99,CMFs!$G2:$G96)</f>
        <v>49.306772154496109</v>
      </c>
      <c r="CY6" s="77">
        <f>100*SUMPRODUCT($C5:$C99,CMFs!$G2:$G96,'99set'!CU$10:CU$104)/SUMPRODUCT($C5:$C99,CMFs!$G2:$G96)</f>
        <v>17.743065790958934</v>
      </c>
      <c r="CZ6" s="77">
        <f>100*SUMPRODUCT($C5:$C99,CMFs!$G2:$G96,'99set'!CV$10:CV$104)/SUMPRODUCT($C5:$C99,CMFs!$G2:$G96)</f>
        <v>29.417201582324473</v>
      </c>
      <c r="DA6" s="77">
        <f>100*SUMPRODUCT($C5:$C99,CMFs!$G2:$G96,'99set'!CW$10:CW$104)/SUMPRODUCT($C5:$C99,CMFs!$G2:$G96)</f>
        <v>18.191178323482891</v>
      </c>
      <c r="DC6">
        <v>2</v>
      </c>
      <c r="DD6" s="84">
        <v>62.757957047963032</v>
      </c>
      <c r="DE6" s="84">
        <v>31.100879263454328</v>
      </c>
      <c r="DF6" s="84">
        <v>4.2116484955200821</v>
      </c>
      <c r="DG6" s="84">
        <v>62.125680237671439</v>
      </c>
      <c r="DH6" s="84">
        <v>28.367640981309265</v>
      </c>
      <c r="DI6" s="84">
        <v>3.4598399357351064</v>
      </c>
      <c r="DJ6" s="84">
        <v>2.9044072686835372</v>
      </c>
      <c r="DK6" s="84">
        <f t="shared" ref="DK6:DK69" si="0">DJ6^2</f>
        <v>8.435581582381765</v>
      </c>
      <c r="DL6" s="84">
        <f t="shared" ref="DL6:DL69" si="1">ATAN(DF6/DE6)+PI()*IF(AND((DE6&lt;0),(DF6&gt;0)),1,0)+PI()*IF(AND((DE6&lt;0),(DF6&lt;0)),1,0)+2*PI()*IF(AND((DE6&gt;0),(DF6&lt;0)),1,0)</f>
        <v>0.13460015895212862</v>
      </c>
      <c r="DM6" s="84">
        <f t="shared" ref="DM6:DM69" si="2">DL6*180/PI()</f>
        <v>7.7120210297469951</v>
      </c>
      <c r="DN6" s="85">
        <v>1</v>
      </c>
      <c r="DO6">
        <v>3</v>
      </c>
      <c r="DP6">
        <f t="shared" ref="DP6:DP34" si="3">ATAN(DR6/DQ6)*180/PI()</f>
        <v>22.5</v>
      </c>
      <c r="DQ6" s="270">
        <v>18.477590650225736</v>
      </c>
      <c r="DR6" s="270">
        <v>7.6536686473017959</v>
      </c>
      <c r="DT6" t="s">
        <v>79</v>
      </c>
      <c r="DU6" s="87">
        <f>DAVERAGE($DE$4:$DR$103,"a_r",DU$4:DU$5)</f>
        <v>22.252492858931017</v>
      </c>
      <c r="DV6" s="87">
        <f t="shared" ref="DV6:EC6" si="4">DAVERAGE($DE$4:$DN$103,"a_r",DV4:DV5)</f>
        <v>9.2096273548855496</v>
      </c>
      <c r="DW6" s="87">
        <f t="shared" si="4"/>
        <v>-5.8630651097124282</v>
      </c>
      <c r="DX6" s="87">
        <f t="shared" si="4"/>
        <v>-21.815657024746308</v>
      </c>
      <c r="DY6" s="87">
        <f t="shared" si="4"/>
        <v>-16.717345360794614</v>
      </c>
      <c r="DZ6" s="87">
        <f t="shared" si="4"/>
        <v>-9.568079100007953</v>
      </c>
      <c r="EA6" s="87">
        <f t="shared" si="4"/>
        <v>7.566554853225254</v>
      </c>
      <c r="EB6" s="87">
        <f>DAVERAGE($DE$4:$DN$103,"a_r",EB4:EB5)</f>
        <v>19.366542748230319</v>
      </c>
      <c r="EC6" s="87">
        <f t="shared" si="4"/>
        <v>22.252492858931017</v>
      </c>
      <c r="ED6">
        <f t="shared" ref="ED6:ED22" si="5">DV6</f>
        <v>9.2096273548855496</v>
      </c>
      <c r="EF6" t="str">
        <f>DT6</f>
        <v>ar</v>
      </c>
      <c r="EG6" s="82"/>
      <c r="EH6" s="82">
        <f t="shared" ref="EH6:EQ7" si="6">G128</f>
        <v>16.763604554018801</v>
      </c>
      <c r="EI6" s="82">
        <f t="shared" si="6"/>
        <v>31.100879263454328</v>
      </c>
      <c r="EJ6" s="82">
        <f t="shared" si="6"/>
        <v>14.654422365876453</v>
      </c>
      <c r="EK6" s="82">
        <f t="shared" si="6"/>
        <v>20.785562506662941</v>
      </c>
      <c r="EL6" s="82">
        <f t="shared" si="6"/>
        <v>33.61442714598067</v>
      </c>
      <c r="EM6" s="82">
        <f t="shared" si="6"/>
        <v>17.972862692322831</v>
      </c>
      <c r="EN6" s="82">
        <f t="shared" si="6"/>
        <v>31.554087921627399</v>
      </c>
      <c r="EO6" s="82">
        <f t="shared" si="6"/>
        <v>29.300586159612159</v>
      </c>
      <c r="EP6" s="82">
        <f t="shared" si="6"/>
        <v>2.98007388455123</v>
      </c>
      <c r="EQ6" s="82">
        <f t="shared" si="6"/>
        <v>29.443357034805736</v>
      </c>
      <c r="ER6" s="82">
        <f t="shared" ref="ER6:FA7" si="7">Q128</f>
        <v>28.438900365418341</v>
      </c>
      <c r="ES6" s="82">
        <f t="shared" si="7"/>
        <v>30.231242087795884</v>
      </c>
      <c r="ET6" s="82">
        <f t="shared" si="7"/>
        <v>18.337406665102773</v>
      </c>
      <c r="EU6" s="82">
        <f t="shared" si="7"/>
        <v>6.3574873778047278</v>
      </c>
      <c r="EV6" s="82">
        <f t="shared" si="7"/>
        <v>12.510388769156039</v>
      </c>
      <c r="EW6" s="82">
        <f t="shared" si="7"/>
        <v>17.125411831906632</v>
      </c>
      <c r="EX6" s="82">
        <f t="shared" si="7"/>
        <v>14.747793001011109</v>
      </c>
      <c r="EY6" s="82">
        <f t="shared" si="7"/>
        <v>11.580134410073564</v>
      </c>
      <c r="EZ6" s="82">
        <f t="shared" si="7"/>
        <v>13.860411380364932</v>
      </c>
      <c r="FA6" s="82">
        <f t="shared" si="7"/>
        <v>19.010883226896489</v>
      </c>
      <c r="FB6" s="82">
        <f t="shared" ref="FB6:FK7" si="8">AA128</f>
        <v>13.852493262781975</v>
      </c>
      <c r="FC6" s="82">
        <f t="shared" si="8"/>
        <v>14.957204661222505</v>
      </c>
      <c r="FD6" s="82">
        <f t="shared" si="8"/>
        <v>3.7263189756370823</v>
      </c>
      <c r="FE6" s="82">
        <f t="shared" si="8"/>
        <v>6.410101705118219</v>
      </c>
      <c r="FF6" s="82">
        <f t="shared" si="8"/>
        <v>8.1660322856434959</v>
      </c>
      <c r="FG6" s="82">
        <f t="shared" si="8"/>
        <v>6.5300954433660099</v>
      </c>
      <c r="FH6" s="82">
        <f t="shared" si="8"/>
        <v>1.286100014185388</v>
      </c>
      <c r="FI6" s="82">
        <f t="shared" si="8"/>
        <v>0.34939940849054085</v>
      </c>
      <c r="FJ6" s="82">
        <f t="shared" si="8"/>
        <v>1.6752495247263397</v>
      </c>
      <c r="FK6" s="82">
        <f t="shared" si="8"/>
        <v>1.5660197775884876</v>
      </c>
      <c r="FL6" s="82">
        <f t="shared" ref="FL6:FU7" si="9">AK128</f>
        <v>0.13430938428798708</v>
      </c>
      <c r="FM6" s="82">
        <f t="shared" si="9"/>
        <v>-0.7497638664370706</v>
      </c>
      <c r="FN6" s="82">
        <f t="shared" si="9"/>
        <v>-0.11637697743702564</v>
      </c>
      <c r="FO6" s="82">
        <f t="shared" si="9"/>
        <v>-3.0535730271092358</v>
      </c>
      <c r="FP6" s="82">
        <f t="shared" si="9"/>
        <v>-2.435125042474954</v>
      </c>
      <c r="FQ6" s="82">
        <f t="shared" si="9"/>
        <v>-0.22815939269962762</v>
      </c>
      <c r="FR6" s="82">
        <f t="shared" si="9"/>
        <v>-4.7095116766844463</v>
      </c>
      <c r="FS6" s="82">
        <f t="shared" si="9"/>
        <v>-2.9287777870507186</v>
      </c>
      <c r="FT6" s="82">
        <f t="shared" si="9"/>
        <v>-2.1721896013829198</v>
      </c>
      <c r="FU6" s="82">
        <f t="shared" si="9"/>
        <v>-4.4654854501287717</v>
      </c>
      <c r="FV6" s="82">
        <f t="shared" ref="FV6:GE7" si="10">AU128</f>
        <v>-3.3283606928323879</v>
      </c>
      <c r="FW6" s="82">
        <f t="shared" si="10"/>
        <v>-16.306385986749227</v>
      </c>
      <c r="FX6" s="82">
        <f t="shared" si="10"/>
        <v>-17.139047349507187</v>
      </c>
      <c r="FY6" s="82">
        <f t="shared" si="10"/>
        <v>-0.77511556563735418</v>
      </c>
      <c r="FZ6" s="82">
        <f t="shared" si="10"/>
        <v>-17.850368291761654</v>
      </c>
      <c r="GA6" s="82">
        <f t="shared" si="10"/>
        <v>-14.111160929982161</v>
      </c>
      <c r="GB6" s="82">
        <f t="shared" si="10"/>
        <v>-9.4370146115245177</v>
      </c>
      <c r="GC6" s="82">
        <f t="shared" si="10"/>
        <v>-19.363635029691679</v>
      </c>
      <c r="GD6" s="82">
        <f t="shared" si="10"/>
        <v>-17.329081248292034</v>
      </c>
      <c r="GE6" s="82">
        <f t="shared" si="10"/>
        <v>-18.085175206921971</v>
      </c>
      <c r="GF6" s="82">
        <f t="shared" ref="GF6:GO7" si="11">BE128</f>
        <v>-16.017808981589852</v>
      </c>
      <c r="GG6" s="82">
        <f t="shared" si="11"/>
        <v>-21.218286152673926</v>
      </c>
      <c r="GH6" s="82">
        <f t="shared" si="11"/>
        <v>-30.57912914939282</v>
      </c>
      <c r="GI6" s="82">
        <f t="shared" si="11"/>
        <v>-15.907708248561086</v>
      </c>
      <c r="GJ6" s="82">
        <f t="shared" si="11"/>
        <v>-17.867779352062637</v>
      </c>
      <c r="GK6" s="82">
        <f t="shared" si="11"/>
        <v>-30.043134094407971</v>
      </c>
      <c r="GL6" s="82">
        <f t="shared" si="11"/>
        <v>-31.744832783869111</v>
      </c>
      <c r="GM6" s="82">
        <f t="shared" si="11"/>
        <v>-31.347115496415498</v>
      </c>
      <c r="GN6" s="82">
        <f t="shared" si="11"/>
        <v>-15.839994824588887</v>
      </c>
      <c r="GO6" s="82">
        <f t="shared" si="11"/>
        <v>-6.8059756926562622</v>
      </c>
      <c r="GP6" s="82">
        <f t="shared" ref="GP6:GY7" si="12">BO128</f>
        <v>-14.604105825920827</v>
      </c>
      <c r="GQ6" s="82">
        <f t="shared" si="12"/>
        <v>-6.5217975455952661</v>
      </c>
      <c r="GR6" s="82">
        <f t="shared" si="12"/>
        <v>-2.3850160068910067</v>
      </c>
      <c r="GS6" s="82">
        <f t="shared" si="12"/>
        <v>-28.856701551166868</v>
      </c>
      <c r="GT6" s="82">
        <f t="shared" si="12"/>
        <v>-18.040330506519219</v>
      </c>
      <c r="GU6" s="82">
        <f t="shared" si="12"/>
        <v>-25.460162142592861</v>
      </c>
      <c r="GV6" s="82">
        <f t="shared" si="12"/>
        <v>-25.747285136062612</v>
      </c>
      <c r="GW6" s="82">
        <f t="shared" si="12"/>
        <v>-17.2937471465942</v>
      </c>
      <c r="GX6" s="82">
        <f t="shared" si="12"/>
        <v>-7.705912454531898</v>
      </c>
      <c r="GY6" s="82">
        <f t="shared" si="12"/>
        <v>-17.469653892152092</v>
      </c>
      <c r="GZ6" s="82">
        <f t="shared" ref="GZ6:HI7" si="13">BY128</f>
        <v>-14.681768210074937</v>
      </c>
      <c r="HA6" s="82">
        <f t="shared" si="13"/>
        <v>-6.1268082856843806</v>
      </c>
      <c r="HB6" s="82">
        <f t="shared" si="13"/>
        <v>-20.122031369222924</v>
      </c>
      <c r="HC6" s="82">
        <f t="shared" si="13"/>
        <v>-1.2821297248246635</v>
      </c>
      <c r="HD6" s="82">
        <f t="shared" si="13"/>
        <v>-11.515706660194821</v>
      </c>
      <c r="HE6" s="82">
        <f t="shared" si="13"/>
        <v>-12.967776813173812</v>
      </c>
      <c r="HF6" s="82">
        <f t="shared" si="13"/>
        <v>-8.1048614374606114</v>
      </c>
      <c r="HG6" s="82">
        <f t="shared" si="13"/>
        <v>-10.857092891277329</v>
      </c>
      <c r="HH6" s="82">
        <f t="shared" si="13"/>
        <v>-3.2720997060974812</v>
      </c>
      <c r="HI6" s="82">
        <f t="shared" si="13"/>
        <v>1.1510588900755752</v>
      </c>
      <c r="HJ6" s="82">
        <f t="shared" ref="HJ6:HS7" si="14">CI128</f>
        <v>4.520239695287092</v>
      </c>
      <c r="HK6" s="82">
        <f t="shared" si="14"/>
        <v>1.238808340722044</v>
      </c>
      <c r="HL6" s="82">
        <f t="shared" si="14"/>
        <v>3.5677856750256813</v>
      </c>
      <c r="HM6" s="82">
        <f t="shared" si="14"/>
        <v>3.8951160693942106</v>
      </c>
      <c r="HN6" s="82">
        <f t="shared" si="14"/>
        <v>6.2332635408307917</v>
      </c>
      <c r="HO6" s="82">
        <f t="shared" si="14"/>
        <v>10.075987920046504</v>
      </c>
      <c r="HP6" s="82">
        <f t="shared" si="14"/>
        <v>13.428184559330223</v>
      </c>
      <c r="HQ6" s="82">
        <f t="shared" si="14"/>
        <v>17.573053025165489</v>
      </c>
      <c r="HR6" s="82">
        <f t="shared" si="14"/>
        <v>17.303925143618738</v>
      </c>
      <c r="HS6" s="82">
        <f t="shared" si="14"/>
        <v>19.961639018775287</v>
      </c>
      <c r="HT6" s="82">
        <f t="shared" ref="HT6:IC7" si="15">CS128</f>
        <v>3.449012422433567</v>
      </c>
      <c r="HU6" s="82">
        <f t="shared" si="15"/>
        <v>15.80116790943732</v>
      </c>
      <c r="HV6" s="82">
        <f t="shared" si="15"/>
        <v>13.535976180101475</v>
      </c>
      <c r="HW6" s="82">
        <f t="shared" si="15"/>
        <v>22.764817874585958</v>
      </c>
      <c r="HX6" s="82">
        <f t="shared" si="15"/>
        <v>17.847096691087479</v>
      </c>
      <c r="HY6" s="82">
        <f t="shared" si="15"/>
        <v>17.122825005011254</v>
      </c>
      <c r="HZ6" s="82">
        <f t="shared" si="15"/>
        <v>23.331667482620489</v>
      </c>
      <c r="IA6" s="82">
        <f t="shared" si="15"/>
        <v>29.873054181060056</v>
      </c>
      <c r="IB6" s="82">
        <f t="shared" si="15"/>
        <v>32.040788321801898</v>
      </c>
    </row>
    <row r="7" spans="1:236">
      <c r="A7" s="228">
        <v>370</v>
      </c>
      <c r="B7" s="229">
        <f>B6</f>
        <v>0</v>
      </c>
      <c r="C7" s="229">
        <f>Reference!N7</f>
        <v>0</v>
      </c>
      <c r="D7" s="82"/>
      <c r="E7" s="88" t="s">
        <v>55</v>
      </c>
      <c r="F7" s="77">
        <f>100*SUMPRODUCT($C5:$C99,CMFs!$H2:$H96,'99set'!B$10:B$104)/SUMPRODUCT($C5:$C99,CMFs!$G2:$G96)</f>
        <v>46.491694052237051</v>
      </c>
      <c r="G7" s="77">
        <f>100*SUMPRODUCT($C5:$C99,CMFs!$H2:$H96,'99set'!C$10:C$104)/SUMPRODUCT($C5:$C99,CMFs!$G2:$G96)</f>
        <v>28.145835086612422</v>
      </c>
      <c r="H7" s="77">
        <f>100*SUMPRODUCT($C5:$C99,CMFs!$H2:$H96,'99set'!D$10:D$104)/SUMPRODUCT($C5:$C99,CMFs!$G2:$G96)</f>
        <v>10.229657065750521</v>
      </c>
      <c r="I7" s="77">
        <f>100*SUMPRODUCT($C5:$C99,CMFs!$H2:$H96,'99set'!E$10:E$104)/SUMPRODUCT($C5:$C99,CMFs!$G2:$G96)</f>
        <v>2.4231327098204032</v>
      </c>
      <c r="J7" s="77">
        <f>100*SUMPRODUCT($C5:$C99,CMFs!$H2:$H96,'99set'!F$10:F$104)/SUMPRODUCT($C5:$C99,CMFs!$G2:$G96)</f>
        <v>13.205565269623712</v>
      </c>
      <c r="K7" s="77">
        <f>100*SUMPRODUCT($C5:$C99,CMFs!$H2:$H96,'99set'!G$10:G$104)/SUMPRODUCT($C5:$C99,CMFs!$G2:$G96)</f>
        <v>4.2668346887792294</v>
      </c>
      <c r="L7" s="77">
        <f>100*SUMPRODUCT($C5:$C99,CMFs!$H2:$H96,'99set'!H$10:H$104)/SUMPRODUCT($C5:$C99,CMFs!$G2:$G96)</f>
        <v>5.7848755699506125</v>
      </c>
      <c r="M7" s="77">
        <f>100*SUMPRODUCT($C5:$C99,CMFs!$H2:$H96,'99set'!I$10:I$104)/SUMPRODUCT($C5:$C99,CMFs!$G2:$G96)</f>
        <v>2.5540803332926139</v>
      </c>
      <c r="N7" s="77">
        <f>100*SUMPRODUCT($C5:$C99,CMFs!$H2:$H96,'99set'!J$10:J$104)/SUMPRODUCT($C5:$C99,CMFs!$G2:$G96)</f>
        <v>2.6542193160433145</v>
      </c>
      <c r="O7" s="77">
        <f>100*SUMPRODUCT($C5:$C99,CMFs!$H2:$H96,'99set'!K$10:K$104)/SUMPRODUCT($C5:$C99,CMFs!$G2:$G96)</f>
        <v>2.2592492301525158</v>
      </c>
      <c r="P7" s="77">
        <f>100*SUMPRODUCT($C5:$C99,CMFs!$H2:$H96,'99set'!L$10:L$104)/SUMPRODUCT($C5:$C99,CMFs!$G2:$G96)</f>
        <v>8.4595441114639875</v>
      </c>
      <c r="Q7" s="77">
        <f>100*SUMPRODUCT($C5:$C99,CMFs!$H2:$H96,'99set'!M$10:M$104)/SUMPRODUCT($C5:$C99,CMFs!$G2:$G96)</f>
        <v>3.2823519874764773</v>
      </c>
      <c r="R7" s="77">
        <f>100*SUMPRODUCT($C5:$C99,CMFs!$H2:$H96,'99set'!N$10:N$104)/SUMPRODUCT($C5:$C99,CMFs!$G2:$G96)</f>
        <v>3.9519312295834061</v>
      </c>
      <c r="S7" s="77">
        <f>100*SUMPRODUCT($C5:$C99,CMFs!$H2:$H96,'99set'!O$10:O$104)/SUMPRODUCT($C5:$C99,CMFs!$G2:$G96)</f>
        <v>2.2830860198077363</v>
      </c>
      <c r="T7" s="77">
        <f>100*SUMPRODUCT($C5:$C99,CMFs!$H2:$H96,'99set'!P$10:P$104)/SUMPRODUCT($C5:$C99,CMFs!$G2:$G96)</f>
        <v>16.634141067049917</v>
      </c>
      <c r="U7" s="77">
        <f>100*SUMPRODUCT($C5:$C99,CMFs!$H2:$H96,'99set'!Q$10:Q$104)/SUMPRODUCT($C5:$C99,CMFs!$G2:$G96)</f>
        <v>12.321503409271262</v>
      </c>
      <c r="V7" s="77">
        <f>100*SUMPRODUCT($C5:$C99,CMFs!$H2:$H96,'99set'!R$10:R$104)/SUMPRODUCT($C5:$C99,CMFs!$G2:$G96)</f>
        <v>2.6399214545691589</v>
      </c>
      <c r="W7" s="77">
        <f>100*SUMPRODUCT($C5:$C99,CMFs!$H2:$H96,'99set'!S$10:S$104)/SUMPRODUCT($C5:$C99,CMFs!$G2:$G96)</f>
        <v>2.8605878535538993</v>
      </c>
      <c r="X7" s="77">
        <f>100*SUMPRODUCT($C5:$C99,CMFs!$H2:$H96,'99set'!T$10:T$104)/SUMPRODUCT($C5:$C99,CMFs!$G2:$G96)</f>
        <v>5.4731232413279054</v>
      </c>
      <c r="Y7" s="77">
        <f>100*SUMPRODUCT($C5:$C99,CMFs!$H2:$H96,'99set'!U$10:U$104)/SUMPRODUCT($C5:$C99,CMFs!$G2:$G96)</f>
        <v>5.894880070755117</v>
      </c>
      <c r="Z7" s="77">
        <f>100*SUMPRODUCT($C5:$C99,CMFs!$H2:$H96,'99set'!V$10:V$104)/SUMPRODUCT($C5:$C99,CMFs!$G2:$G96)</f>
        <v>2.8149342494334273</v>
      </c>
      <c r="AA7" s="77">
        <f>100*SUMPRODUCT($C5:$C99,CMFs!$H2:$H96,'99set'!W$10:W$104)/SUMPRODUCT($C5:$C99,CMFs!$G2:$G96)</f>
        <v>8.4155205214569975</v>
      </c>
      <c r="AB7" s="77">
        <f>100*SUMPRODUCT($C5:$C99,CMFs!$H2:$H96,'99set'!X$10:X$104)/SUMPRODUCT($C5:$C99,CMFs!$G2:$G96)</f>
        <v>5.3053490641618426</v>
      </c>
      <c r="AC7" s="77">
        <f>100*SUMPRODUCT($C5:$C99,CMFs!$H2:$H96,'99set'!Y$10:Y$104)/SUMPRODUCT($C5:$C99,CMFs!$G2:$G96)</f>
        <v>25.400714999616238</v>
      </c>
      <c r="AD7" s="77">
        <f>100*SUMPRODUCT($C5:$C99,CMFs!$H2:$H96,'99set'!Z$10:Z$104)/SUMPRODUCT($C5:$C99,CMFs!$G2:$G96)</f>
        <v>14.038247283905278</v>
      </c>
      <c r="AE7" s="77">
        <f>100*SUMPRODUCT($C5:$C99,CMFs!$H2:$H96,'99set'!AA$10:AA$104)/SUMPRODUCT($C5:$C99,CMFs!$G2:$G96)</f>
        <v>2.6655523947732678</v>
      </c>
      <c r="AF7" s="77">
        <f>100*SUMPRODUCT($C5:$C99,CMFs!$H2:$H96,'99set'!AB$10:AB$104)/SUMPRODUCT($C5:$C99,CMFs!$G2:$G96)</f>
        <v>10.199573889388247</v>
      </c>
      <c r="AG7" s="77">
        <f>100*SUMPRODUCT($C5:$C99,CMFs!$H2:$H96,'99set'!AC$10:AC$104)/SUMPRODUCT($C5:$C99,CMFs!$G2:$G96)</f>
        <v>11.556536659566323</v>
      </c>
      <c r="AH7" s="77">
        <f>100*SUMPRODUCT($C5:$C99,CMFs!$H2:$H96,'99set'!AD$10:AD$104)/SUMPRODUCT($C5:$C99,CMFs!$G2:$G96)</f>
        <v>2.2761174935353483</v>
      </c>
      <c r="AI7" s="77">
        <f>100*SUMPRODUCT($C5:$C99,CMFs!$H2:$H96,'99set'!AE$10:AE$104)/SUMPRODUCT($C5:$C99,CMFs!$G2:$G96)</f>
        <v>9.3019075961792961</v>
      </c>
      <c r="AJ7" s="77">
        <f>100*SUMPRODUCT($C5:$C99,CMFs!$H2:$H96,'99set'!AF$10:AF$104)/SUMPRODUCT($C5:$C99,CMFs!$G2:$G96)</f>
        <v>7.0955538231089781</v>
      </c>
      <c r="AK7" s="77">
        <f>100*SUMPRODUCT($C5:$C99,CMFs!$H2:$H96,'99set'!AG$10:AG$104)/SUMPRODUCT($C5:$C99,CMFs!$G2:$G96)</f>
        <v>10.222930810146359</v>
      </c>
      <c r="AL7" s="77">
        <f>100*SUMPRODUCT($C5:$C99,CMFs!$H2:$H96,'99set'!AH$10:AH$104)/SUMPRODUCT($C5:$C99,CMFs!$G2:$G96)</f>
        <v>4.3135015996272292</v>
      </c>
      <c r="AM7" s="77">
        <f>100*SUMPRODUCT($C5:$C99,CMFs!$H2:$H96,'99set'!AI$10:AI$104)/SUMPRODUCT($C5:$C99,CMFs!$G2:$G96)</f>
        <v>18.29430862982753</v>
      </c>
      <c r="AN7" s="77">
        <f>100*SUMPRODUCT($C5:$C99,CMFs!$H2:$H96,'99set'!AJ$10:AJ$104)/SUMPRODUCT($C5:$C99,CMFs!$G2:$G96)</f>
        <v>2.8066759212392061</v>
      </c>
      <c r="AO7" s="77">
        <f>100*SUMPRODUCT($C5:$C99,CMFs!$H2:$H96,'99set'!AK$10:AK$104)/SUMPRODUCT($C5:$C99,CMFs!$G2:$G96)</f>
        <v>2.4694557984579832</v>
      </c>
      <c r="AP7" s="77">
        <f>100*SUMPRODUCT($C5:$C99,CMFs!$H2:$H96,'99set'!AL$10:AL$104)/SUMPRODUCT($C5:$C99,CMFs!$G2:$G96)</f>
        <v>20.796316269663105</v>
      </c>
      <c r="AQ7" s="77">
        <f>100*SUMPRODUCT($C5:$C99,CMFs!$H2:$H96,'99set'!AM$10:AM$104)/SUMPRODUCT($C5:$C99,CMFs!$G2:$G96)</f>
        <v>2.7621354829768365</v>
      </c>
      <c r="AR7" s="77">
        <f>100*SUMPRODUCT($C5:$C99,CMFs!$H2:$H96,'99set'!AN$10:AN$104)/SUMPRODUCT($C5:$C99,CMFs!$G2:$G96)</f>
        <v>18.692594740377405</v>
      </c>
      <c r="AS7" s="77">
        <f>100*SUMPRODUCT($C5:$C99,CMFs!$H2:$H96,'99set'!AO$10:AO$104)/SUMPRODUCT($C5:$C99,CMFs!$G2:$G96)</f>
        <v>2.6380993056101838</v>
      </c>
      <c r="AT7" s="77">
        <f>100*SUMPRODUCT($C5:$C99,CMFs!$H2:$H96,'99set'!AP$10:AP$104)/SUMPRODUCT($C5:$C99,CMFs!$G2:$G96)</f>
        <v>4.5457419835149206</v>
      </c>
      <c r="AU7" s="77">
        <f>100*SUMPRODUCT($C5:$C99,CMFs!$H2:$H96,'99set'!AQ$10:AQ$104)/SUMPRODUCT($C5:$C99,CMFs!$G2:$G96)</f>
        <v>26.554223651302816</v>
      </c>
      <c r="AV7" s="77">
        <f>100*SUMPRODUCT($C5:$C99,CMFs!$H2:$H96,'99set'!AR$10:AR$104)/SUMPRODUCT($C5:$C99,CMFs!$G2:$G96)</f>
        <v>4.3906772112564525</v>
      </c>
      <c r="AW7" s="77">
        <f>100*SUMPRODUCT($C5:$C99,CMFs!$H2:$H96,'99set'!AS$10:AS$104)/SUMPRODUCT($C5:$C99,CMFs!$G2:$G96)</f>
        <v>5.1116876693820217</v>
      </c>
      <c r="AX7" s="77">
        <f>100*SUMPRODUCT($C5:$C99,CMFs!$H2:$H96,'99set'!AT$10:AT$104)/SUMPRODUCT($C5:$C99,CMFs!$G2:$G96)</f>
        <v>2.196904935645176</v>
      </c>
      <c r="AY7" s="77">
        <f>100*SUMPRODUCT($C5:$C99,CMFs!$H2:$H96,'99set'!AU$10:AU$104)/SUMPRODUCT($C5:$C99,CMFs!$G2:$G96)</f>
        <v>4.6179049051457515</v>
      </c>
      <c r="AZ7" s="77">
        <f>100*SUMPRODUCT($C5:$C99,CMFs!$H2:$H96,'99set'!AV$10:AV$104)/SUMPRODUCT($C5:$C99,CMFs!$G2:$G96)</f>
        <v>8.779319213474869</v>
      </c>
      <c r="BA7" s="77">
        <f>100*SUMPRODUCT($C5:$C99,CMFs!$H2:$H96,'99set'!AW$10:AW$104)/SUMPRODUCT($C5:$C99,CMFs!$G2:$G96)</f>
        <v>12.440612467215942</v>
      </c>
      <c r="BB7" s="77">
        <f>100*SUMPRODUCT($C5:$C99,CMFs!$H2:$H96,'99set'!AX$10:AX$104)/SUMPRODUCT($C5:$C99,CMFs!$G2:$G96)</f>
        <v>14.560527458822408</v>
      </c>
      <c r="BC7" s="77">
        <f>100*SUMPRODUCT($C5:$C99,CMFs!$H2:$H96,'99set'!AY$10:AY$104)/SUMPRODUCT($C5:$C99,CMFs!$G2:$G96)</f>
        <v>3.6268881795909911</v>
      </c>
      <c r="BD7" s="77">
        <f>100*SUMPRODUCT($C5:$C99,CMFs!$H2:$H96,'99set'!AZ$10:AZ$104)/SUMPRODUCT($C5:$C99,CMFs!$G2:$G96)</f>
        <v>7.4312572398559045</v>
      </c>
      <c r="BE7" s="77">
        <f>100*SUMPRODUCT($C5:$C99,CMFs!$H2:$H96,'99set'!BA$10:BA$104)/SUMPRODUCT($C5:$C99,CMFs!$G2:$G96)</f>
        <v>9.2886870190015429</v>
      </c>
      <c r="BF7" s="77">
        <f>100*SUMPRODUCT($C5:$C99,CMFs!$H2:$H96,'99set'!BB$10:BB$104)/SUMPRODUCT($C5:$C99,CMFs!$G2:$G96)</f>
        <v>3.630681853753182</v>
      </c>
      <c r="BG7" s="77">
        <f>100*SUMPRODUCT($C5:$C99,CMFs!$H2:$H96,'99set'!BC$10:BC$104)/SUMPRODUCT($C5:$C99,CMFs!$G2:$G96)</f>
        <v>6.5130634186802006</v>
      </c>
      <c r="BH7" s="77">
        <f>100*SUMPRODUCT($C5:$C99,CMFs!$H2:$H96,'99set'!BD$10:BD$104)/SUMPRODUCT($C5:$C99,CMFs!$G2:$G96)</f>
        <v>31.253230262356137</v>
      </c>
      <c r="BI7" s="77">
        <f>100*SUMPRODUCT($C5:$C99,CMFs!$H2:$H96,'99set'!BE$10:BE$104)/SUMPRODUCT($C5:$C99,CMFs!$G2:$G96)</f>
        <v>28.859306089969024</v>
      </c>
      <c r="BJ7" s="77">
        <f>100*SUMPRODUCT($C5:$C99,CMFs!$H2:$H96,'99set'!BF$10:BF$104)/SUMPRODUCT($C5:$C99,CMFs!$G2:$G96)</f>
        <v>20.040544550094822</v>
      </c>
      <c r="BK7" s="77">
        <f>100*SUMPRODUCT($C5:$C99,CMFs!$H2:$H96,'99set'!BG$10:BG$104)/SUMPRODUCT($C5:$C99,CMFs!$G2:$G96)</f>
        <v>12.349722489426959</v>
      </c>
      <c r="BL7" s="77">
        <f>100*SUMPRODUCT($C5:$C99,CMFs!$H2:$H96,'99set'!BH$10:BH$104)/SUMPRODUCT($C5:$C99,CMFs!$G2:$G96)</f>
        <v>11.4642161016468</v>
      </c>
      <c r="BM7" s="77">
        <f>100*SUMPRODUCT($C5:$C99,CMFs!$H2:$H96,'99set'!BI$10:BI$104)/SUMPRODUCT($C5:$C99,CMFs!$G2:$G96)</f>
        <v>32.66805690771217</v>
      </c>
      <c r="BN7" s="77">
        <f>100*SUMPRODUCT($C5:$C99,CMFs!$H2:$H96,'99set'!BJ$10:BJ$104)/SUMPRODUCT($C5:$C99,CMFs!$G2:$G96)</f>
        <v>33.443413698582603</v>
      </c>
      <c r="BO7" s="77">
        <f>100*SUMPRODUCT($C5:$C99,CMFs!$H2:$H96,'99set'!BK$10:BK$104)/SUMPRODUCT($C5:$C99,CMFs!$G2:$G96)</f>
        <v>24.499912444991899</v>
      </c>
      <c r="BP7" s="77">
        <f>100*SUMPRODUCT($C5:$C99,CMFs!$H2:$H96,'99set'!BL$10:BL$104)/SUMPRODUCT($C5:$C99,CMFs!$G2:$G96)</f>
        <v>16.541363710752478</v>
      </c>
      <c r="BQ7" s="77">
        <f>100*SUMPRODUCT($C5:$C99,CMFs!$H2:$H96,'99set'!BM$10:BM$104)/SUMPRODUCT($C5:$C99,CMFs!$G2:$G96)</f>
        <v>3.6130399373808664</v>
      </c>
      <c r="BR7" s="77">
        <f>100*SUMPRODUCT($C5:$C99,CMFs!$H2:$H96,'99set'!BN$10:BN$104)/SUMPRODUCT($C5:$C99,CMFs!$G2:$G96)</f>
        <v>17.946731281876232</v>
      </c>
      <c r="BS7" s="77">
        <f>100*SUMPRODUCT($C5:$C99,CMFs!$H2:$H96,'99set'!BO$10:BO$104)/SUMPRODUCT($C5:$C99,CMFs!$G2:$G96)</f>
        <v>6.667221929741256</v>
      </c>
      <c r="BT7" s="77">
        <f>100*SUMPRODUCT($C5:$C99,CMFs!$H2:$H96,'99set'!BP$10:BP$104)/SUMPRODUCT($C5:$C99,CMFs!$G2:$G96)</f>
        <v>11.154716006246677</v>
      </c>
      <c r="BU7" s="77">
        <f>100*SUMPRODUCT($C5:$C99,CMFs!$H2:$H96,'99set'!BQ$10:BQ$104)/SUMPRODUCT($C5:$C99,CMFs!$G2:$G96)</f>
        <v>13.435728682258983</v>
      </c>
      <c r="BV7" s="77">
        <f>100*SUMPRODUCT($C5:$C99,CMFs!$H2:$H96,'99set'!BR$10:BR$104)/SUMPRODUCT($C5:$C99,CMFs!$G2:$G96)</f>
        <v>20.049342069900057</v>
      </c>
      <c r="BW7" s="77">
        <f>100*SUMPRODUCT($C5:$C99,CMFs!$H2:$H96,'99set'!BS$10:BS$104)/SUMPRODUCT($C5:$C99,CMFs!$G2:$G96)</f>
        <v>11.285374883054557</v>
      </c>
      <c r="BX7" s="77">
        <f>100*SUMPRODUCT($C5:$C99,CMFs!$H2:$H96,'99set'!BT$10:BT$104)/SUMPRODUCT($C5:$C99,CMFs!$G2:$G96)</f>
        <v>31.343270145361419</v>
      </c>
      <c r="BY7" s="77">
        <f>100*SUMPRODUCT($C5:$C99,CMFs!$H2:$H96,'99set'!BU$10:BU$104)/SUMPRODUCT($C5:$C99,CMFs!$G2:$G96)</f>
        <v>7.6424582034310546</v>
      </c>
      <c r="BZ7" s="77">
        <f>100*SUMPRODUCT($C5:$C99,CMFs!$H2:$H96,'99set'!BV$10:BV$104)/SUMPRODUCT($C5:$C99,CMFs!$G2:$G96)</f>
        <v>24.968787347691677</v>
      </c>
      <c r="CA7" s="77">
        <f>100*SUMPRODUCT($C5:$C99,CMFs!$H2:$H96,'99set'!BW$10:BW$104)/SUMPRODUCT($C5:$C99,CMFs!$G2:$G96)</f>
        <v>23.898820335052488</v>
      </c>
      <c r="CB7" s="77">
        <f>100*SUMPRODUCT($C5:$C99,CMFs!$H2:$H96,'99set'!BX$10:BX$104)/SUMPRODUCT($C5:$C99,CMFs!$G2:$G96)</f>
        <v>2.4780590525827306</v>
      </c>
      <c r="CC7" s="77">
        <f>100*SUMPRODUCT($C5:$C99,CMFs!$H2:$H96,'99set'!BY$10:BY$104)/SUMPRODUCT($C5:$C99,CMFs!$G2:$G96)</f>
        <v>7.257805158561963</v>
      </c>
      <c r="CD7" s="77">
        <f>100*SUMPRODUCT($C5:$C99,CMFs!$H2:$H96,'99set'!BZ$10:BZ$104)/SUMPRODUCT($C5:$C99,CMFs!$G2:$G96)</f>
        <v>20.260948529506763</v>
      </c>
      <c r="CE7" s="77">
        <f>100*SUMPRODUCT($C5:$C99,CMFs!$H2:$H96,'99set'!CA$10:CA$104)/SUMPRODUCT($C5:$C99,CMFs!$G2:$G96)</f>
        <v>12.396597309389492</v>
      </c>
      <c r="CF7" s="77">
        <f>100*SUMPRODUCT($C5:$C99,CMFs!$H2:$H96,'99set'!CB$10:CB$104)/SUMPRODUCT($C5:$C99,CMFs!$G2:$G96)</f>
        <v>17.246875573639038</v>
      </c>
      <c r="CG7" s="77">
        <f>100*SUMPRODUCT($C5:$C99,CMFs!$H2:$H96,'99set'!CC$10:CC$104)/SUMPRODUCT($C5:$C99,CMFs!$G2:$G96)</f>
        <v>29.540232797134774</v>
      </c>
      <c r="CH7" s="77">
        <f>100*SUMPRODUCT($C5:$C99,CMFs!$H2:$H96,'99set'!CD$10:CD$104)/SUMPRODUCT($C5:$C99,CMFs!$G2:$G96)</f>
        <v>25.197674550333289</v>
      </c>
      <c r="CI7" s="77">
        <f>100*SUMPRODUCT($C5:$C99,CMFs!$H2:$H96,'99set'!CE$10:CE$104)/SUMPRODUCT($C5:$C99,CMFs!$G2:$G96)</f>
        <v>14.332768162900958</v>
      </c>
      <c r="CJ7" s="77">
        <f>100*SUMPRODUCT($C5:$C99,CMFs!$H2:$H96,'99set'!CF$10:CF$104)/SUMPRODUCT($C5:$C99,CMFs!$G2:$G96)</f>
        <v>35.909778033253872</v>
      </c>
      <c r="CK7" s="77">
        <f>100*SUMPRODUCT($C5:$C99,CMFs!$H2:$H96,'99set'!CG$10:CG$104)/SUMPRODUCT($C5:$C99,CMFs!$G2:$G96)</f>
        <v>26.40109150305404</v>
      </c>
      <c r="CL7" s="77">
        <f>100*SUMPRODUCT($C5:$C99,CMFs!$H2:$H96,'99set'!CH$10:CH$104)/SUMPRODUCT($C5:$C99,CMFs!$G2:$G96)</f>
        <v>2.7431061477080609</v>
      </c>
      <c r="CM7" s="77">
        <f>100*SUMPRODUCT($C5:$C99,CMFs!$H2:$H96,'99set'!CI$10:CI$104)/SUMPRODUCT($C5:$C99,CMFs!$G2:$G96)</f>
        <v>7.136562536594738</v>
      </c>
      <c r="CN7" s="77">
        <f>100*SUMPRODUCT($C5:$C99,CMFs!$H2:$H96,'99set'!CJ$10:CJ$104)/SUMPRODUCT($C5:$C99,CMFs!$G2:$G96)</f>
        <v>24.703593181717142</v>
      </c>
      <c r="CO7" s="77">
        <f>100*SUMPRODUCT($C5:$C99,CMFs!$H2:$H96,'99set'!CK$10:CK$104)/SUMPRODUCT($C5:$C99,CMFs!$G2:$G96)</f>
        <v>9.5523014315694414</v>
      </c>
      <c r="CP7" s="77">
        <f>100*SUMPRODUCT($C5:$C99,CMFs!$H2:$H96,'99set'!CL$10:CL$104)/SUMPRODUCT($C5:$C99,CMFs!$G2:$G96)</f>
        <v>20.15077799565022</v>
      </c>
      <c r="CQ7" s="77">
        <f>100*SUMPRODUCT($C5:$C99,CMFs!$H2:$H96,'99set'!CM$10:CM$104)/SUMPRODUCT($C5:$C99,CMFs!$G2:$G96)</f>
        <v>7.2564365234639689</v>
      </c>
      <c r="CR7" s="77">
        <f>100*SUMPRODUCT($C5:$C99,CMFs!$H2:$H96,'99set'!CN$10:CN$104)/SUMPRODUCT($C5:$C99,CMFs!$G2:$G96)</f>
        <v>9.6691582762466339</v>
      </c>
      <c r="CS7" s="77">
        <f>100*SUMPRODUCT($C5:$C99,CMFs!$H2:$H96,'99set'!CO$10:CO$104)/SUMPRODUCT($C5:$C99,CMFs!$G2:$G96)</f>
        <v>25.468655749849219</v>
      </c>
      <c r="CT7" s="77">
        <f>100*SUMPRODUCT($C5:$C99,CMFs!$H2:$H96,'99set'!CP$10:CP$104)/SUMPRODUCT($C5:$C99,CMFs!$G2:$G96)</f>
        <v>12.690460039112942</v>
      </c>
      <c r="CU7" s="77">
        <f>100*SUMPRODUCT($C5:$C99,CMFs!$H2:$H96,'99set'!CQ$10:CQ$104)/SUMPRODUCT($C5:$C99,CMFs!$G2:$G96)</f>
        <v>18.100571379754051</v>
      </c>
      <c r="CV7" s="77">
        <f>100*SUMPRODUCT($C5:$C99,CMFs!$H2:$H96,'99set'!CR$10:CR$104)/SUMPRODUCT($C5:$C99,CMFs!$G2:$G96)</f>
        <v>6.0474575267333028</v>
      </c>
      <c r="CW7" s="77">
        <f>100*SUMPRODUCT($C5:$C99,CMFs!$H2:$H96,'99set'!CS$10:CS$104)/SUMPRODUCT($C5:$C99,CMFs!$G2:$G96)</f>
        <v>19.770949557737474</v>
      </c>
      <c r="CX7" s="77">
        <f>100*SUMPRODUCT($C5:$C99,CMFs!$H2:$H96,'99set'!CT$10:CT$104)/SUMPRODUCT($C5:$C99,CMFs!$G2:$G96)</f>
        <v>25.384671369039477</v>
      </c>
      <c r="CY7" s="77">
        <f>100*SUMPRODUCT($C5:$C99,CMFs!$H2:$H96,'99set'!CU$10:CU$104)/SUMPRODUCT($C5:$C99,CMFs!$G2:$G96)</f>
        <v>9.3358957278566947</v>
      </c>
      <c r="CZ7" s="77">
        <f>100*SUMPRODUCT($C5:$C99,CMFs!$H2:$H96,'99set'!CV$10:CV$104)/SUMPRODUCT($C5:$C99,CMFs!$G2:$G96)</f>
        <v>13.769853749928028</v>
      </c>
      <c r="DA7" s="77">
        <f>100*SUMPRODUCT($C5:$C99,CMFs!$H2:$H96,'99set'!CW$10:CW$104)/SUMPRODUCT($C5:$C99,CMFs!$G2:$G96)</f>
        <v>8.4358108922157182</v>
      </c>
      <c r="DC7">
        <v>3</v>
      </c>
      <c r="DD7" s="84">
        <v>31.822032915991539</v>
      </c>
      <c r="DE7" s="84">
        <v>14.654422365876453</v>
      </c>
      <c r="DF7" s="84">
        <v>2.4198522716792024</v>
      </c>
      <c r="DG7" s="84">
        <v>31.066972922702774</v>
      </c>
      <c r="DH7" s="84">
        <v>13.006930604705465</v>
      </c>
      <c r="DI7" s="84">
        <v>0.35899917025025579</v>
      </c>
      <c r="DJ7" s="84">
        <v>2.7443505975477733</v>
      </c>
      <c r="DK7" s="84">
        <f t="shared" si="0"/>
        <v>7.5314602022608206</v>
      </c>
      <c r="DL7" s="84">
        <f t="shared" si="1"/>
        <v>0.1636510122624642</v>
      </c>
      <c r="DM7" s="84">
        <f t="shared" si="2"/>
        <v>9.3765123156828807</v>
      </c>
      <c r="DN7" s="85">
        <v>1</v>
      </c>
      <c r="DO7">
        <v>1</v>
      </c>
      <c r="DP7">
        <f t="shared" si="3"/>
        <v>22.5</v>
      </c>
      <c r="DQ7" s="270">
        <v>18.477590650225736</v>
      </c>
      <c r="DR7" s="270">
        <v>7.6536686473017959</v>
      </c>
      <c r="DT7" t="s">
        <v>80</v>
      </c>
      <c r="DU7" s="87">
        <f t="shared" ref="DU7:EC7" si="16">DAVERAGE($DE$4:$DN$103,"b_r",DU$4:DU$5)</f>
        <v>9.2233116798447075</v>
      </c>
      <c r="DV7" s="87">
        <f t="shared" si="16"/>
        <v>21.200792387702858</v>
      </c>
      <c r="DW7" s="87">
        <f t="shared" si="16"/>
        <v>17.532885386242793</v>
      </c>
      <c r="DX7" s="87">
        <f t="shared" si="16"/>
        <v>4.6039847022720979</v>
      </c>
      <c r="DY7" s="87">
        <f t="shared" si="16"/>
        <v>-8.7425185818293301</v>
      </c>
      <c r="DZ7" s="87">
        <f t="shared" si="16"/>
        <v>-20.260063434636553</v>
      </c>
      <c r="EA7" s="87">
        <f t="shared" si="16"/>
        <v>-15.537115489272532</v>
      </c>
      <c r="EB7" s="87">
        <f>DAVERAGE($DE$4:$DN$103,"b_r",EB$4:EB$5)</f>
        <v>-5.4018100062433003</v>
      </c>
      <c r="EC7" s="87">
        <f t="shared" si="16"/>
        <v>9.2233116798447075</v>
      </c>
      <c r="ED7">
        <f t="shared" si="5"/>
        <v>21.200792387702858</v>
      </c>
      <c r="EF7" t="str">
        <f t="shared" ref="EF7:EF21" si="17">DT7</f>
        <v>br</v>
      </c>
      <c r="EG7" s="82"/>
      <c r="EH7" s="82">
        <f t="shared" si="6"/>
        <v>1.3236098082810404</v>
      </c>
      <c r="EI7" s="82">
        <f t="shared" si="6"/>
        <v>4.2116484955200821</v>
      </c>
      <c r="EJ7" s="82">
        <f t="shared" si="6"/>
        <v>2.4198522716792024</v>
      </c>
      <c r="EK7" s="82">
        <f t="shared" si="6"/>
        <v>6.054091372142425</v>
      </c>
      <c r="EL7" s="82">
        <f t="shared" si="6"/>
        <v>9.3077520069596744</v>
      </c>
      <c r="EM7" s="82">
        <f t="shared" si="6"/>
        <v>6.7025420475344939</v>
      </c>
      <c r="EN7" s="82">
        <f t="shared" si="6"/>
        <v>10.661684253628348</v>
      </c>
      <c r="EO7" s="82">
        <f t="shared" si="6"/>
        <v>9.8364010757010512</v>
      </c>
      <c r="EP7" s="82">
        <f t="shared" si="6"/>
        <v>0.69644708244344833</v>
      </c>
      <c r="EQ7" s="82">
        <f t="shared" si="6"/>
        <v>17.889137503952359</v>
      </c>
      <c r="ER7" s="82">
        <f t="shared" si="7"/>
        <v>19.054169386509649</v>
      </c>
      <c r="ES7" s="82">
        <f t="shared" si="7"/>
        <v>20.599389440571311</v>
      </c>
      <c r="ET7" s="82">
        <f t="shared" si="7"/>
        <v>14.494496103843849</v>
      </c>
      <c r="EU7" s="82">
        <f t="shared" si="7"/>
        <v>5.8751426690589774</v>
      </c>
      <c r="EV7" s="82">
        <f t="shared" si="7"/>
        <v>10.58864365912685</v>
      </c>
      <c r="EW7" s="82">
        <f t="shared" si="7"/>
        <v>16.400926738979123</v>
      </c>
      <c r="EX7" s="82">
        <f t="shared" si="7"/>
        <v>17.074383636202757</v>
      </c>
      <c r="EY7" s="82">
        <f t="shared" si="7"/>
        <v>13.375752610563671</v>
      </c>
      <c r="EZ7" s="82">
        <f t="shared" si="7"/>
        <v>23.196431150544598</v>
      </c>
      <c r="FA7" s="82">
        <f t="shared" si="7"/>
        <v>28.071837611834198</v>
      </c>
      <c r="FB7" s="82">
        <f t="shared" si="8"/>
        <v>27.967394336254106</v>
      </c>
      <c r="FC7" s="82">
        <f t="shared" si="8"/>
        <v>28.87164064128871</v>
      </c>
      <c r="FD7" s="82">
        <f t="shared" si="8"/>
        <v>12.179178928349755</v>
      </c>
      <c r="FE7" s="82">
        <f t="shared" si="8"/>
        <v>24.146596446337337</v>
      </c>
      <c r="FF7" s="82">
        <f t="shared" si="8"/>
        <v>32.737674602333506</v>
      </c>
      <c r="FG7" s="82">
        <f t="shared" si="8"/>
        <v>28.666809636376154</v>
      </c>
      <c r="FH7" s="82">
        <f t="shared" si="8"/>
        <v>14.92950294388792</v>
      </c>
      <c r="FI7" s="82">
        <f t="shared" si="8"/>
        <v>15.387921884467582</v>
      </c>
      <c r="FJ7" s="82">
        <f t="shared" si="8"/>
        <v>28.788126371699931</v>
      </c>
      <c r="FK7" s="82">
        <f t="shared" si="8"/>
        <v>16.829857004999493</v>
      </c>
      <c r="FL7" s="82">
        <f t="shared" si="9"/>
        <v>28.739795081307356</v>
      </c>
      <c r="FM7" s="82">
        <f t="shared" si="9"/>
        <v>31.428613769215698</v>
      </c>
      <c r="FN7" s="82">
        <f t="shared" si="9"/>
        <v>19.284695677529804</v>
      </c>
      <c r="FO7" s="82">
        <f t="shared" si="9"/>
        <v>28.199707081793431</v>
      </c>
      <c r="FP7" s="82">
        <f t="shared" si="9"/>
        <v>15.085303043201918</v>
      </c>
      <c r="FQ7" s="82">
        <f t="shared" si="9"/>
        <v>7.1163115924459612</v>
      </c>
      <c r="FR7" s="82">
        <f t="shared" si="9"/>
        <v>18.58253975031435</v>
      </c>
      <c r="FS7" s="82">
        <f t="shared" si="9"/>
        <v>16.238805920114018</v>
      </c>
      <c r="FT7" s="82">
        <f t="shared" si="9"/>
        <v>6.8597942863378405</v>
      </c>
      <c r="FU7" s="82">
        <f t="shared" si="9"/>
        <v>13.006468229461776</v>
      </c>
      <c r="FV7" s="82">
        <f t="shared" si="10"/>
        <v>8.2807785856475267</v>
      </c>
      <c r="FW7" s="82">
        <f t="shared" si="10"/>
        <v>27.984677967216257</v>
      </c>
      <c r="FX7" s="82">
        <f t="shared" si="10"/>
        <v>28.559640310867394</v>
      </c>
      <c r="FY7" s="82">
        <f t="shared" si="10"/>
        <v>1.316081764270516</v>
      </c>
      <c r="FZ7" s="82">
        <f t="shared" si="10"/>
        <v>20.081299495816243</v>
      </c>
      <c r="GA7" s="82">
        <f t="shared" si="10"/>
        <v>15.907483431404783</v>
      </c>
      <c r="GB7" s="82">
        <f t="shared" si="10"/>
        <v>11.387055579182617</v>
      </c>
      <c r="GC7" s="82">
        <f t="shared" si="10"/>
        <v>14.542216386130406</v>
      </c>
      <c r="GD7" s="82">
        <f t="shared" si="10"/>
        <v>13.486106258210597</v>
      </c>
      <c r="GE7" s="82">
        <f t="shared" si="10"/>
        <v>7.4965768108545596</v>
      </c>
      <c r="GF7" s="82">
        <f t="shared" si="11"/>
        <v>6.2454788847322931</v>
      </c>
      <c r="GG7" s="82">
        <f t="shared" si="11"/>
        <v>7.9255569155457657</v>
      </c>
      <c r="GH7" s="82">
        <f t="shared" si="11"/>
        <v>4.4474296278289698</v>
      </c>
      <c r="GI7" s="82">
        <f t="shared" si="11"/>
        <v>-0.21969015388302601</v>
      </c>
      <c r="GJ7" s="82">
        <f t="shared" si="11"/>
        <v>-1.7140835915601682</v>
      </c>
      <c r="GK7" s="82">
        <f t="shared" si="11"/>
        <v>-2.9510177242368796</v>
      </c>
      <c r="GL7" s="82">
        <f t="shared" si="11"/>
        <v>-3.2187263909015416</v>
      </c>
      <c r="GM7" s="82">
        <f t="shared" si="11"/>
        <v>-5.3819120377214169</v>
      </c>
      <c r="GN7" s="82">
        <f t="shared" si="11"/>
        <v>-2.8567934913142987</v>
      </c>
      <c r="GO7" s="82">
        <f t="shared" si="11"/>
        <v>-2.480659395405902</v>
      </c>
      <c r="GP7" s="82">
        <f t="shared" si="12"/>
        <v>-5.1551462820375384</v>
      </c>
      <c r="GQ7" s="82">
        <f t="shared" si="12"/>
        <v>-3.7022317974116681</v>
      </c>
      <c r="GR7" s="82">
        <f t="shared" si="12"/>
        <v>-2.3538661159930196</v>
      </c>
      <c r="GS7" s="82">
        <f t="shared" si="12"/>
        <v>-14.080386344220853</v>
      </c>
      <c r="GT7" s="82">
        <f t="shared" si="12"/>
        <v>-9.9212998394925282</v>
      </c>
      <c r="GU7" s="82">
        <f t="shared" si="12"/>
        <v>-16.331724608246098</v>
      </c>
      <c r="GV7" s="82">
        <f t="shared" si="12"/>
        <v>-17.757470684511411</v>
      </c>
      <c r="GW7" s="82">
        <f t="shared" si="12"/>
        <v>-14.777924941007766</v>
      </c>
      <c r="GX7" s="82">
        <f t="shared" si="12"/>
        <v>-10.11080744458946</v>
      </c>
      <c r="GY7" s="82">
        <f t="shared" si="12"/>
        <v>-20.681052266185389</v>
      </c>
      <c r="GZ7" s="82">
        <f t="shared" si="13"/>
        <v>-19.950051817553565</v>
      </c>
      <c r="HA7" s="82">
        <f t="shared" si="13"/>
        <v>-7.9792257253594787</v>
      </c>
      <c r="HB7" s="82">
        <f t="shared" si="13"/>
        <v>-25.404497347154958</v>
      </c>
      <c r="HC7" s="82">
        <f t="shared" si="13"/>
        <v>-3.5487063346524814</v>
      </c>
      <c r="HD7" s="82">
        <f t="shared" si="13"/>
        <v>-21.41837819428342</v>
      </c>
      <c r="HE7" s="82">
        <f t="shared" si="13"/>
        <v>-30.049964954387075</v>
      </c>
      <c r="HF7" s="82">
        <f t="shared" si="13"/>
        <v>-22.764935406535358</v>
      </c>
      <c r="HG7" s="82">
        <f t="shared" si="13"/>
        <v>-29.710178342906602</v>
      </c>
      <c r="HH7" s="82">
        <f t="shared" si="13"/>
        <v>-19.23775433880439</v>
      </c>
      <c r="HI7" s="82">
        <f t="shared" si="13"/>
        <v>-22.115953053179396</v>
      </c>
      <c r="HJ7" s="82">
        <f t="shared" si="14"/>
        <v>-26.117308196575092</v>
      </c>
      <c r="HK7" s="82">
        <f t="shared" si="14"/>
        <v>-9.3492584073241201</v>
      </c>
      <c r="HL7" s="82">
        <f t="shared" si="14"/>
        <v>-15.712967557230355</v>
      </c>
      <c r="HM7" s="82">
        <f t="shared" si="14"/>
        <v>-6.1783307958391456</v>
      </c>
      <c r="HN7" s="82">
        <f t="shared" si="14"/>
        <v>-11.742701216227527</v>
      </c>
      <c r="HO7" s="82">
        <f t="shared" si="14"/>
        <v>-20.232863114813679</v>
      </c>
      <c r="HP7" s="82">
        <f t="shared" si="14"/>
        <v>-19.543829672040587</v>
      </c>
      <c r="HQ7" s="82">
        <f t="shared" si="14"/>
        <v>-15.419664954129745</v>
      </c>
      <c r="HR7" s="82">
        <f t="shared" si="14"/>
        <v>-13.494275846090988</v>
      </c>
      <c r="HS7" s="82">
        <f t="shared" si="14"/>
        <v>-13.849456716244452</v>
      </c>
      <c r="HT7" s="82">
        <f t="shared" si="15"/>
        <v>-1.3433629791518389</v>
      </c>
      <c r="HU7" s="82">
        <f t="shared" si="15"/>
        <v>-7.2907036708492479</v>
      </c>
      <c r="HV7" s="82">
        <f t="shared" si="15"/>
        <v>-5.6631938110525271</v>
      </c>
      <c r="HW7" s="82">
        <f t="shared" si="15"/>
        <v>-6.3729905416258887</v>
      </c>
      <c r="HX7" s="82">
        <f t="shared" si="15"/>
        <v>-4.6234962871174394</v>
      </c>
      <c r="HY7" s="82">
        <f t="shared" si="15"/>
        <v>-3.7914086599046413</v>
      </c>
      <c r="HZ7" s="82">
        <f t="shared" si="15"/>
        <v>-2.9536761090157944</v>
      </c>
      <c r="IA7" s="82">
        <f t="shared" si="15"/>
        <v>-0.11167546075726474</v>
      </c>
      <c r="IB7" s="82">
        <f t="shared" si="15"/>
        <v>7.4330013133782374E-2</v>
      </c>
    </row>
    <row r="8" spans="1:236">
      <c r="A8" s="228">
        <v>375</v>
      </c>
      <c r="B8" s="229">
        <f>B7</f>
        <v>0</v>
      </c>
      <c r="C8" s="229">
        <f>Reference!N8</f>
        <v>0</v>
      </c>
      <c r="D8" s="82"/>
      <c r="E8" s="88" t="s">
        <v>56</v>
      </c>
      <c r="F8" s="89">
        <f t="shared" ref="F8:T8" si="18">F5/(F5+F6+F7)</f>
        <v>0.42093135720337049</v>
      </c>
      <c r="G8" s="89">
        <f t="shared" si="18"/>
        <v>0.45595647145117907</v>
      </c>
      <c r="H8" s="89">
        <f t="shared" si="18"/>
        <v>0.52488075683026203</v>
      </c>
      <c r="I8" s="89">
        <f t="shared" si="18"/>
        <v>0.48463831242158745</v>
      </c>
      <c r="J8" s="89">
        <f t="shared" si="18"/>
        <v>0.48913746511309986</v>
      </c>
      <c r="K8" s="89">
        <f t="shared" si="18"/>
        <v>0.57069902380548732</v>
      </c>
      <c r="L8" s="89">
        <f t="shared" si="18"/>
        <v>0.49652104677569986</v>
      </c>
      <c r="M8" s="89">
        <f t="shared" si="18"/>
        <v>0.58007342891142688</v>
      </c>
      <c r="N8" s="89">
        <f t="shared" si="18"/>
        <v>0.56800966756461435</v>
      </c>
      <c r="O8" s="89">
        <f t="shared" si="18"/>
        <v>0.43247195331088883</v>
      </c>
      <c r="P8" s="89">
        <f t="shared" si="18"/>
        <v>0.5548655210273129</v>
      </c>
      <c r="Q8" s="89">
        <f t="shared" si="18"/>
        <v>0.57638440341912511</v>
      </c>
      <c r="R8" s="89">
        <f t="shared" si="18"/>
        <v>0.5802633607198644</v>
      </c>
      <c r="S8" s="89">
        <f t="shared" si="18"/>
        <v>0.53974495479157791</v>
      </c>
      <c r="T8" s="89">
        <f t="shared" si="18"/>
        <v>0.44724618442918262</v>
      </c>
      <c r="U8" s="89">
        <f>U5/(U5+U6+U7)</f>
        <v>0.47850247141705438</v>
      </c>
      <c r="V8" s="89">
        <f>V5/(V5+V6+V7)</f>
        <v>0.5367175346355878</v>
      </c>
      <c r="W8" s="89">
        <f>W5/(W5+W6+W7)</f>
        <v>0.52828846075519431</v>
      </c>
      <c r="X8" s="89">
        <f t="shared" ref="X8:CI8" si="19">X5/(X5+X6+X7)</f>
        <v>0.49597610267290959</v>
      </c>
      <c r="Y8" s="89">
        <f t="shared" si="19"/>
        <v>0.52530788606860501</v>
      </c>
      <c r="Z8" s="89">
        <f t="shared" si="19"/>
        <v>0.5624321634849061</v>
      </c>
      <c r="AA8" s="89">
        <f t="shared" si="19"/>
        <v>0.52830888889282157</v>
      </c>
      <c r="AB8" s="89">
        <f t="shared" si="19"/>
        <v>0.54075753217612166</v>
      </c>
      <c r="AC8" s="89">
        <f t="shared" si="19"/>
        <v>0.45294679745007849</v>
      </c>
      <c r="AD8" s="89">
        <f t="shared" si="19"/>
        <v>0.49285874951607539</v>
      </c>
      <c r="AE8" s="89">
        <f t="shared" si="19"/>
        <v>0.53738218333774557</v>
      </c>
      <c r="AF8" s="89">
        <f t="shared" si="19"/>
        <v>0.50694535655749651</v>
      </c>
      <c r="AG8" s="89">
        <f t="shared" si="19"/>
        <v>0.46020900944319737</v>
      </c>
      <c r="AH8" s="89">
        <f t="shared" si="19"/>
        <v>0.47523896808834015</v>
      </c>
      <c r="AI8" s="89">
        <f t="shared" si="19"/>
        <v>0.49548394927180678</v>
      </c>
      <c r="AJ8" s="89">
        <f t="shared" si="19"/>
        <v>0.47074949547686989</v>
      </c>
      <c r="AK8" s="89">
        <f t="shared" si="19"/>
        <v>0.49016523994893213</v>
      </c>
      <c r="AL8" s="89">
        <f t="shared" si="19"/>
        <v>0.50290877462420769</v>
      </c>
      <c r="AM8" s="89">
        <f t="shared" si="19"/>
        <v>0.46265824357652813</v>
      </c>
      <c r="AN8" s="89">
        <f t="shared" si="19"/>
        <v>0.49383483476103729</v>
      </c>
      <c r="AO8" s="89">
        <f t="shared" si="19"/>
        <v>0.46300985584502352</v>
      </c>
      <c r="AP8" s="89">
        <f t="shared" si="19"/>
        <v>0.43427215856899387</v>
      </c>
      <c r="AQ8" s="89">
        <f t="shared" si="19"/>
        <v>0.46423504512493546</v>
      </c>
      <c r="AR8" s="89">
        <f t="shared" si="19"/>
        <v>0.44894350573794894</v>
      </c>
      <c r="AS8" s="89">
        <f t="shared" si="19"/>
        <v>0.43619662631637435</v>
      </c>
      <c r="AT8" s="89">
        <f t="shared" si="19"/>
        <v>0.44523550759769276</v>
      </c>
      <c r="AU8" s="89">
        <f t="shared" si="19"/>
        <v>0.42962527159450925</v>
      </c>
      <c r="AV8" s="89">
        <f t="shared" si="19"/>
        <v>0.447071743390066</v>
      </c>
      <c r="AW8" s="89">
        <f t="shared" si="19"/>
        <v>0.44532112824530995</v>
      </c>
      <c r="AX8" s="89">
        <f t="shared" si="19"/>
        <v>0.42251112596435408</v>
      </c>
      <c r="AY8" s="89">
        <f t="shared" si="19"/>
        <v>0.42116699386169543</v>
      </c>
      <c r="AZ8" s="89">
        <f t="shared" si="19"/>
        <v>0.42289942409350867</v>
      </c>
      <c r="BA8" s="89">
        <f t="shared" si="19"/>
        <v>0.42448914312653724</v>
      </c>
      <c r="BB8" s="89">
        <f t="shared" si="19"/>
        <v>0.40660622536759328</v>
      </c>
      <c r="BC8" s="89">
        <f t="shared" si="19"/>
        <v>0.40335008947753442</v>
      </c>
      <c r="BD8" s="89">
        <f t="shared" si="19"/>
        <v>0.39015946194070339</v>
      </c>
      <c r="BE8" s="89">
        <f t="shared" si="19"/>
        <v>0.3958966550170982</v>
      </c>
      <c r="BF8" s="89">
        <f t="shared" si="19"/>
        <v>0.36932368644413438</v>
      </c>
      <c r="BG8" s="89">
        <f t="shared" si="19"/>
        <v>0.31916084122860905</v>
      </c>
      <c r="BH8" s="89">
        <f t="shared" si="19"/>
        <v>0.39481740043601082</v>
      </c>
      <c r="BI8" s="89">
        <f t="shared" si="19"/>
        <v>0.38706172814871614</v>
      </c>
      <c r="BJ8" s="89">
        <f t="shared" si="19"/>
        <v>0.33354012653526499</v>
      </c>
      <c r="BK8" s="89">
        <f t="shared" si="19"/>
        <v>0.30547075962533426</v>
      </c>
      <c r="BL8" s="89">
        <f t="shared" si="19"/>
        <v>0.2952276616863086</v>
      </c>
      <c r="BM8" s="89">
        <f t="shared" si="19"/>
        <v>0.39145699568519571</v>
      </c>
      <c r="BN8" s="89">
        <f t="shared" si="19"/>
        <v>0.40979284858865667</v>
      </c>
      <c r="BO8" s="89">
        <f t="shared" si="19"/>
        <v>0.387803001831171</v>
      </c>
      <c r="BP8" s="89">
        <f t="shared" si="19"/>
        <v>0.40584927539494065</v>
      </c>
      <c r="BQ8" s="89">
        <f t="shared" si="19"/>
        <v>0.41161430176256103</v>
      </c>
      <c r="BR8" s="89">
        <f t="shared" si="19"/>
        <v>0.2909006993032619</v>
      </c>
      <c r="BS8" s="89">
        <f t="shared" si="19"/>
        <v>0.33572086477549662</v>
      </c>
      <c r="BT8" s="89">
        <f t="shared" si="19"/>
        <v>0.2744170989683426</v>
      </c>
      <c r="BU8" s="89">
        <f t="shared" si="19"/>
        <v>0.27373036977258991</v>
      </c>
      <c r="BV8" s="89">
        <f t="shared" si="19"/>
        <v>0.35041862640733024</v>
      </c>
      <c r="BW8" s="89">
        <f t="shared" si="19"/>
        <v>0.38605219623256121</v>
      </c>
      <c r="BX8" s="89">
        <f t="shared" si="19"/>
        <v>0.33863196827517189</v>
      </c>
      <c r="BY8" s="89">
        <f t="shared" si="19"/>
        <v>0.29948777537558535</v>
      </c>
      <c r="BZ8" s="89">
        <f t="shared" si="19"/>
        <v>0.40141134582667037</v>
      </c>
      <c r="CA8" s="89">
        <f t="shared" si="19"/>
        <v>0.28955374367287984</v>
      </c>
      <c r="CB8" s="89">
        <f t="shared" si="19"/>
        <v>0.40997029668886364</v>
      </c>
      <c r="CC8" s="89">
        <f t="shared" si="19"/>
        <v>0.30291217440790197</v>
      </c>
      <c r="CD8" s="89">
        <f t="shared" si="19"/>
        <v>0.28078651510935865</v>
      </c>
      <c r="CE8" s="89">
        <f t="shared" si="19"/>
        <v>0.33154916409699819</v>
      </c>
      <c r="CF8" s="89">
        <f t="shared" si="19"/>
        <v>0.2838095218464935</v>
      </c>
      <c r="CG8" s="89">
        <f t="shared" si="19"/>
        <v>0.38033488649165614</v>
      </c>
      <c r="CH8" s="89">
        <f t="shared" si="19"/>
        <v>0.37596911521658999</v>
      </c>
      <c r="CI8" s="89">
        <f t="shared" si="19"/>
        <v>0.35074121257330432</v>
      </c>
      <c r="CJ8" s="89">
        <f t="shared" ref="CJ8:DA8" si="20">CJ5/(CJ5+CJ6+CJ7)</f>
        <v>0.41063144658564671</v>
      </c>
      <c r="CK8" s="89">
        <f t="shared" si="20"/>
        <v>0.39939011222168203</v>
      </c>
      <c r="CL8" s="89">
        <f t="shared" si="20"/>
        <v>0.41390168192352983</v>
      </c>
      <c r="CM8" s="89">
        <f t="shared" si="20"/>
        <v>0.40578263651089835</v>
      </c>
      <c r="CN8" s="89">
        <f t="shared" si="20"/>
        <v>0.39613999247545167</v>
      </c>
      <c r="CO8" s="89">
        <f t="shared" si="20"/>
        <v>0.39462223041167893</v>
      </c>
      <c r="CP8" s="89">
        <f t="shared" si="20"/>
        <v>0.42209618078361361</v>
      </c>
      <c r="CQ8" s="89">
        <f t="shared" si="20"/>
        <v>0.42718169028336994</v>
      </c>
      <c r="CR8" s="89">
        <f t="shared" si="20"/>
        <v>0.43331119567550019</v>
      </c>
      <c r="CS8" s="89">
        <f t="shared" si="20"/>
        <v>0.42371811881434446</v>
      </c>
      <c r="CT8" s="89">
        <f t="shared" si="20"/>
        <v>0.43955817412496079</v>
      </c>
      <c r="CU8" s="89">
        <f t="shared" si="20"/>
        <v>0.43597800221087396</v>
      </c>
      <c r="CV8" s="89">
        <f t="shared" si="20"/>
        <v>0.47208847061258458</v>
      </c>
      <c r="CW8" s="89">
        <f t="shared" si="20"/>
        <v>0.44831894742319262</v>
      </c>
      <c r="CX8" s="89">
        <f t="shared" si="20"/>
        <v>0.44646110308985426</v>
      </c>
      <c r="CY8" s="89">
        <f t="shared" si="20"/>
        <v>0.47827586467125338</v>
      </c>
      <c r="CZ8" s="89">
        <f t="shared" si="20"/>
        <v>0.50234257314133457</v>
      </c>
      <c r="DA8" s="89">
        <f t="shared" si="20"/>
        <v>0.52233202086279051</v>
      </c>
      <c r="DC8">
        <v>4</v>
      </c>
      <c r="DD8" s="84">
        <v>69.679023897448232</v>
      </c>
      <c r="DE8" s="84">
        <v>20.785562506662941</v>
      </c>
      <c r="DF8" s="84">
        <v>6.054091372142425</v>
      </c>
      <c r="DG8" s="84">
        <v>70.224497886188502</v>
      </c>
      <c r="DH8" s="84">
        <v>17.813736898159021</v>
      </c>
      <c r="DI8" s="84">
        <v>6.5356293092960493</v>
      </c>
      <c r="DJ8" s="84">
        <v>3.0596026056777506</v>
      </c>
      <c r="DK8" s="84">
        <f t="shared" si="0"/>
        <v>9.3611681046700799</v>
      </c>
      <c r="DL8" s="84">
        <f t="shared" si="1"/>
        <v>0.28342320624217332</v>
      </c>
      <c r="DM8" s="84">
        <f t="shared" si="2"/>
        <v>16.238953533742421</v>
      </c>
      <c r="DN8" s="85">
        <v>1</v>
      </c>
      <c r="DO8">
        <v>1</v>
      </c>
      <c r="DP8">
        <f t="shared" si="3"/>
        <v>22.5</v>
      </c>
      <c r="DQ8" s="270">
        <v>18.477590650225736</v>
      </c>
      <c r="DR8" s="270">
        <v>7.6536686473017959</v>
      </c>
      <c r="DT8" t="s">
        <v>16</v>
      </c>
      <c r="DU8" s="87">
        <f t="shared" ref="DU8:EC8" si="21">DAVERAGE($DE$4:$DN$103,"a",DU$4:DU$5)</f>
        <v>19.463194812179729</v>
      </c>
      <c r="DV8" s="87">
        <f t="shared" si="21"/>
        <v>6.3680281465509561</v>
      </c>
      <c r="DW8" s="87">
        <f t="shared" si="21"/>
        <v>-6.5358652884569004</v>
      </c>
      <c r="DX8" s="87">
        <f t="shared" si="21"/>
        <v>-19.931828290311735</v>
      </c>
      <c r="DY8" s="87">
        <f t="shared" si="21"/>
        <v>-13.879021934487668</v>
      </c>
      <c r="DZ8" s="87">
        <f t="shared" si="21"/>
        <v>-6.8989205959826769</v>
      </c>
      <c r="EA8" s="87">
        <f t="shared" si="21"/>
        <v>7.045421646890917</v>
      </c>
      <c r="EB8" s="87">
        <f t="shared" si="21"/>
        <v>17.689861017897549</v>
      </c>
      <c r="EC8" s="87">
        <f t="shared" si="21"/>
        <v>19.463194812179729</v>
      </c>
      <c r="ED8">
        <f t="shared" si="5"/>
        <v>6.3680281465509561</v>
      </c>
      <c r="EF8" t="str">
        <f t="shared" si="17"/>
        <v>a</v>
      </c>
      <c r="EG8" s="82"/>
      <c r="EH8" s="82">
        <f t="shared" ref="EH8:EQ9" si="22">G210</f>
        <v>15.236663912093682</v>
      </c>
      <c r="EI8" s="82">
        <f t="shared" si="22"/>
        <v>28.367640981309265</v>
      </c>
      <c r="EJ8" s="82">
        <f t="shared" si="22"/>
        <v>13.006930604705465</v>
      </c>
      <c r="EK8" s="82">
        <f t="shared" si="22"/>
        <v>17.813736898159021</v>
      </c>
      <c r="EL8" s="82">
        <f t="shared" si="22"/>
        <v>28.851242782552081</v>
      </c>
      <c r="EM8" s="82">
        <f t="shared" si="22"/>
        <v>14.923130320208402</v>
      </c>
      <c r="EN8" s="82">
        <f t="shared" si="22"/>
        <v>28.096952643881828</v>
      </c>
      <c r="EO8" s="82">
        <f t="shared" si="22"/>
        <v>25.18568715515957</v>
      </c>
      <c r="EP8" s="82">
        <f t="shared" si="22"/>
        <v>3.3084246507130763</v>
      </c>
      <c r="EQ8" s="82">
        <f t="shared" si="22"/>
        <v>26.008736059974265</v>
      </c>
      <c r="ER8" s="82">
        <f t="shared" ref="ER8:FA9" si="23">Q210</f>
        <v>24.32637365591069</v>
      </c>
      <c r="ES8" s="82">
        <f t="shared" si="23"/>
        <v>26.094011774257027</v>
      </c>
      <c r="ET8" s="82">
        <f t="shared" si="23"/>
        <v>15.941935785792795</v>
      </c>
      <c r="EU8" s="82">
        <f t="shared" si="23"/>
        <v>5.3232601457990363</v>
      </c>
      <c r="EV8" s="82">
        <f t="shared" si="23"/>
        <v>10.998111863764487</v>
      </c>
      <c r="EW8" s="82">
        <f t="shared" si="23"/>
        <v>13.17699859353084</v>
      </c>
      <c r="EX8" s="82">
        <f t="shared" si="23"/>
        <v>11.103389170047141</v>
      </c>
      <c r="EY8" s="82">
        <f t="shared" si="23"/>
        <v>9.4912178601524353</v>
      </c>
      <c r="EZ8" s="82">
        <f t="shared" si="23"/>
        <v>10.417369936074209</v>
      </c>
      <c r="FA8" s="82">
        <f t="shared" si="23"/>
        <v>14.706358869370815</v>
      </c>
      <c r="FB8" s="82">
        <f t="shared" ref="FB8:FK9" si="24">AA210</f>
        <v>9.5945948677082917</v>
      </c>
      <c r="FC8" s="82">
        <f t="shared" si="24"/>
        <v>10.916358367453231</v>
      </c>
      <c r="FD8" s="82">
        <f t="shared" si="24"/>
        <v>2.2709270044888408</v>
      </c>
      <c r="FE8" s="82">
        <f t="shared" si="24"/>
        <v>3.2871768399427088</v>
      </c>
      <c r="FF8" s="82">
        <f t="shared" si="24"/>
        <v>3.6804569911788869</v>
      </c>
      <c r="FG8" s="82">
        <f t="shared" si="24"/>
        <v>3.2084135703263912</v>
      </c>
      <c r="FH8" s="82">
        <f t="shared" si="24"/>
        <v>0.34304751871851696</v>
      </c>
      <c r="FI8" s="82">
        <f t="shared" si="24"/>
        <v>-1.2911793578607174</v>
      </c>
      <c r="FJ8" s="82">
        <f t="shared" si="24"/>
        <v>-0.84050538117471318</v>
      </c>
      <c r="FK8" s="82">
        <f t="shared" si="24"/>
        <v>0.82571363109393014</v>
      </c>
      <c r="FL8" s="82">
        <f t="shared" ref="FL8:FU9" si="25">AK210</f>
        <v>-2.0110875782095743</v>
      </c>
      <c r="FM8" s="82">
        <f t="shared" si="25"/>
        <v>-4.1800837118232312</v>
      </c>
      <c r="FN8" s="82">
        <f t="shared" si="25"/>
        <v>-1.2167391171330635</v>
      </c>
      <c r="FO8" s="82">
        <f t="shared" si="25"/>
        <v>-5.5170434603957919</v>
      </c>
      <c r="FP8" s="82">
        <f t="shared" si="25"/>
        <v>-3.6878670658500483</v>
      </c>
      <c r="FQ8" s="82">
        <f t="shared" si="25"/>
        <v>0.23089065511900425</v>
      </c>
      <c r="FR8" s="82">
        <f t="shared" si="25"/>
        <v>-6.6835635050412359</v>
      </c>
      <c r="FS8" s="82">
        <f t="shared" si="25"/>
        <v>-2.8514004407811422</v>
      </c>
      <c r="FT8" s="82">
        <f t="shared" si="25"/>
        <v>-2.1376942689272194</v>
      </c>
      <c r="FU8" s="82">
        <f t="shared" si="25"/>
        <v>-4.6815991192179576</v>
      </c>
      <c r="FV8" s="82">
        <f t="shared" ref="FV8:GE9" si="26">AU210</f>
        <v>-3.3432642489741604</v>
      </c>
      <c r="FW8" s="82">
        <f t="shared" si="26"/>
        <v>-17.435208320233535</v>
      </c>
      <c r="FX8" s="82">
        <f t="shared" si="26"/>
        <v>-17.163155284687093</v>
      </c>
      <c r="FY8" s="82">
        <f t="shared" si="26"/>
        <v>-0.82836729756374383</v>
      </c>
      <c r="FZ8" s="82">
        <f t="shared" si="26"/>
        <v>-17.404438791440043</v>
      </c>
      <c r="GA8" s="82">
        <f t="shared" si="26"/>
        <v>-13.046871972080478</v>
      </c>
      <c r="GB8" s="82">
        <f t="shared" si="26"/>
        <v>-9.1522163765280098</v>
      </c>
      <c r="GC8" s="82">
        <f t="shared" si="26"/>
        <v>-17.290300850507471</v>
      </c>
      <c r="GD8" s="82">
        <f t="shared" si="26"/>
        <v>-16.034577350297841</v>
      </c>
      <c r="GE8" s="82">
        <f t="shared" si="26"/>
        <v>-16.703682546644099</v>
      </c>
      <c r="GF8" s="82">
        <f t="shared" ref="GF8:GO9" si="27">BE210</f>
        <v>-14.556744352297962</v>
      </c>
      <c r="GG8" s="82">
        <f t="shared" si="27"/>
        <v>-19.63914563122152</v>
      </c>
      <c r="GH8" s="82">
        <f t="shared" si="27"/>
        <v>-28.391155197978385</v>
      </c>
      <c r="GI8" s="82">
        <f t="shared" si="27"/>
        <v>-14.405813094540694</v>
      </c>
      <c r="GJ8" s="82">
        <f t="shared" si="27"/>
        <v>-16.06187919000606</v>
      </c>
      <c r="GK8" s="82">
        <f t="shared" si="27"/>
        <v>-27.330366137391781</v>
      </c>
      <c r="GL8" s="82">
        <f t="shared" si="27"/>
        <v>-28.904618552231504</v>
      </c>
      <c r="GM8" s="82">
        <f t="shared" si="27"/>
        <v>-28.605931873500445</v>
      </c>
      <c r="GN8" s="82">
        <f t="shared" si="27"/>
        <v>-14.173438470285973</v>
      </c>
      <c r="GO8" s="82">
        <f t="shared" si="27"/>
        <v>-5.7370579140911291</v>
      </c>
      <c r="GP8" s="82">
        <f t="shared" ref="GP8:GY9" si="28">BO210</f>
        <v>-12.768659762295957</v>
      </c>
      <c r="GQ8" s="82">
        <f t="shared" si="28"/>
        <v>-5.0181220472785872</v>
      </c>
      <c r="GR8" s="82">
        <f t="shared" si="28"/>
        <v>0.67293636371955767</v>
      </c>
      <c r="GS8" s="82">
        <f t="shared" si="28"/>
        <v>-25.220552294228408</v>
      </c>
      <c r="GT8" s="82">
        <f t="shared" si="28"/>
        <v>-14.089435162677129</v>
      </c>
      <c r="GU8" s="82">
        <f t="shared" si="28"/>
        <v>-21.184765612676856</v>
      </c>
      <c r="GV8" s="82">
        <f t="shared" si="28"/>
        <v>-21.29186038720896</v>
      </c>
      <c r="GW8" s="82">
        <f t="shared" si="28"/>
        <v>-13.929484801639115</v>
      </c>
      <c r="GX8" s="82">
        <f t="shared" si="28"/>
        <v>-5.2018912516890001</v>
      </c>
      <c r="GY8" s="82">
        <f t="shared" si="28"/>
        <v>-13.4776955293796</v>
      </c>
      <c r="GZ8" s="82">
        <f t="shared" ref="GZ8:HI9" si="29">BY210</f>
        <v>-10.046842180393153</v>
      </c>
      <c r="HA8" s="82">
        <f t="shared" si="29"/>
        <v>-4.5375615579708972</v>
      </c>
      <c r="HB8" s="82">
        <f t="shared" si="29"/>
        <v>-15.71354635936682</v>
      </c>
      <c r="HC8" s="82">
        <f t="shared" si="29"/>
        <v>-1.2395361985654936</v>
      </c>
      <c r="HD8" s="82">
        <f t="shared" si="29"/>
        <v>-7.2582881080321151</v>
      </c>
      <c r="HE8" s="82">
        <f t="shared" si="29"/>
        <v>-9.0375205501677769</v>
      </c>
      <c r="HF8" s="82">
        <f t="shared" si="29"/>
        <v>-6.700731342796038</v>
      </c>
      <c r="HG8" s="82">
        <f t="shared" si="29"/>
        <v>-7.4241378440932175</v>
      </c>
      <c r="HH8" s="82">
        <f t="shared" si="29"/>
        <v>-2.4798984077797739</v>
      </c>
      <c r="HI8" s="82">
        <f t="shared" si="29"/>
        <v>2.0276315227354349</v>
      </c>
      <c r="HJ8" s="82">
        <f t="shared" ref="HJ8:HS9" si="30">CI210</f>
        <v>3.2283142442523274</v>
      </c>
      <c r="HK8" s="82">
        <f t="shared" si="30"/>
        <v>1.6290318197755642</v>
      </c>
      <c r="HL8" s="82">
        <f t="shared" si="30"/>
        <v>3.6719068983163203</v>
      </c>
      <c r="HM8" s="82">
        <f t="shared" si="30"/>
        <v>4.5474360457535932</v>
      </c>
      <c r="HN8" s="82">
        <f t="shared" si="30"/>
        <v>5.4600179611139215</v>
      </c>
      <c r="HO8" s="82">
        <f t="shared" si="30"/>
        <v>7.8317521555093323</v>
      </c>
      <c r="HP8" s="82">
        <f t="shared" si="30"/>
        <v>13.225833013210414</v>
      </c>
      <c r="HQ8" s="82">
        <f t="shared" si="30"/>
        <v>16.769081037195857</v>
      </c>
      <c r="HR8" s="82">
        <f t="shared" si="30"/>
        <v>15.194242731545653</v>
      </c>
      <c r="HS8" s="82">
        <f t="shared" si="30"/>
        <v>18.849751139163001</v>
      </c>
      <c r="HT8" s="82">
        <f t="shared" ref="HT8:IC9" si="31">CS210</f>
        <v>4.107004853687501</v>
      </c>
      <c r="HU8" s="82">
        <f t="shared" si="31"/>
        <v>13.689465882787646</v>
      </c>
      <c r="HV8" s="82">
        <f t="shared" si="31"/>
        <v>12.101388573717667</v>
      </c>
      <c r="HW8" s="82">
        <f t="shared" si="31"/>
        <v>19.354805716597266</v>
      </c>
      <c r="HX8" s="82">
        <f t="shared" si="31"/>
        <v>16.459230342872324</v>
      </c>
      <c r="HY8" s="82">
        <f t="shared" si="31"/>
        <v>15.7328358648075</v>
      </c>
      <c r="HZ8" s="82">
        <f t="shared" si="31"/>
        <v>21.867853088791406</v>
      </c>
      <c r="IA8" s="82">
        <f t="shared" si="31"/>
        <v>27.807952231210621</v>
      </c>
      <c r="IB8" s="82">
        <f t="shared" si="31"/>
        <v>29.423940771692422</v>
      </c>
    </row>
    <row r="9" spans="1:236">
      <c r="A9">
        <v>380</v>
      </c>
      <c r="B9" s="90">
        <f>'Color metric'!B3</f>
        <v>1.4396733015463708E-4</v>
      </c>
      <c r="C9" s="82">
        <f>Reference!N9</f>
        <v>0.80724629797986758</v>
      </c>
      <c r="D9" s="82"/>
      <c r="E9" s="88" t="s">
        <v>58</v>
      </c>
      <c r="F9" s="89">
        <f>F6/(F5+F6+F7)</f>
        <v>0.39529110953563074</v>
      </c>
      <c r="G9" s="89">
        <f t="shared" ref="G9:S9" si="32">G6/(G5+G6+G7)</f>
        <v>0.3752652742935324</v>
      </c>
      <c r="H9" s="89">
        <f t="shared" si="32"/>
        <v>0.34322785683291662</v>
      </c>
      <c r="I9" s="89">
        <f t="shared" si="32"/>
        <v>0.36564292979742369</v>
      </c>
      <c r="J9" s="89">
        <f t="shared" si="32"/>
        <v>0.37200339326847609</v>
      </c>
      <c r="K9" s="89">
        <f t="shared" si="32"/>
        <v>0.33922638349369238</v>
      </c>
      <c r="L9" s="89">
        <f t="shared" si="32"/>
        <v>0.37433448957295318</v>
      </c>
      <c r="M9" s="89">
        <f t="shared" si="32"/>
        <v>0.34216989333381992</v>
      </c>
      <c r="N9" s="89">
        <f t="shared" si="32"/>
        <v>0.34666694239227536</v>
      </c>
      <c r="O9" s="89">
        <f t="shared" si="32"/>
        <v>0.390839356052889</v>
      </c>
      <c r="P9" s="89">
        <f t="shared" si="32"/>
        <v>0.3721540863385589</v>
      </c>
      <c r="Q9" s="89">
        <f t="shared" si="32"/>
        <v>0.3696130846537613</v>
      </c>
      <c r="R9" s="89">
        <f t="shared" si="32"/>
        <v>0.36901287562572632</v>
      </c>
      <c r="S9" s="89">
        <f t="shared" si="32"/>
        <v>0.38540086444907262</v>
      </c>
      <c r="T9" s="89">
        <f>T6/(T5+T6+T7)</f>
        <v>0.39686317073331417</v>
      </c>
      <c r="U9" s="89">
        <f>U6/(U5+U6+U7)</f>
        <v>0.39515907390852151</v>
      </c>
      <c r="V9" s="89">
        <f>V6/(V5+V6+V7)</f>
        <v>0.39258216575283877</v>
      </c>
      <c r="W9" s="89">
        <f>W6/(W5+W6+W7)</f>
        <v>0.40000455985261324</v>
      </c>
      <c r="X9" s="89">
        <f t="shared" ref="X9:CI9" si="33">X6/(X5+X6+X7)</f>
        <v>0.40171996004045146</v>
      </c>
      <c r="Y9" s="89">
        <f t="shared" si="33"/>
        <v>0.41141184997114899</v>
      </c>
      <c r="Z9" s="89">
        <f t="shared" si="33"/>
        <v>0.40275333814124809</v>
      </c>
      <c r="AA9" s="89">
        <f t="shared" si="33"/>
        <v>0.41655166234156504</v>
      </c>
      <c r="AB9" s="89">
        <f t="shared" si="33"/>
        <v>0.41458956947912612</v>
      </c>
      <c r="AC9" s="89">
        <f t="shared" si="33"/>
        <v>0.41065297672971179</v>
      </c>
      <c r="AD9" s="89">
        <f t="shared" si="33"/>
        <v>0.42611862407270706</v>
      </c>
      <c r="AE9" s="89">
        <f t="shared" si="33"/>
        <v>0.43281529135727786</v>
      </c>
      <c r="AF9" s="89">
        <f t="shared" si="33"/>
        <v>0.43184073965009739</v>
      </c>
      <c r="AG9" s="89">
        <f t="shared" si="33"/>
        <v>0.42258880988161523</v>
      </c>
      <c r="AH9" s="89">
        <f t="shared" si="33"/>
        <v>0.43547932887794888</v>
      </c>
      <c r="AI9" s="89">
        <f t="shared" si="33"/>
        <v>0.44222988969699184</v>
      </c>
      <c r="AJ9" s="89">
        <f t="shared" si="33"/>
        <v>0.428157569732383</v>
      </c>
      <c r="AK9" s="89">
        <f t="shared" si="33"/>
        <v>0.44486283330341952</v>
      </c>
      <c r="AL9" s="89">
        <f t="shared" si="33"/>
        <v>0.45356633458406048</v>
      </c>
      <c r="AM9" s="89">
        <f t="shared" si="33"/>
        <v>0.42931903968099516</v>
      </c>
      <c r="AN9" s="89">
        <f t="shared" si="33"/>
        <v>0.4596178683668008</v>
      </c>
      <c r="AO9" s="89">
        <f t="shared" si="33"/>
        <v>0.44170288883553865</v>
      </c>
      <c r="AP9" s="89">
        <f t="shared" si="33"/>
        <v>0.40773537704774548</v>
      </c>
      <c r="AQ9" s="89">
        <f t="shared" si="33"/>
        <v>0.45317083008578068</v>
      </c>
      <c r="AR9" s="89">
        <f t="shared" si="33"/>
        <v>0.42854356586233866</v>
      </c>
      <c r="AS9" s="89">
        <f t="shared" si="33"/>
        <v>0.41992817166203988</v>
      </c>
      <c r="AT9" s="89">
        <f t="shared" si="33"/>
        <v>0.43652597035227902</v>
      </c>
      <c r="AU9" s="89">
        <f t="shared" si="33"/>
        <v>0.41235803924993175</v>
      </c>
      <c r="AV9" s="89">
        <f t="shared" si="33"/>
        <v>0.49333792705173479</v>
      </c>
      <c r="AW9" s="89">
        <f t="shared" si="33"/>
        <v>0.49418886267413886</v>
      </c>
      <c r="AX9" s="89">
        <f t="shared" si="33"/>
        <v>0.40028271357044365</v>
      </c>
      <c r="AY9" s="89">
        <f t="shared" si="33"/>
        <v>0.48691423394360295</v>
      </c>
      <c r="AZ9" s="89">
        <f t="shared" si="33"/>
        <v>0.45682810104352406</v>
      </c>
      <c r="BA9" s="89">
        <f t="shared" si="33"/>
        <v>0.43260121561496701</v>
      </c>
      <c r="BB9" s="89">
        <f t="shared" si="33"/>
        <v>0.45872267616821288</v>
      </c>
      <c r="BC9" s="89">
        <f t="shared" si="33"/>
        <v>0.47599223211773833</v>
      </c>
      <c r="BD9" s="89">
        <f t="shared" si="33"/>
        <v>0.44919637786937799</v>
      </c>
      <c r="BE9" s="89">
        <f t="shared" si="33"/>
        <v>0.43715889026804428</v>
      </c>
      <c r="BF9" s="89">
        <f t="shared" si="33"/>
        <v>0.4758931612718551</v>
      </c>
      <c r="BG9" s="89">
        <f t="shared" si="33"/>
        <v>0.49316224532984781</v>
      </c>
      <c r="BH9" s="89">
        <f t="shared" si="33"/>
        <v>0.41282187727202208</v>
      </c>
      <c r="BI9" s="89">
        <f t="shared" si="33"/>
        <v>0.4139170545086035</v>
      </c>
      <c r="BJ9" s="89">
        <f t="shared" si="33"/>
        <v>0.44312246082660933</v>
      </c>
      <c r="BK9" s="89">
        <f t="shared" si="33"/>
        <v>0.45799102486535043</v>
      </c>
      <c r="BL9" s="89">
        <f t="shared" si="33"/>
        <v>0.45141410326981818</v>
      </c>
      <c r="BM9" s="89">
        <f t="shared" si="33"/>
        <v>0.40830035080351545</v>
      </c>
      <c r="BN9" s="89">
        <f t="shared" si="33"/>
        <v>0.39813230120600196</v>
      </c>
      <c r="BO9" s="89">
        <f t="shared" si="33"/>
        <v>0.4038666146385238</v>
      </c>
      <c r="BP9" s="89">
        <f t="shared" si="33"/>
        <v>0.396750762695601</v>
      </c>
      <c r="BQ9" s="89">
        <f t="shared" si="33"/>
        <v>0.39417318169108556</v>
      </c>
      <c r="BR9" s="89">
        <f t="shared" si="33"/>
        <v>0.40862366849742821</v>
      </c>
      <c r="BS9" s="89">
        <f t="shared" si="33"/>
        <v>0.40146713124510014</v>
      </c>
      <c r="BT9" s="89">
        <f t="shared" si="33"/>
        <v>0.39064452540289762</v>
      </c>
      <c r="BU9" s="89">
        <f t="shared" si="33"/>
        <v>0.3852697394409747</v>
      </c>
      <c r="BV9" s="89">
        <f t="shared" si="33"/>
        <v>0.38727925979486416</v>
      </c>
      <c r="BW9" s="89">
        <f t="shared" si="33"/>
        <v>0.38600090941372439</v>
      </c>
      <c r="BX9" s="89">
        <f t="shared" si="33"/>
        <v>0.37258915800456555</v>
      </c>
      <c r="BY9" s="89">
        <f t="shared" si="33"/>
        <v>0.34858649051470852</v>
      </c>
      <c r="BZ9" s="89">
        <f t="shared" si="33"/>
        <v>0.39050451001986913</v>
      </c>
      <c r="CA9" s="89">
        <f t="shared" si="33"/>
        <v>0.3477160010756678</v>
      </c>
      <c r="CB9" s="89">
        <f t="shared" si="33"/>
        <v>0.38970309206446074</v>
      </c>
      <c r="CC9" s="89">
        <f t="shared" si="33"/>
        <v>0.33319421808212013</v>
      </c>
      <c r="CD9" s="89">
        <f t="shared" si="33"/>
        <v>0.30311163278353226</v>
      </c>
      <c r="CE9" s="89">
        <f t="shared" si="33"/>
        <v>0.33751865399968639</v>
      </c>
      <c r="CF9" s="89">
        <f t="shared" si="33"/>
        <v>0.29671647792211153</v>
      </c>
      <c r="CG9" s="89">
        <f t="shared" si="33"/>
        <v>0.36428920788889901</v>
      </c>
      <c r="CH9" s="89">
        <f t="shared" si="33"/>
        <v>0.34585910448640866</v>
      </c>
      <c r="CI9" s="89">
        <f t="shared" si="33"/>
        <v>0.29800014954130605</v>
      </c>
      <c r="CJ9" s="89">
        <f t="shared" ref="CJ9:DA9" si="34">CJ6/(CJ5+CJ6+CJ7)</f>
        <v>0.38316841171967847</v>
      </c>
      <c r="CK9" s="89">
        <f t="shared" si="34"/>
        <v>0.36471785835647275</v>
      </c>
      <c r="CL9" s="89">
        <f t="shared" si="34"/>
        <v>0.37141567192167846</v>
      </c>
      <c r="CM9" s="89">
        <f t="shared" si="34"/>
        <v>0.3561074442291095</v>
      </c>
      <c r="CN9" s="89">
        <f t="shared" si="34"/>
        <v>0.33633398746923693</v>
      </c>
      <c r="CO9" s="89">
        <f t="shared" si="34"/>
        <v>0.30233781269054649</v>
      </c>
      <c r="CP9" s="89">
        <f t="shared" si="34"/>
        <v>0.33135340998750951</v>
      </c>
      <c r="CQ9" s="89">
        <f t="shared" si="34"/>
        <v>0.31476819569324638</v>
      </c>
      <c r="CR9" s="89">
        <f t="shared" si="34"/>
        <v>0.31190659765829076</v>
      </c>
      <c r="CS9" s="89">
        <f t="shared" si="34"/>
        <v>0.39040659405399569</v>
      </c>
      <c r="CT9" s="89">
        <f t="shared" si="34"/>
        <v>0.35329137257156157</v>
      </c>
      <c r="CU9" s="89">
        <f t="shared" si="34"/>
        <v>0.36593511223813963</v>
      </c>
      <c r="CV9" s="89">
        <f t="shared" si="34"/>
        <v>0.32399978252955636</v>
      </c>
      <c r="CW9" s="89">
        <f t="shared" si="34"/>
        <v>0.3600043571396922</v>
      </c>
      <c r="CX9" s="89">
        <f t="shared" si="34"/>
        <v>0.36541289043368758</v>
      </c>
      <c r="CY9" s="89">
        <f t="shared" si="34"/>
        <v>0.34185157549106754</v>
      </c>
      <c r="CZ9" s="89">
        <f t="shared" si="34"/>
        <v>0.33898326089181641</v>
      </c>
      <c r="DA9" s="89">
        <f t="shared" si="34"/>
        <v>0.32633593372170155</v>
      </c>
      <c r="DC9">
        <v>5</v>
      </c>
      <c r="DD9" s="84">
        <v>50.81501288638448</v>
      </c>
      <c r="DE9" s="84">
        <v>33.61442714598067</v>
      </c>
      <c r="DF9" s="84">
        <v>9.3077520069596744</v>
      </c>
      <c r="DG9" s="84">
        <v>49.136915127845555</v>
      </c>
      <c r="DH9" s="84">
        <v>28.851242782552081</v>
      </c>
      <c r="DI9" s="84">
        <v>8.8851589095074619</v>
      </c>
      <c r="DJ9" s="84">
        <v>5.0677926450515161</v>
      </c>
      <c r="DK9" s="84">
        <f t="shared" si="0"/>
        <v>25.682522293238243</v>
      </c>
      <c r="DL9" s="84">
        <f t="shared" si="1"/>
        <v>0.27012947655996455</v>
      </c>
      <c r="DM9" s="84">
        <f t="shared" si="2"/>
        <v>15.47727892896407</v>
      </c>
      <c r="DN9" s="85">
        <v>1</v>
      </c>
      <c r="DO9">
        <v>4</v>
      </c>
      <c r="DP9">
        <f t="shared" si="3"/>
        <v>22.5</v>
      </c>
      <c r="DQ9" s="270">
        <v>18.477590650225736</v>
      </c>
      <c r="DR9" s="270">
        <v>7.6536686473017959</v>
      </c>
      <c r="DT9" t="s">
        <v>17</v>
      </c>
      <c r="DU9" s="87">
        <f t="shared" ref="DU9:EC9" si="35">DAVERAGE($DE$4:$DN$103,"b",DU$4:DU$5)</f>
        <v>8.9739950237016544</v>
      </c>
      <c r="DV9" s="87">
        <f t="shared" si="35"/>
        <v>22.025393316257407</v>
      </c>
      <c r="DW9" s="87">
        <f t="shared" si="35"/>
        <v>18.186738902896206</v>
      </c>
      <c r="DX9" s="87">
        <f t="shared" si="35"/>
        <v>4.8358978529964567</v>
      </c>
      <c r="DY9" s="87">
        <f t="shared" si="35"/>
        <v>-10.164635493616357</v>
      </c>
      <c r="DZ9" s="87">
        <f t="shared" si="35"/>
        <v>-22.330876496602908</v>
      </c>
      <c r="EA9" s="87">
        <f t="shared" si="35"/>
        <v>-17.226557519062961</v>
      </c>
      <c r="EB9" s="87">
        <f t="shared" si="35"/>
        <v>-7.7375756994585938</v>
      </c>
      <c r="EC9" s="87">
        <f t="shared" si="35"/>
        <v>8.9739950237016544</v>
      </c>
      <c r="ED9">
        <f t="shared" si="5"/>
        <v>22.025393316257407</v>
      </c>
      <c r="EF9" t="str">
        <f t="shared" si="17"/>
        <v>b</v>
      </c>
      <c r="EG9" s="82"/>
      <c r="EH9" s="82">
        <f t="shared" si="22"/>
        <v>0.98137994058961742</v>
      </c>
      <c r="EI9" s="82">
        <f t="shared" si="22"/>
        <v>3.4598399357351064</v>
      </c>
      <c r="EJ9" s="82">
        <f t="shared" si="22"/>
        <v>0.35899917025025579</v>
      </c>
      <c r="EK9" s="82">
        <f t="shared" si="22"/>
        <v>6.5356293092960493</v>
      </c>
      <c r="EL9" s="82">
        <f t="shared" si="22"/>
        <v>8.8851589095074619</v>
      </c>
      <c r="EM9" s="82">
        <f t="shared" si="22"/>
        <v>6.5009653402512075</v>
      </c>
      <c r="EN9" s="82">
        <f t="shared" si="22"/>
        <v>9.6859918673862069</v>
      </c>
      <c r="EO9" s="82">
        <f t="shared" si="22"/>
        <v>8.7753737413408484</v>
      </c>
      <c r="EP9" s="82">
        <f t="shared" si="22"/>
        <v>0.26172704649304929</v>
      </c>
      <c r="EQ9" s="82">
        <f t="shared" si="22"/>
        <v>18.681965144802579</v>
      </c>
      <c r="ER9" s="82">
        <f t="shared" si="23"/>
        <v>19.713207720721616</v>
      </c>
      <c r="ES9" s="82">
        <f t="shared" si="23"/>
        <v>21.223982860625874</v>
      </c>
      <c r="ET9" s="82">
        <f t="shared" si="23"/>
        <v>14.570851839988517</v>
      </c>
      <c r="EU9" s="82">
        <f t="shared" si="23"/>
        <v>6.000857504834789</v>
      </c>
      <c r="EV9" s="82">
        <f t="shared" si="23"/>
        <v>10.175252756873853</v>
      </c>
      <c r="EW9" s="82">
        <f t="shared" si="23"/>
        <v>16.555120232474835</v>
      </c>
      <c r="EX9" s="82">
        <f t="shared" si="23"/>
        <v>17.696546006441206</v>
      </c>
      <c r="EY9" s="82">
        <f t="shared" si="23"/>
        <v>13.383949347264299</v>
      </c>
      <c r="EZ9" s="82">
        <f t="shared" si="23"/>
        <v>24.329836730080274</v>
      </c>
      <c r="FA9" s="82">
        <f t="shared" si="23"/>
        <v>31.227548552153326</v>
      </c>
      <c r="FB9" s="82">
        <f t="shared" si="24"/>
        <v>29.38062095428144</v>
      </c>
      <c r="FC9" s="82">
        <f t="shared" si="24"/>
        <v>30.088449561572496</v>
      </c>
      <c r="FD9" s="82">
        <f t="shared" si="24"/>
        <v>12.617479009812325</v>
      </c>
      <c r="FE9" s="82">
        <f t="shared" si="24"/>
        <v>25.433059451418892</v>
      </c>
      <c r="FF9" s="82">
        <f t="shared" si="24"/>
        <v>34.126628207704911</v>
      </c>
      <c r="FG9" s="82">
        <f t="shared" si="24"/>
        <v>30.038413937746228</v>
      </c>
      <c r="FH9" s="82">
        <f t="shared" si="24"/>
        <v>14.471268423061455</v>
      </c>
      <c r="FI9" s="82">
        <f t="shared" si="24"/>
        <v>16.098204965043184</v>
      </c>
      <c r="FJ9" s="82">
        <f t="shared" si="24"/>
        <v>29.991190686099817</v>
      </c>
      <c r="FK9" s="82">
        <f t="shared" si="24"/>
        <v>16.792724238089981</v>
      </c>
      <c r="FL9" s="82">
        <f t="shared" si="25"/>
        <v>29.958434597293198</v>
      </c>
      <c r="FM9" s="82">
        <f t="shared" si="25"/>
        <v>33.018570196580335</v>
      </c>
      <c r="FN9" s="82">
        <f t="shared" si="25"/>
        <v>20.185094419343855</v>
      </c>
      <c r="FO9" s="82">
        <f t="shared" si="25"/>
        <v>29.549749899941318</v>
      </c>
      <c r="FP9" s="82">
        <f t="shared" si="25"/>
        <v>16.03735391988096</v>
      </c>
      <c r="FQ9" s="82">
        <f t="shared" si="25"/>
        <v>5.2258321031640378</v>
      </c>
      <c r="FR9" s="82">
        <f t="shared" si="25"/>
        <v>19.338004152957843</v>
      </c>
      <c r="FS9" s="82">
        <f t="shared" si="25"/>
        <v>15.606608030199929</v>
      </c>
      <c r="FT9" s="82">
        <f t="shared" si="25"/>
        <v>6.9095429822262862</v>
      </c>
      <c r="FU9" s="82">
        <f t="shared" si="25"/>
        <v>13.277240259390643</v>
      </c>
      <c r="FV9" s="82">
        <f t="shared" si="26"/>
        <v>8.3264662871102963</v>
      </c>
      <c r="FW9" s="82">
        <f t="shared" si="26"/>
        <v>29.165105049412993</v>
      </c>
      <c r="FX9" s="82">
        <f t="shared" si="26"/>
        <v>30.743198962396697</v>
      </c>
      <c r="FY9" s="82">
        <f t="shared" si="26"/>
        <v>1.2952189240658938</v>
      </c>
      <c r="FZ9" s="82">
        <f t="shared" si="26"/>
        <v>21.424039375183813</v>
      </c>
      <c r="GA9" s="82">
        <f t="shared" si="26"/>
        <v>17.223731578923985</v>
      </c>
      <c r="GB9" s="82">
        <f t="shared" si="26"/>
        <v>11.890370611163316</v>
      </c>
      <c r="GC9" s="82">
        <f t="shared" si="26"/>
        <v>15.092375010742897</v>
      </c>
      <c r="GD9" s="82">
        <f t="shared" si="26"/>
        <v>15.018213673105901</v>
      </c>
      <c r="GE9" s="82">
        <f t="shared" si="26"/>
        <v>7.7928859260795891</v>
      </c>
      <c r="GF9" s="82">
        <f t="shared" si="27"/>
        <v>6.247379823612941</v>
      </c>
      <c r="GG9" s="82">
        <f t="shared" si="27"/>
        <v>8.4282354374283521</v>
      </c>
      <c r="GH9" s="82">
        <f t="shared" si="27"/>
        <v>5.1902345254659465</v>
      </c>
      <c r="GI9" s="82">
        <f t="shared" si="27"/>
        <v>-0.5846255182207325</v>
      </c>
      <c r="GJ9" s="82">
        <f t="shared" si="27"/>
        <v>-2.4880430407815513</v>
      </c>
      <c r="GK9" s="82">
        <f t="shared" si="27"/>
        <v>-2.9131538636976591</v>
      </c>
      <c r="GL9" s="82">
        <f t="shared" si="27"/>
        <v>-3.4245234437711192</v>
      </c>
      <c r="GM9" s="82">
        <f t="shared" si="27"/>
        <v>-5.7856062286217318</v>
      </c>
      <c r="GN9" s="82">
        <f t="shared" si="27"/>
        <v>-3.1653519346363868</v>
      </c>
      <c r="GO9" s="82">
        <f t="shared" si="27"/>
        <v>-3.5695106817103914</v>
      </c>
      <c r="GP9" s="82">
        <f t="shared" si="28"/>
        <v>-6.5813961597358057</v>
      </c>
      <c r="GQ9" s="82">
        <f t="shared" si="28"/>
        <v>-5.470820505644399</v>
      </c>
      <c r="GR9" s="82">
        <f t="shared" si="28"/>
        <v>-2.2559784556468157</v>
      </c>
      <c r="GS9" s="82">
        <f t="shared" si="28"/>
        <v>-16.000874305605343</v>
      </c>
      <c r="GT9" s="82">
        <f t="shared" si="28"/>
        <v>-10.746045928887044</v>
      </c>
      <c r="GU9" s="82">
        <f t="shared" si="28"/>
        <v>-18.688569891988958</v>
      </c>
      <c r="GV9" s="82">
        <f t="shared" si="28"/>
        <v>-20.289952866798306</v>
      </c>
      <c r="GW9" s="82">
        <f t="shared" si="28"/>
        <v>-17.182147304702148</v>
      </c>
      <c r="GX9" s="82">
        <f t="shared" si="28"/>
        <v>-12.239371659418964</v>
      </c>
      <c r="GY9" s="82">
        <f t="shared" si="28"/>
        <v>-23.154092740742126</v>
      </c>
      <c r="GZ9" s="82">
        <f t="shared" si="29"/>
        <v>-22.688110240054904</v>
      </c>
      <c r="HA9" s="82">
        <f t="shared" si="29"/>
        <v>-9.0308107844189411</v>
      </c>
      <c r="HB9" s="82">
        <f t="shared" si="29"/>
        <v>-28.679163990245275</v>
      </c>
      <c r="HC9" s="82">
        <f t="shared" si="29"/>
        <v>-4.6127131263443371</v>
      </c>
      <c r="HD9" s="82">
        <f t="shared" si="29"/>
        <v>-23.626031485992268</v>
      </c>
      <c r="HE9" s="82">
        <f t="shared" si="29"/>
        <v>-32.402400867654222</v>
      </c>
      <c r="HF9" s="82">
        <f t="shared" si="29"/>
        <v>-25.07401401739477</v>
      </c>
      <c r="HG9" s="82">
        <f t="shared" si="29"/>
        <v>-32.296544077053298</v>
      </c>
      <c r="HH9" s="82">
        <f t="shared" si="29"/>
        <v>-20.414525994223002</v>
      </c>
      <c r="HI9" s="82">
        <f t="shared" si="29"/>
        <v>-23.661234138508849</v>
      </c>
      <c r="HJ9" s="82">
        <f t="shared" si="30"/>
        <v>-27.921292474118776</v>
      </c>
      <c r="HK9" s="82">
        <f t="shared" si="30"/>
        <v>-10.093476233743713</v>
      </c>
      <c r="HL9" s="82">
        <f t="shared" si="30"/>
        <v>-16.506684354585431</v>
      </c>
      <c r="HM9" s="82">
        <f t="shared" si="30"/>
        <v>-7.5270458411791079</v>
      </c>
      <c r="HN9" s="82">
        <f t="shared" si="30"/>
        <v>-14.64324157721909</v>
      </c>
      <c r="HO9" s="82">
        <f t="shared" si="30"/>
        <v>-22.531565127561684</v>
      </c>
      <c r="HP9" s="82">
        <f t="shared" si="30"/>
        <v>-21.768527203471773</v>
      </c>
      <c r="HQ9" s="82">
        <f t="shared" si="30"/>
        <v>-16.82062734062411</v>
      </c>
      <c r="HR9" s="82">
        <f t="shared" si="30"/>
        <v>-16.131334931152814</v>
      </c>
      <c r="HS9" s="82">
        <f t="shared" si="30"/>
        <v>-14.962724602486363</v>
      </c>
      <c r="HT9" s="82">
        <f t="shared" si="31"/>
        <v>-4.8099241311459515</v>
      </c>
      <c r="HU9" s="82">
        <f t="shared" si="31"/>
        <v>-11.256395232814233</v>
      </c>
      <c r="HV9" s="82">
        <f t="shared" si="31"/>
        <v>-8.1536642135173221</v>
      </c>
      <c r="HW9" s="82">
        <f t="shared" si="31"/>
        <v>-9.9182226726626475</v>
      </c>
      <c r="HX9" s="82">
        <f t="shared" si="31"/>
        <v>-7.9455281815712375</v>
      </c>
      <c r="HY9" s="82">
        <f t="shared" si="31"/>
        <v>-5.6605766589779662</v>
      </c>
      <c r="HZ9" s="82">
        <f t="shared" si="31"/>
        <v>-3.7196401359281861</v>
      </c>
      <c r="IA9" s="82">
        <f t="shared" si="31"/>
        <v>-1.1733663254819162</v>
      </c>
      <c r="IB9" s="82">
        <f t="shared" si="31"/>
        <v>-1.3819556083058784</v>
      </c>
    </row>
    <row r="10" spans="1:236">
      <c r="A10">
        <v>385</v>
      </c>
      <c r="B10" s="90">
        <f>'Color metric'!B4</f>
        <v>2.9298082863773311E-4</v>
      </c>
      <c r="C10" s="82">
        <f>Reference!N10</f>
        <v>0.8781655992524241</v>
      </c>
      <c r="D10" s="82"/>
      <c r="E10" s="91" t="s">
        <v>81</v>
      </c>
      <c r="F10" s="92" t="s">
        <v>40</v>
      </c>
      <c r="G10" s="93" t="s">
        <v>325</v>
      </c>
      <c r="H10" s="93" t="s">
        <v>326</v>
      </c>
      <c r="I10" s="93" t="s">
        <v>327</v>
      </c>
      <c r="J10" s="93" t="s">
        <v>328</v>
      </c>
      <c r="K10" s="93" t="s">
        <v>329</v>
      </c>
      <c r="L10" s="93" t="s">
        <v>330</v>
      </c>
      <c r="M10" s="93" t="s">
        <v>331</v>
      </c>
      <c r="N10" s="93" t="s">
        <v>332</v>
      </c>
      <c r="O10" s="93" t="s">
        <v>333</v>
      </c>
      <c r="P10" s="93" t="s">
        <v>334</v>
      </c>
      <c r="Q10" s="93" t="s">
        <v>335</v>
      </c>
      <c r="R10" s="93" t="s">
        <v>336</v>
      </c>
      <c r="S10" s="93" t="s">
        <v>337</v>
      </c>
      <c r="T10" s="93" t="s">
        <v>338</v>
      </c>
      <c r="U10" s="93" t="s">
        <v>339</v>
      </c>
      <c r="V10" s="93" t="s">
        <v>340</v>
      </c>
      <c r="W10" s="93" t="s">
        <v>341</v>
      </c>
      <c r="X10" s="93" t="s">
        <v>342</v>
      </c>
      <c r="Y10" s="93" t="s">
        <v>343</v>
      </c>
      <c r="Z10" s="93" t="s">
        <v>344</v>
      </c>
      <c r="AA10" s="93" t="s">
        <v>345</v>
      </c>
      <c r="AB10" s="93" t="s">
        <v>346</v>
      </c>
      <c r="AC10" s="93" t="s">
        <v>347</v>
      </c>
      <c r="AD10" s="93" t="s">
        <v>348</v>
      </c>
      <c r="AE10" s="93" t="s">
        <v>349</v>
      </c>
      <c r="AF10" s="93" t="s">
        <v>350</v>
      </c>
      <c r="AG10" s="93" t="s">
        <v>351</v>
      </c>
      <c r="AH10" s="93" t="s">
        <v>352</v>
      </c>
      <c r="AI10" s="93" t="s">
        <v>353</v>
      </c>
      <c r="AJ10" s="93" t="s">
        <v>354</v>
      </c>
      <c r="AK10" s="93" t="s">
        <v>355</v>
      </c>
      <c r="AL10" s="93" t="s">
        <v>356</v>
      </c>
      <c r="AM10" s="93" t="s">
        <v>357</v>
      </c>
      <c r="AN10" s="93" t="s">
        <v>358</v>
      </c>
      <c r="AO10" s="93" t="s">
        <v>359</v>
      </c>
      <c r="AP10" s="93" t="s">
        <v>360</v>
      </c>
      <c r="AQ10" s="93" t="s">
        <v>361</v>
      </c>
      <c r="AR10" s="93" t="s">
        <v>362</v>
      </c>
      <c r="AS10" s="93" t="s">
        <v>363</v>
      </c>
      <c r="AT10" s="93" t="s">
        <v>364</v>
      </c>
      <c r="AU10" s="93" t="s">
        <v>365</v>
      </c>
      <c r="AV10" s="93" t="s">
        <v>366</v>
      </c>
      <c r="AW10" s="93" t="s">
        <v>367</v>
      </c>
      <c r="AX10" s="93" t="s">
        <v>368</v>
      </c>
      <c r="AY10" s="93" t="s">
        <v>369</v>
      </c>
      <c r="AZ10" s="93" t="s">
        <v>370</v>
      </c>
      <c r="BA10" s="93" t="s">
        <v>371</v>
      </c>
      <c r="BB10" s="93" t="s">
        <v>372</v>
      </c>
      <c r="BC10" s="93" t="s">
        <v>373</v>
      </c>
      <c r="BD10" s="93" t="s">
        <v>374</v>
      </c>
      <c r="BE10" s="93" t="s">
        <v>375</v>
      </c>
      <c r="BF10" s="93" t="s">
        <v>376</v>
      </c>
      <c r="BG10" s="93" t="s">
        <v>377</v>
      </c>
      <c r="BH10" s="93" t="s">
        <v>378</v>
      </c>
      <c r="BI10" s="93" t="s">
        <v>379</v>
      </c>
      <c r="BJ10" s="93" t="s">
        <v>380</v>
      </c>
      <c r="BK10" s="93" t="s">
        <v>381</v>
      </c>
      <c r="BL10" s="93" t="s">
        <v>382</v>
      </c>
      <c r="BM10" s="93" t="s">
        <v>383</v>
      </c>
      <c r="BN10" s="93" t="s">
        <v>384</v>
      </c>
      <c r="BO10" s="93" t="s">
        <v>385</v>
      </c>
      <c r="BP10" s="93" t="s">
        <v>386</v>
      </c>
      <c r="BQ10" s="93" t="s">
        <v>387</v>
      </c>
      <c r="BR10" s="93" t="s">
        <v>388</v>
      </c>
      <c r="BS10" s="93" t="s">
        <v>389</v>
      </c>
      <c r="BT10" s="93" t="s">
        <v>390</v>
      </c>
      <c r="BU10" s="93" t="s">
        <v>391</v>
      </c>
      <c r="BV10" s="93" t="s">
        <v>392</v>
      </c>
      <c r="BW10" s="93" t="s">
        <v>393</v>
      </c>
      <c r="BX10" s="93" t="s">
        <v>394</v>
      </c>
      <c r="BY10" s="93" t="s">
        <v>395</v>
      </c>
      <c r="BZ10" s="93" t="s">
        <v>396</v>
      </c>
      <c r="CA10" s="93" t="s">
        <v>397</v>
      </c>
      <c r="CB10" s="93" t="s">
        <v>398</v>
      </c>
      <c r="CC10" s="93" t="s">
        <v>399</v>
      </c>
      <c r="CD10" s="93" t="s">
        <v>400</v>
      </c>
      <c r="CE10" s="93" t="s">
        <v>401</v>
      </c>
      <c r="CF10" s="93" t="s">
        <v>402</v>
      </c>
      <c r="CG10" s="93" t="s">
        <v>403</v>
      </c>
      <c r="CH10" s="93" t="s">
        <v>404</v>
      </c>
      <c r="CI10" s="93" t="s">
        <v>405</v>
      </c>
      <c r="CJ10" s="93" t="s">
        <v>406</v>
      </c>
      <c r="CK10" s="93" t="s">
        <v>407</v>
      </c>
      <c r="CL10" s="93" t="s">
        <v>408</v>
      </c>
      <c r="CM10" s="93" t="s">
        <v>409</v>
      </c>
      <c r="CN10" s="93" t="s">
        <v>410</v>
      </c>
      <c r="CO10" s="93" t="s">
        <v>411</v>
      </c>
      <c r="CP10" s="93" t="s">
        <v>412</v>
      </c>
      <c r="CQ10" s="93" t="s">
        <v>413</v>
      </c>
      <c r="CR10" s="93" t="s">
        <v>414</v>
      </c>
      <c r="CS10" s="93" t="s">
        <v>415</v>
      </c>
      <c r="CT10" s="93" t="s">
        <v>416</v>
      </c>
      <c r="CU10" s="93" t="s">
        <v>417</v>
      </c>
      <c r="CV10" s="93" t="s">
        <v>418</v>
      </c>
      <c r="CW10" s="93" t="s">
        <v>419</v>
      </c>
      <c r="CX10" s="93" t="s">
        <v>420</v>
      </c>
      <c r="CY10" s="93" t="s">
        <v>421</v>
      </c>
      <c r="CZ10" s="93" t="s">
        <v>422</v>
      </c>
      <c r="DA10" s="93" t="s">
        <v>423</v>
      </c>
      <c r="DC10">
        <v>6</v>
      </c>
      <c r="DD10" s="84">
        <v>51.185502306353548</v>
      </c>
      <c r="DE10" s="84">
        <v>17.972862692322831</v>
      </c>
      <c r="DF10" s="84">
        <v>6.7025420475344939</v>
      </c>
      <c r="DG10" s="84">
        <v>50.995052651873777</v>
      </c>
      <c r="DH10" s="84">
        <v>14.923130320208402</v>
      </c>
      <c r="DI10" s="84">
        <v>6.5009653402512075</v>
      </c>
      <c r="DJ10" s="84">
        <v>3.0623147750244972</v>
      </c>
      <c r="DK10" s="84">
        <f t="shared" si="0"/>
        <v>9.3777717813333368</v>
      </c>
      <c r="DL10" s="84">
        <f t="shared" si="1"/>
        <v>0.35695084961548279</v>
      </c>
      <c r="DM10" s="84">
        <f t="shared" si="2"/>
        <v>20.451777176576108</v>
      </c>
      <c r="DN10" s="85">
        <v>1</v>
      </c>
      <c r="DO10">
        <v>3</v>
      </c>
      <c r="DP10">
        <f t="shared" si="3"/>
        <v>22.5</v>
      </c>
      <c r="DQ10" s="270">
        <v>18.477590650225736</v>
      </c>
      <c r="DR10" s="270">
        <v>7.6536686473017959</v>
      </c>
      <c r="DT10" t="s">
        <v>73</v>
      </c>
      <c r="DU10" s="87">
        <f>DAVERAGE($DE$4:$DN$103,"dE",DU$4:DU$5)</f>
        <v>3.0763737536987428</v>
      </c>
      <c r="DV10" s="87">
        <f t="shared" ref="DV10:EC10" si="36">DAVERAGE($DE$4:$DN$103,"dE",DV$4:DV$5)</f>
        <v>3.0790457388868062</v>
      </c>
      <c r="DW10" s="87">
        <f t="shared" si="36"/>
        <v>1.5290068528134189</v>
      </c>
      <c r="DX10" s="87">
        <f t="shared" si="36"/>
        <v>2.0738353321040632</v>
      </c>
      <c r="DY10" s="87">
        <f t="shared" si="36"/>
        <v>3.349554766604887</v>
      </c>
      <c r="DZ10" s="87">
        <f t="shared" si="36"/>
        <v>3.5862741965511358</v>
      </c>
      <c r="EA10" s="87">
        <f t="shared" si="36"/>
        <v>2.1040878849991733</v>
      </c>
      <c r="EB10" s="87">
        <f t="shared" si="36"/>
        <v>3.1829087679546633</v>
      </c>
      <c r="EC10" s="87">
        <f t="shared" si="36"/>
        <v>3.0763737536987428</v>
      </c>
      <c r="ED10">
        <f t="shared" si="5"/>
        <v>3.0790457388868062</v>
      </c>
      <c r="EF10" t="str">
        <f t="shared" si="17"/>
        <v>dE</v>
      </c>
      <c r="EG10" s="84"/>
      <c r="EH10" s="84">
        <f t="shared" ref="EH10:FM10" si="37">H30</f>
        <v>2.9044072686835372</v>
      </c>
      <c r="EI10" s="84">
        <f t="shared" si="37"/>
        <v>2.7443505975477733</v>
      </c>
      <c r="EJ10" s="84">
        <f t="shared" si="37"/>
        <v>3.0596026056777506</v>
      </c>
      <c r="EK10" s="84">
        <f t="shared" si="37"/>
        <v>5.0677926450515161</v>
      </c>
      <c r="EL10" s="84">
        <f t="shared" si="37"/>
        <v>3.0623147750244972</v>
      </c>
      <c r="EM10" s="84">
        <f t="shared" si="37"/>
        <v>3.9759590858064913</v>
      </c>
      <c r="EN10" s="84">
        <f t="shared" si="37"/>
        <v>4.6792203756004991</v>
      </c>
      <c r="EO10" s="84">
        <f t="shared" si="37"/>
        <v>0.60375453298051973</v>
      </c>
      <c r="EP10" s="84">
        <f t="shared" si="37"/>
        <v>3.5250014957171452</v>
      </c>
      <c r="EQ10" s="84">
        <f t="shared" si="37"/>
        <v>4.1693039685951803</v>
      </c>
      <c r="ER10" s="84">
        <f t="shared" si="37"/>
        <v>4.1845732874987824</v>
      </c>
      <c r="ES10" s="84">
        <f t="shared" si="37"/>
        <v>2.4841985442498853</v>
      </c>
      <c r="ET10" s="84">
        <f t="shared" si="37"/>
        <v>1.0429364130837626</v>
      </c>
      <c r="EU10" s="84">
        <f t="shared" si="37"/>
        <v>1.6105504003158475</v>
      </c>
      <c r="EV10" s="84">
        <f t="shared" si="37"/>
        <v>4.0261294874909668</v>
      </c>
      <c r="EW10" s="84">
        <f t="shared" si="37"/>
        <v>3.697193496003516</v>
      </c>
      <c r="EX10" s="84">
        <f t="shared" si="37"/>
        <v>2.102871051737274</v>
      </c>
      <c r="EY10" s="84">
        <f t="shared" si="37"/>
        <v>3.7029423777221084</v>
      </c>
      <c r="EZ10" s="84">
        <f t="shared" si="37"/>
        <v>5.4346294980406649</v>
      </c>
      <c r="FA10" s="84">
        <f t="shared" si="37"/>
        <v>4.5538046963326773</v>
      </c>
      <c r="FB10" s="84">
        <f t="shared" si="37"/>
        <v>4.244436189480064</v>
      </c>
      <c r="FC10" s="84">
        <f t="shared" si="37"/>
        <v>1.5374221931805836</v>
      </c>
      <c r="FD10" s="84">
        <f t="shared" si="37"/>
        <v>3.4483206051102386</v>
      </c>
      <c r="FE10" s="84">
        <f t="shared" si="37"/>
        <v>4.8098642966263059</v>
      </c>
      <c r="FF10" s="84">
        <f t="shared" si="37"/>
        <v>3.6385582398794609</v>
      </c>
      <c r="FG10" s="84">
        <f t="shared" si="37"/>
        <v>1.0822411112523114</v>
      </c>
      <c r="FH10" s="84">
        <f t="shared" si="37"/>
        <v>1.8245214481615246</v>
      </c>
      <c r="FI10" s="84">
        <f t="shared" si="37"/>
        <v>2.8099061428413594</v>
      </c>
      <c r="FJ10" s="84">
        <f t="shared" si="37"/>
        <v>0.74134058801400349</v>
      </c>
      <c r="FK10" s="84">
        <f t="shared" si="37"/>
        <v>2.4850304404558714</v>
      </c>
      <c r="FL10" s="84">
        <f t="shared" si="37"/>
        <v>3.8033858763637132</v>
      </c>
      <c r="FM10" s="84">
        <f t="shared" si="37"/>
        <v>1.4233046430161032</v>
      </c>
      <c r="FN10" s="84">
        <f t="shared" ref="FN10:GS10" si="38">AN30</f>
        <v>2.9098208433882191</v>
      </c>
      <c r="FO10" s="84">
        <f t="shared" si="38"/>
        <v>1.6307939431350915</v>
      </c>
      <c r="FP10" s="84">
        <f t="shared" si="38"/>
        <v>1.9461476291727087</v>
      </c>
      <c r="FQ10" s="84">
        <f t="shared" si="38"/>
        <v>2.2238481928515954</v>
      </c>
      <c r="FR10" s="84">
        <f t="shared" si="38"/>
        <v>0.63920899264707554</v>
      </c>
      <c r="FS10" s="84">
        <f t="shared" si="38"/>
        <v>0.22243906199701083</v>
      </c>
      <c r="FT10" s="84">
        <f t="shared" si="38"/>
        <v>0.54798035535842982</v>
      </c>
      <c r="FU10" s="84">
        <f t="shared" si="38"/>
        <v>0.19525451403147734</v>
      </c>
      <c r="FV10" s="84">
        <f t="shared" si="38"/>
        <v>1.7201301799150353</v>
      </c>
      <c r="FW10" s="84">
        <f t="shared" si="38"/>
        <v>2.2002269120426572</v>
      </c>
      <c r="FX10" s="84">
        <f t="shared" si="38"/>
        <v>6.4841097346654025E-2</v>
      </c>
      <c r="FY10" s="84">
        <f t="shared" si="38"/>
        <v>1.4274814473246136</v>
      </c>
      <c r="FZ10" s="84">
        <f t="shared" si="38"/>
        <v>1.7008931932068794</v>
      </c>
      <c r="GA10" s="84">
        <f t="shared" si="38"/>
        <v>0.85232917557497956</v>
      </c>
      <c r="GB10" s="84">
        <f t="shared" si="38"/>
        <v>2.1869625747545358</v>
      </c>
      <c r="GC10" s="84">
        <f t="shared" si="38"/>
        <v>2.0154237599626161</v>
      </c>
      <c r="GD10" s="84">
        <f t="shared" si="38"/>
        <v>1.4931899524317982</v>
      </c>
      <c r="GE10" s="84">
        <f t="shared" si="38"/>
        <v>1.5913745108747659</v>
      </c>
      <c r="GF10" s="84">
        <f t="shared" si="38"/>
        <v>1.782469225064115</v>
      </c>
      <c r="GG10" s="84">
        <f t="shared" si="38"/>
        <v>2.4420202772950277</v>
      </c>
      <c r="GH10" s="84">
        <f t="shared" si="38"/>
        <v>1.5456634642274665</v>
      </c>
      <c r="GI10" s="84">
        <f t="shared" si="38"/>
        <v>1.9755502937418781</v>
      </c>
      <c r="GJ10" s="84">
        <f t="shared" si="38"/>
        <v>2.7683798772185981</v>
      </c>
      <c r="GK10" s="84">
        <f t="shared" si="38"/>
        <v>2.9373193854698303</v>
      </c>
      <c r="GL10" s="84">
        <f t="shared" si="38"/>
        <v>2.8815900533846346</v>
      </c>
      <c r="GM10" s="84">
        <f t="shared" si="38"/>
        <v>1.706340196576527</v>
      </c>
      <c r="GN10" s="84">
        <f t="shared" si="38"/>
        <v>1.5350836063003321</v>
      </c>
      <c r="GO10" s="84">
        <f t="shared" si="38"/>
        <v>2.351863133729565</v>
      </c>
      <c r="GP10" s="84">
        <f t="shared" si="38"/>
        <v>2.3524176331722315</v>
      </c>
      <c r="GQ10" s="84">
        <f t="shared" si="38"/>
        <v>3.067756376287202</v>
      </c>
      <c r="GR10" s="84">
        <f t="shared" si="38"/>
        <v>4.2714073686756029</v>
      </c>
      <c r="GS10" s="84">
        <f t="shared" si="38"/>
        <v>4.0383225121760784</v>
      </c>
      <c r="GT10" s="84">
        <f t="shared" ref="GT10:HY10" si="39">BT30</f>
        <v>5.0905833112704348</v>
      </c>
      <c r="GU10" s="84">
        <f t="shared" si="39"/>
        <v>5.3296302669398701</v>
      </c>
      <c r="GV10" s="84">
        <f t="shared" si="39"/>
        <v>4.208892317244584</v>
      </c>
      <c r="GW10" s="84">
        <f t="shared" si="39"/>
        <v>3.3607704235015756</v>
      </c>
      <c r="GX10" s="84">
        <f t="shared" si="39"/>
        <v>4.7623827886178169</v>
      </c>
      <c r="GY10" s="84">
        <f t="shared" si="39"/>
        <v>5.476228198437405</v>
      </c>
      <c r="GZ10" s="84">
        <f t="shared" si="39"/>
        <v>1.9186842365534316</v>
      </c>
      <c r="HA10" s="84">
        <f t="shared" si="39"/>
        <v>5.5900868569281688</v>
      </c>
      <c r="HB10" s="84">
        <f t="shared" si="39"/>
        <v>1.0851155018381184</v>
      </c>
      <c r="HC10" s="84">
        <f t="shared" si="39"/>
        <v>4.8602815520266383</v>
      </c>
      <c r="HD10" s="84">
        <f t="shared" si="39"/>
        <v>4.8130864363123367</v>
      </c>
      <c r="HE10" s="84">
        <f t="shared" si="39"/>
        <v>2.9699448951249718</v>
      </c>
      <c r="HF10" s="84">
        <f t="shared" si="39"/>
        <v>4.3923098276622685</v>
      </c>
      <c r="HG10" s="84">
        <f t="shared" si="39"/>
        <v>1.6418866654734647</v>
      </c>
      <c r="HH10" s="84">
        <f t="shared" si="39"/>
        <v>1.9390092030878701</v>
      </c>
      <c r="HI10" s="84">
        <f t="shared" si="39"/>
        <v>2.7460008947220107</v>
      </c>
      <c r="HJ10" s="84">
        <f t="shared" si="39"/>
        <v>0.8604088489432955</v>
      </c>
      <c r="HK10" s="84">
        <f t="shared" si="39"/>
        <v>0.8442921210890213</v>
      </c>
      <c r="HL10" s="84">
        <f t="shared" si="39"/>
        <v>1.5682558326541272</v>
      </c>
      <c r="HM10" s="84">
        <f t="shared" si="39"/>
        <v>3.0827869235384195</v>
      </c>
      <c r="HN10" s="84">
        <f t="shared" si="39"/>
        <v>3.4803376680292457</v>
      </c>
      <c r="HO10" s="84">
        <f t="shared" si="39"/>
        <v>2.4218767551065317</v>
      </c>
      <c r="HP10" s="84">
        <f t="shared" si="39"/>
        <v>1.828744035910735</v>
      </c>
      <c r="HQ10" s="84">
        <f t="shared" si="39"/>
        <v>3.4578128590057204</v>
      </c>
      <c r="HR10" s="84">
        <f t="shared" si="39"/>
        <v>1.6943439384265755</v>
      </c>
      <c r="HS10" s="84">
        <f t="shared" si="39"/>
        <v>3.5336397453286676</v>
      </c>
      <c r="HT10" s="84">
        <f t="shared" si="39"/>
        <v>4.6871239757888947</v>
      </c>
      <c r="HU10" s="84">
        <f t="shared" si="39"/>
        <v>2.9642056247918025</v>
      </c>
      <c r="HV10" s="84">
        <f t="shared" si="39"/>
        <v>5.1584077110150215</v>
      </c>
      <c r="HW10" s="84">
        <f t="shared" si="39"/>
        <v>3.725936315950356</v>
      </c>
      <c r="HX10" s="84">
        <f t="shared" si="39"/>
        <v>2.3941294928791721</v>
      </c>
      <c r="HY10" s="84">
        <f t="shared" si="39"/>
        <v>1.6967552012035561</v>
      </c>
      <c r="HZ10" s="84">
        <f t="shared" ref="HZ10:JE10" si="40">CZ30</f>
        <v>2.341873399168394</v>
      </c>
      <c r="IA10" s="84">
        <f t="shared" si="40"/>
        <v>3.3577681839431364</v>
      </c>
      <c r="IB10" s="84">
        <f t="shared" si="40"/>
        <v>0</v>
      </c>
    </row>
    <row r="11" spans="1:236">
      <c r="A11">
        <v>390</v>
      </c>
      <c r="B11" s="90">
        <f>'Color metric'!B5</f>
        <v>5.9622971368804355E-4</v>
      </c>
      <c r="C11" s="82">
        <f>Reference!N11</f>
        <v>0.95246192714160194</v>
      </c>
      <c r="D11" s="82"/>
      <c r="E11" s="94" t="s">
        <v>52</v>
      </c>
      <c r="F11" s="95">
        <f>100*SUMPRODUCT($B5:$B99,CMFs!$F2:$F96,'99set'!B$10:B$104)/SUMPRODUCT($B5:$B99,CMFs!$G2:$G96)</f>
        <v>108.81167087592205</v>
      </c>
      <c r="G11" s="95">
        <f>100*SUMPRODUCT($B5:$B99,CMFs!$F2:$F96,'99set'!C$10:C$104)/SUMPRODUCT($B5:$B99,CMFs!$G2:$G96)</f>
        <v>76.39908924097108</v>
      </c>
      <c r="H11" s="95">
        <f>100*SUMPRODUCT($B5:$B99,CMFs!$F2:$F96,'99set'!D$10:D$104)/SUMPRODUCT($B5:$B99,CMFs!$G2:$G96)</f>
        <v>39.055271863921504</v>
      </c>
      <c r="I11" s="95">
        <f>100*SUMPRODUCT($B5:$B99,CMFs!$F2:$F96,'99set'!E$10:E$104)/SUMPRODUCT($B5:$B99,CMFs!$G2:$G96)</f>
        <v>7.3823532493042636</v>
      </c>
      <c r="J11" s="95">
        <f>100*SUMPRODUCT($B5:$B99,CMFs!$F2:$F96,'99set'!F$10:F$104)/SUMPRODUCT($B5:$B99,CMFs!$G2:$G96)</f>
        <v>46.985767307464549</v>
      </c>
      <c r="K11" s="95">
        <f>100*SUMPRODUCT($B5:$B99,CMFs!$F2:$F96,'99set'!G$10:G$104)/SUMPRODUCT($B5:$B99,CMFs!$G2:$G96)</f>
        <v>23.989881102867127</v>
      </c>
      <c r="L11" s="95">
        <f>100*SUMPRODUCT($B5:$B99,CMFs!$F2:$F96,'99set'!H$10:H$104)/SUMPRODUCT($B5:$B99,CMFs!$G2:$G96)</f>
        <v>21.69297813870579</v>
      </c>
      <c r="M11" s="95">
        <f>100*SUMPRODUCT($B5:$B99,CMFs!$F2:$F96,'99set'!I$10:I$104)/SUMPRODUCT($B5:$B99,CMFs!$G2:$G96)</f>
        <v>16.957294036184056</v>
      </c>
      <c r="N11" s="95">
        <f>100*SUMPRODUCT($B5:$B99,CMFs!$F2:$F96,'99set'!J$10:J$104)/SUMPRODUCT($B5:$B99,CMFs!$G2:$G96)</f>
        <v>15.362635072832427</v>
      </c>
      <c r="O11" s="95">
        <f>100*SUMPRODUCT($B5:$B99,CMFs!$F2:$F96,'99set'!K$10:K$104)/SUMPRODUCT($B5:$B99,CMFs!$G2:$G96)</f>
        <v>5.5565833024742046</v>
      </c>
      <c r="P11" s="95">
        <f>100*SUMPRODUCT($B5:$B99,CMFs!$F2:$F96,'99set'!L$10:L$104)/SUMPRODUCT($B5:$B99,CMFs!$G2:$G96)</f>
        <v>63.354537307731263</v>
      </c>
      <c r="Q11" s="95">
        <f>100*SUMPRODUCT($B5:$B99,CMFs!$F2:$F96,'99set'!M$10:M$104)/SUMPRODUCT($B5:$B99,CMFs!$G2:$G96)</f>
        <v>34.300715409552112</v>
      </c>
      <c r="R11" s="95">
        <f>100*SUMPRODUCT($B5:$B99,CMFs!$F2:$F96,'99set'!N$10:N$104)/SUMPRODUCT($B5:$B99,CMFs!$G2:$G96)</f>
        <v>44.080789044554308</v>
      </c>
      <c r="S11" s="95">
        <f>100*SUMPRODUCT($B5:$B99,CMFs!$F2:$F96,'99set'!O$10:O$104)/SUMPRODUCT($B5:$B99,CMFs!$G2:$G96)</f>
        <v>15.770442447332361</v>
      </c>
      <c r="T11" s="95">
        <f>100*SUMPRODUCT($B5:$B99,CMFs!$F2:$F96,'99set'!P$10:P$104)/SUMPRODUCT($B5:$B99,CMFs!$G2:$G96)</f>
        <v>48.435370789561858</v>
      </c>
      <c r="U11" s="95">
        <f>100*SUMPRODUCT($B5:$B99,CMFs!$F2:$F96,'99set'!Q$10:Q$104)/SUMPRODUCT($B5:$B99,CMFs!$G2:$G96)</f>
        <v>46.293434813512604</v>
      </c>
      <c r="V11" s="95">
        <f>100*SUMPRODUCT($B5:$B99,CMFs!$F2:$F96,'99set'!R$10:R$104)/SUMPRODUCT($B5:$B99,CMFs!$G2:$G96)</f>
        <v>18.82341467633146</v>
      </c>
      <c r="W11" s="95">
        <f>100*SUMPRODUCT($B5:$B99,CMFs!$F2:$F96,'99set'!S$10:S$104)/SUMPRODUCT($B5:$B99,CMFs!$G2:$G96)</f>
        <v>20.659068449041911</v>
      </c>
      <c r="X11" s="95">
        <f>100*SUMPRODUCT($B5:$B99,CMFs!$F2:$F96,'99set'!T$10:T$104)/SUMPRODUCT($B5:$B99,CMFs!$G2:$G96)</f>
        <v>26.211608128716875</v>
      </c>
      <c r="Y11" s="95">
        <f>100*SUMPRODUCT($B5:$B99,CMFs!$F2:$F96,'99set'!U$10:U$104)/SUMPRODUCT($B5:$B99,CMFs!$G2:$G96)</f>
        <v>49.715903433281767</v>
      </c>
      <c r="Z11" s="95">
        <f>100*SUMPRODUCT($B5:$B99,CMFs!$F2:$F96,'99set'!V$10:V$104)/SUMPRODUCT($B5:$B99,CMFs!$G2:$G96)</f>
        <v>43.327974399725541</v>
      </c>
      <c r="AA11" s="95">
        <f>100*SUMPRODUCT($B5:$B99,CMFs!$F2:$F96,'99set'!W$10:W$104)/SUMPRODUCT($B5:$B99,CMFs!$G2:$G96)</f>
        <v>81.498070754329405</v>
      </c>
      <c r="AB11" s="95">
        <f>100*SUMPRODUCT($B5:$B99,CMFs!$F2:$F96,'99set'!X$10:X$104)/SUMPRODUCT($B5:$B99,CMFs!$G2:$G96)</f>
        <v>64.239016151279245</v>
      </c>
      <c r="AC11" s="95">
        <f>100*SUMPRODUCT($B5:$B99,CMFs!$F2:$F96,'99set'!Y$10:Y$104)/SUMPRODUCT($B5:$B99,CMFs!$G2:$G96)</f>
        <v>85.938622622353662</v>
      </c>
      <c r="AD11" s="95">
        <f>100*SUMPRODUCT($B5:$B99,CMFs!$F2:$F96,'99set'!Z$10:Z$104)/SUMPRODUCT($B5:$B99,CMFs!$G2:$G96)</f>
        <v>87.117814385938772</v>
      </c>
      <c r="AE11" s="95">
        <f>100*SUMPRODUCT($B5:$B99,CMFs!$F2:$F96,'99set'!AA$10:AA$104)/SUMPRODUCT($B5:$B99,CMFs!$G2:$G96)</f>
        <v>48.841025747782737</v>
      </c>
      <c r="AF11" s="95">
        <f>100*SUMPRODUCT($B5:$B99,CMFs!$F2:$F96,'99set'!AB$10:AB$104)/SUMPRODUCT($B5:$B99,CMFs!$G2:$G96)</f>
        <v>85.640293063222572</v>
      </c>
      <c r="AG11" s="95">
        <f>100*SUMPRODUCT($B5:$B99,CMFs!$F2:$F96,'99set'!AC$10:AC$104)/SUMPRODUCT($B5:$B99,CMFs!$G2:$G96)</f>
        <v>46.356333903907462</v>
      </c>
      <c r="AH11" s="95">
        <f>100*SUMPRODUCT($B5:$B99,CMFs!$F2:$F96,'99set'!AD$10:AD$104)/SUMPRODUCT($B5:$B99,CMFs!$G2:$G96)</f>
        <v>12.383616866357457</v>
      </c>
      <c r="AI11" s="95">
        <f>100*SUMPRODUCT($B5:$B99,CMFs!$F2:$F96,'99set'!AE$10:AE$104)/SUMPRODUCT($B5:$B99,CMFs!$G2:$G96)</f>
        <v>74.990262159661953</v>
      </c>
      <c r="AJ11" s="95">
        <f>100*SUMPRODUCT($B5:$B99,CMFs!$F2:$F96,'99set'!AF$10:AF$104)/SUMPRODUCT($B5:$B99,CMFs!$G2:$G96)</f>
        <v>33.507748586858888</v>
      </c>
      <c r="AK11" s="95">
        <f>100*SUMPRODUCT($B5:$B99,CMFs!$F2:$F96,'99set'!AG$10:AG$104)/SUMPRODUCT($B5:$B99,CMFs!$G2:$G96)</f>
        <v>78.317622775143789</v>
      </c>
      <c r="AL11" s="95">
        <f>100*SUMPRODUCT($B5:$B99,CMFs!$F2:$F96,'99set'!AH$10:AH$104)/SUMPRODUCT($B5:$B99,CMFs!$G2:$G96)</f>
        <v>50.183401529410034</v>
      </c>
      <c r="AM11" s="95">
        <f>100*SUMPRODUCT($B5:$B99,CMFs!$F2:$F96,'99set'!AI$10:AI$104)/SUMPRODUCT($B5:$B99,CMFs!$G2:$G96)</f>
        <v>79.666439264963714</v>
      </c>
      <c r="AN11" s="95">
        <f>100*SUMPRODUCT($B5:$B99,CMFs!$F2:$F96,'99set'!AJ$10:AJ$104)/SUMPRODUCT($B5:$B99,CMFs!$G2:$G96)</f>
        <v>30.644129153010109</v>
      </c>
      <c r="AO11" s="95">
        <f>100*SUMPRODUCT($B5:$B99,CMFs!$F2:$F96,'99set'!AK$10:AK$104)/SUMPRODUCT($B5:$B99,CMFs!$G2:$G96)</f>
        <v>12.380337181241636</v>
      </c>
      <c r="AP11" s="95">
        <f>100*SUMPRODUCT($B5:$B99,CMFs!$F2:$F96,'99set'!AL$10:AL$104)/SUMPRODUCT($B5:$B99,CMFs!$G2:$G96)</f>
        <v>58.553072699374887</v>
      </c>
      <c r="AQ11" s="95">
        <f>100*SUMPRODUCT($B5:$B99,CMFs!$F2:$F96,'99set'!AM$10:AM$104)/SUMPRODUCT($B5:$B99,CMFs!$G2:$G96)</f>
        <v>16.047315413724302</v>
      </c>
      <c r="AR11" s="95">
        <f>100*SUMPRODUCT($B5:$B99,CMFs!$F2:$F96,'99set'!AN$10:AN$104)/SUMPRODUCT($B5:$B99,CMFs!$G2:$G96)</f>
        <v>70.084345478067391</v>
      </c>
      <c r="AS11" s="95">
        <f>100*SUMPRODUCT($B5:$B99,CMFs!$F2:$F96,'99set'!AO$10:AO$104)/SUMPRODUCT($B5:$B99,CMFs!$G2:$G96)</f>
        <v>8.073609234486673</v>
      </c>
      <c r="AT11" s="95">
        <f>100*SUMPRODUCT($B5:$B99,CMFs!$F2:$F96,'99set'!AP$10:AP$104)/SUMPRODUCT($B5:$B99,CMFs!$G2:$G96)</f>
        <v>17.129121873622566</v>
      </c>
      <c r="AU11" s="95">
        <f>100*SUMPRODUCT($B5:$B99,CMFs!$F2:$F96,'99set'!AQ$10:AQ$104)/SUMPRODUCT($B5:$B99,CMFs!$G2:$G96)</f>
        <v>73.325460602809798</v>
      </c>
      <c r="AV11" s="95">
        <f>100*SUMPRODUCT($B5:$B99,CMFs!$F2:$F96,'99set'!AR$10:AR$104)/SUMPRODUCT($B5:$B99,CMFs!$G2:$G96)</f>
        <v>34.056401779255367</v>
      </c>
      <c r="AW11" s="95">
        <f>100*SUMPRODUCT($B5:$B99,CMFs!$F2:$F96,'99set'!AS$10:AS$104)/SUMPRODUCT($B5:$B99,CMFs!$G2:$G96)</f>
        <v>39.123096199537471</v>
      </c>
      <c r="AX11" s="95">
        <f>100*SUMPRODUCT($B5:$B99,CMFs!$F2:$F96,'99set'!AT$10:AT$104)/SUMPRODUCT($B5:$B99,CMFs!$G2:$G96)</f>
        <v>5.3385228420338962</v>
      </c>
      <c r="AY11" s="95">
        <f>100*SUMPRODUCT($B5:$B99,CMFs!$F2:$F96,'99set'!AU$10:AU$104)/SUMPRODUCT($B5:$B99,CMFs!$G2:$G96)</f>
        <v>22.025715122486581</v>
      </c>
      <c r="AZ11" s="95">
        <f>100*SUMPRODUCT($B5:$B99,CMFs!$F2:$F96,'99set'!AV$10:AV$104)/SUMPRODUCT($B5:$B99,CMFs!$G2:$G96)</f>
        <v>32.180582419198487</v>
      </c>
      <c r="BA11" s="95">
        <f>100*SUMPRODUCT($B5:$B99,CMFs!$F2:$F96,'99set'!AW$10:AW$104)/SUMPRODUCT($B5:$B99,CMFs!$G2:$G96)</f>
        <v>37.015910877096658</v>
      </c>
      <c r="BB11" s="95">
        <f>100*SUMPRODUCT($B5:$B99,CMFs!$F2:$F96,'99set'!AX$10:AX$104)/SUMPRODUCT($B5:$B99,CMFs!$G2:$G96)</f>
        <v>46.706168490678976</v>
      </c>
      <c r="BC11" s="95">
        <f>100*SUMPRODUCT($B5:$B99,CMFs!$F2:$F96,'99set'!AY$10:AY$104)/SUMPRODUCT($B5:$B99,CMFs!$G2:$G96)</f>
        <v>12.548844659020563</v>
      </c>
      <c r="BD11" s="95">
        <f>100*SUMPRODUCT($B5:$B99,CMFs!$F2:$F96,'99set'!AZ$10:AZ$104)/SUMPRODUCT($B5:$B99,CMFs!$G2:$G96)</f>
        <v>18.420332063538297</v>
      </c>
      <c r="BE11" s="95">
        <f>100*SUMPRODUCT($B5:$B99,CMFs!$F2:$F96,'99set'!BA$10:BA$104)/SUMPRODUCT($B5:$B99,CMFs!$G2:$G96)</f>
        <v>22.32303024739937</v>
      </c>
      <c r="BF11" s="95">
        <f>100*SUMPRODUCT($B5:$B99,CMFs!$F2:$F96,'99set'!BB$10:BB$104)/SUMPRODUCT($B5:$B99,CMFs!$G2:$G96)</f>
        <v>8.8225007859761302</v>
      </c>
      <c r="BG11" s="95">
        <f>100*SUMPRODUCT($B5:$B99,CMFs!$F2:$F96,'99set'!BC$10:BC$104)/SUMPRODUCT($B5:$B99,CMFs!$G2:$G96)</f>
        <v>11.586973737073228</v>
      </c>
      <c r="BH11" s="95">
        <f>100*SUMPRODUCT($B5:$B99,CMFs!$F2:$F96,'99set'!BD$10:BD$104)/SUMPRODUCT($B5:$B99,CMFs!$G2:$G96)</f>
        <v>66.475570755467743</v>
      </c>
      <c r="BI11" s="95">
        <f>100*SUMPRODUCT($B5:$B99,CMFs!$F2:$F96,'99set'!BE$10:BE$104)/SUMPRODUCT($B5:$B99,CMFs!$G2:$G96)</f>
        <v>57.975198387550357</v>
      </c>
      <c r="BJ11" s="95">
        <f>100*SUMPRODUCT($B5:$B99,CMFs!$F2:$F96,'99set'!BF$10:BF$104)/SUMPRODUCT($B5:$B99,CMFs!$G2:$G96)</f>
        <v>31.562390637700403</v>
      </c>
      <c r="BK11" s="95">
        <f>100*SUMPRODUCT($B5:$B99,CMFs!$F2:$F96,'99set'!BG$10:BG$104)/SUMPRODUCT($B5:$B99,CMFs!$G2:$G96)</f>
        <v>17.005269801940521</v>
      </c>
      <c r="BL11" s="95">
        <f>100*SUMPRODUCT($B5:$B99,CMFs!$F2:$F96,'99set'!BH$10:BH$104)/SUMPRODUCT($B5:$B99,CMFs!$G2:$G96)</f>
        <v>14.199878344920988</v>
      </c>
      <c r="BM11" s="95">
        <f>100*SUMPRODUCT($B5:$B99,CMFs!$F2:$F96,'99set'!BI$10:BI$104)/SUMPRODUCT($B5:$B99,CMFs!$G2:$G96)</f>
        <v>65.783261454789638</v>
      </c>
      <c r="BN11" s="95">
        <f>100*SUMPRODUCT($B5:$B99,CMFs!$F2:$F96,'99set'!BJ$10:BJ$104)/SUMPRODUCT($B5:$B99,CMFs!$G2:$G96)</f>
        <v>72.915576869891495</v>
      </c>
      <c r="BO11" s="95">
        <f>100*SUMPRODUCT($B5:$B99,CMFs!$F2:$F96,'99set'!BK$10:BK$104)/SUMPRODUCT($B5:$B99,CMFs!$G2:$G96)</f>
        <v>46.73742694276438</v>
      </c>
      <c r="BP11" s="95">
        <f>100*SUMPRODUCT($B5:$B99,CMFs!$F2:$F96,'99set'!BL$10:BL$104)/SUMPRODUCT($B5:$B99,CMFs!$G2:$G96)</f>
        <v>34.542114027310383</v>
      </c>
      <c r="BQ11" s="95">
        <f>100*SUMPRODUCT($B5:$B99,CMFs!$F2:$F96,'99set'!BM$10:BM$104)/SUMPRODUCT($B5:$B99,CMFs!$G2:$G96)</f>
        <v>7.8874457899287584</v>
      </c>
      <c r="BR11" s="95">
        <f>100*SUMPRODUCT($B5:$B99,CMFs!$F2:$F96,'99set'!BN$10:BN$104)/SUMPRODUCT($B5:$B99,CMFs!$G2:$G96)</f>
        <v>18.199309748232093</v>
      </c>
      <c r="BS11" s="95">
        <f>100*SUMPRODUCT($B5:$B99,CMFs!$F2:$F96,'99set'!BO$10:BO$104)/SUMPRODUCT($B5:$B99,CMFs!$G2:$G96)</f>
        <v>9.2367500923198591</v>
      </c>
      <c r="BT11" s="95">
        <f>100*SUMPRODUCT($B5:$B99,CMFs!$F2:$F96,'99set'!BP$10:BP$104)/SUMPRODUCT($B5:$B99,CMFs!$G2:$G96)</f>
        <v>9.5044301814110099</v>
      </c>
      <c r="BU11" s="95">
        <f>100*SUMPRODUCT($B5:$B99,CMFs!$F2:$F96,'99set'!BQ$10:BQ$104)/SUMPRODUCT($B5:$B99,CMFs!$G2:$G96)</f>
        <v>11.238259610461814</v>
      </c>
      <c r="BV11" s="95">
        <f>100*SUMPRODUCT($B5:$B99,CMFs!$F2:$F96,'99set'!BR$10:BR$104)/SUMPRODUCT($B5:$B99,CMFs!$G2:$G96)</f>
        <v>27.433615131173426</v>
      </c>
      <c r="BW11" s="95">
        <f>100*SUMPRODUCT($B5:$B99,CMFs!$F2:$F96,'99set'!BS$10:BS$104)/SUMPRODUCT($B5:$B99,CMFs!$G2:$G96)</f>
        <v>19.263457874137465</v>
      </c>
      <c r="BX11" s="95">
        <f>100*SUMPRODUCT($B5:$B99,CMFs!$F2:$F96,'99set'!BT$10:BT$104)/SUMPRODUCT($B5:$B99,CMFs!$G2:$G96)</f>
        <v>37.881157480399608</v>
      </c>
      <c r="BY11" s="95">
        <f>100*SUMPRODUCT($B5:$B99,CMFs!$F2:$F96,'99set'!BU$10:BU$104)/SUMPRODUCT($B5:$B99,CMFs!$G2:$G96)</f>
        <v>6.731613003658472</v>
      </c>
      <c r="BZ11" s="95">
        <f>100*SUMPRODUCT($B5:$B99,CMFs!$F2:$F96,'99set'!BV$10:BV$104)/SUMPRODUCT($B5:$B99,CMFs!$G2:$G96)</f>
        <v>49.229138054158867</v>
      </c>
      <c r="CA11" s="95">
        <f>100*SUMPRODUCT($B5:$B99,CMFs!$F2:$F96,'99set'!BW$10:BW$104)/SUMPRODUCT($B5:$B99,CMFs!$G2:$G96)</f>
        <v>19.836091570621853</v>
      </c>
      <c r="CB11" s="95">
        <f>100*SUMPRODUCT($B5:$B99,CMFs!$F2:$F96,'99set'!BX$10:BX$104)/SUMPRODUCT($B5:$B99,CMFs!$G2:$G96)</f>
        <v>5.0991008987788424</v>
      </c>
      <c r="CC11" s="95">
        <f>100*SUMPRODUCT($B5:$B99,CMFs!$F2:$F96,'99set'!BY$10:BY$104)/SUMPRODUCT($B5:$B99,CMFs!$G2:$G96)</f>
        <v>6.282644396982473</v>
      </c>
      <c r="CD11" s="95">
        <f>100*SUMPRODUCT($B5:$B99,CMFs!$F2:$F96,'99set'!BZ$10:BZ$104)/SUMPRODUCT($B5:$B99,CMFs!$G2:$G96)</f>
        <v>13.858735473196013</v>
      </c>
      <c r="CE11" s="95">
        <f>100*SUMPRODUCT($B5:$B99,CMFs!$F2:$F96,'99set'!CA$10:CA$104)/SUMPRODUCT($B5:$B99,CMFs!$G2:$G96)</f>
        <v>12.11798504130314</v>
      </c>
      <c r="CF11" s="95">
        <f>100*SUMPRODUCT($B5:$B99,CMFs!$F2:$F96,'99set'!CB$10:CB$104)/SUMPRODUCT($B5:$B99,CMFs!$G2:$G96)</f>
        <v>12.073255520080481</v>
      </c>
      <c r="CG11" s="95">
        <f>100*SUMPRODUCT($B5:$B99,CMFs!$F2:$F96,'99set'!CC$10:CC$104)/SUMPRODUCT($B5:$B99,CMFs!$G2:$G96)</f>
        <v>43.853974317107713</v>
      </c>
      <c r="CH11" s="95">
        <f>100*SUMPRODUCT($B5:$B99,CMFs!$F2:$F96,'99set'!CD$10:CD$104)/SUMPRODUCT($B5:$B99,CMFs!$G2:$G96)</f>
        <v>34.040814843651212</v>
      </c>
      <c r="CI11" s="95">
        <f>100*SUMPRODUCT($B5:$B99,CMFs!$F2:$F96,'99set'!CE$10:CE$104)/SUMPRODUCT($B5:$B99,CMFs!$G2:$G96)</f>
        <v>13.381580211744888</v>
      </c>
      <c r="CJ11" s="95">
        <f>100*SUMPRODUCT($B5:$B99,CMFs!$F2:$F96,'99set'!CF$10:CF$104)/SUMPRODUCT($B5:$B99,CMFs!$G2:$G96)</f>
        <v>72.736141267226273</v>
      </c>
      <c r="CK11" s="95">
        <f>100*SUMPRODUCT($B5:$B99,CMFs!$F2:$F96,'99set'!CG$10:CG$104)/SUMPRODUCT($B5:$B99,CMFs!$G2:$G96)</f>
        <v>45.263533259116848</v>
      </c>
      <c r="CL11" s="95">
        <f>100*SUMPRODUCT($B5:$B99,CMFs!$F2:$F96,'99set'!CH$10:CH$104)/SUMPRODUCT($B5:$B99,CMFs!$G2:$G96)</f>
        <v>5.2612623816141566</v>
      </c>
      <c r="CM11" s="95">
        <f>100*SUMPRODUCT($B5:$B99,CMFs!$F2:$F96,'99set'!CI$10:CI$104)/SUMPRODUCT($B5:$B99,CMFs!$G2:$G96)</f>
        <v>11.902117851535298</v>
      </c>
      <c r="CN11" s="95">
        <f>100*SUMPRODUCT($B5:$B99,CMFs!$F2:$F96,'99set'!CJ$10:CJ$104)/SUMPRODUCT($B5:$B99,CMFs!$G2:$G96)</f>
        <v>34.952987112531488</v>
      </c>
      <c r="CO11" s="95">
        <f>100*SUMPRODUCT($B5:$B99,CMFs!$F2:$F96,'99set'!CK$10:CK$104)/SUMPRODUCT($B5:$B99,CMFs!$G2:$G96)</f>
        <v>12.151072123024191</v>
      </c>
      <c r="CP11" s="95">
        <f>100*SUMPRODUCT($B5:$B99,CMFs!$F2:$F96,'99set'!CL$10:CL$104)/SUMPRODUCT($B5:$B99,CMFs!$G2:$G96)</f>
        <v>33.830135395976761</v>
      </c>
      <c r="CQ11" s="95">
        <f>100*SUMPRODUCT($B5:$B99,CMFs!$F2:$F96,'99set'!CM$10:CM$104)/SUMPRODUCT($B5:$B99,CMFs!$G2:$G96)</f>
        <v>11.485307807207196</v>
      </c>
      <c r="CR11" s="95">
        <f>100*SUMPRODUCT($B5:$B99,CMFs!$F2:$F96,'99set'!CN$10:CN$104)/SUMPRODUCT($B5:$B99,CMFs!$G2:$G96)</f>
        <v>16.047103415219002</v>
      </c>
      <c r="CS11" s="95">
        <f>100*SUMPRODUCT($B5:$B99,CMFs!$F2:$F96,'99set'!CO$10:CO$104)/SUMPRODUCT($B5:$B99,CMFs!$G2:$G96)</f>
        <v>58.971369181738396</v>
      </c>
      <c r="CT11" s="95">
        <f>100*SUMPRODUCT($B5:$B99,CMFs!$F2:$F96,'99set'!CP$10:CP$104)/SUMPRODUCT($B5:$B99,CMFs!$G2:$G96)</f>
        <v>25.411950691719067</v>
      </c>
      <c r="CU11" s="95">
        <f>100*SUMPRODUCT($B5:$B99,CMFs!$F2:$F96,'99set'!CQ$10:CQ$104)/SUMPRODUCT($B5:$B99,CMFs!$G2:$G96)</f>
        <v>39.006030002099749</v>
      </c>
      <c r="CV11" s="95">
        <f>100*SUMPRODUCT($B5:$B99,CMFs!$F2:$F96,'99set'!CR$10:CR$104)/SUMPRODUCT($B5:$B99,CMFs!$G2:$G96)</f>
        <v>12.514221203819686</v>
      </c>
      <c r="CW11" s="95">
        <f>100*SUMPRODUCT($B5:$B99,CMFs!$F2:$F96,'99set'!CS$10:CS$104)/SUMPRODUCT($B5:$B99,CMFs!$G2:$G96)</f>
        <v>44.823770776408274</v>
      </c>
      <c r="CX11" s="95">
        <f>100*SUMPRODUCT($B5:$B99,CMFs!$F2:$F96,'99set'!CT$10:CT$104)/SUMPRODUCT($B5:$B99,CMFs!$G2:$G96)</f>
        <v>59.441230293586344</v>
      </c>
      <c r="CY11" s="95">
        <f>100*SUMPRODUCT($B5:$B99,CMFs!$F2:$F96,'99set'!CU$10:CU$104)/SUMPRODUCT($B5:$B99,CMFs!$G2:$G96)</f>
        <v>25.185233480952917</v>
      </c>
      <c r="CZ11" s="95">
        <f>100*SUMPRODUCT($B5:$B99,CMFs!$F2:$F96,'99set'!CV$10:CV$104)/SUMPRODUCT($B5:$B99,CMFs!$G2:$G96)</f>
        <v>42.714107688802017</v>
      </c>
      <c r="DA11" s="95">
        <f>100*SUMPRODUCT($B5:$B99,CMFs!$F2:$F96,'99set'!CW$10:CW$104)/SUMPRODUCT($B5:$B99,CMFs!$G2:$G96)</f>
        <v>26.797877492957419</v>
      </c>
      <c r="DC11">
        <v>7</v>
      </c>
      <c r="DD11" s="84">
        <v>43.310416625452994</v>
      </c>
      <c r="DE11" s="84">
        <v>31.554087921627399</v>
      </c>
      <c r="DF11" s="84">
        <v>10.661684253628348</v>
      </c>
      <c r="DG11" s="84">
        <v>41.60615998667955</v>
      </c>
      <c r="DH11" s="84">
        <v>28.096952643881828</v>
      </c>
      <c r="DI11" s="84">
        <v>9.6859918673862069</v>
      </c>
      <c r="DJ11" s="84">
        <v>3.9759590858064913</v>
      </c>
      <c r="DK11" s="84">
        <f t="shared" si="0"/>
        <v>15.808250652007191</v>
      </c>
      <c r="DL11" s="84">
        <f t="shared" si="1"/>
        <v>0.32584233449220668</v>
      </c>
      <c r="DM11" s="84">
        <f t="shared" si="2"/>
        <v>18.669390553093493</v>
      </c>
      <c r="DN11" s="85">
        <v>1</v>
      </c>
      <c r="DO11">
        <v>5</v>
      </c>
      <c r="DP11">
        <f t="shared" si="3"/>
        <v>22.5</v>
      </c>
      <c r="DQ11" s="270">
        <v>18.477590650225736</v>
      </c>
      <c r="DR11" s="270">
        <v>7.6536686473017959</v>
      </c>
      <c r="DT11" t="s">
        <v>75</v>
      </c>
      <c r="DU11" s="87">
        <f>DAVERAGE($DE$4:$DN$103,"theta",DU$4:DU$5)</f>
        <v>0.37972401881336043</v>
      </c>
      <c r="DV11" s="87">
        <f t="shared" ref="DV11:EC11" si="41">DAVERAGE($DE$4:$DN$103,"theta",DV$4:DV$5)</f>
        <v>1.1672023800505651</v>
      </c>
      <c r="DW11" s="87">
        <f t="shared" si="41"/>
        <v>1.8952695989227897</v>
      </c>
      <c r="DX11" s="87">
        <f t="shared" si="41"/>
        <v>2.9152224770707784</v>
      </c>
      <c r="DY11" s="87">
        <f t="shared" si="41"/>
        <v>3.6490939042547321</v>
      </c>
      <c r="DZ11" s="87">
        <f t="shared" si="41"/>
        <v>4.28358532592733</v>
      </c>
      <c r="EA11" s="87">
        <f t="shared" si="41"/>
        <v>5.148828612680389</v>
      </c>
      <c r="EB11" s="87">
        <f t="shared" si="41"/>
        <v>5.4083006591359846</v>
      </c>
      <c r="EC11" s="87">
        <f t="shared" si="41"/>
        <v>0.37972401881336043</v>
      </c>
      <c r="ED11">
        <f t="shared" si="5"/>
        <v>1.1672023800505651</v>
      </c>
      <c r="EF11" t="e">
        <f>theta octal bins</f>
        <v>#NAME?</v>
      </c>
      <c r="EH11">
        <f t="array" ref="EH11:IB11">TRANSPOSE(DP5:DP103)</f>
        <v>22.5</v>
      </c>
      <c r="EI11">
        <v>22.5</v>
      </c>
      <c r="EJ11">
        <v>22.5</v>
      </c>
      <c r="EK11">
        <v>22.5</v>
      </c>
      <c r="EL11">
        <v>22.5</v>
      </c>
      <c r="EM11">
        <v>22.5</v>
      </c>
      <c r="EN11">
        <v>22.5</v>
      </c>
      <c r="EO11">
        <v>22.5</v>
      </c>
      <c r="EP11">
        <v>22.5</v>
      </c>
      <c r="EQ11">
        <v>22.5</v>
      </c>
      <c r="ER11">
        <v>22.5</v>
      </c>
      <c r="ES11">
        <v>22.5</v>
      </c>
      <c r="ET11">
        <v>22.5</v>
      </c>
      <c r="EU11">
        <v>22.5</v>
      </c>
      <c r="EV11">
        <v>67.5</v>
      </c>
      <c r="EW11">
        <v>67.5</v>
      </c>
      <c r="EX11">
        <v>67.5</v>
      </c>
      <c r="EY11">
        <v>67.5</v>
      </c>
      <c r="EZ11">
        <v>67.5</v>
      </c>
      <c r="FA11">
        <v>67.5</v>
      </c>
      <c r="FB11">
        <v>67.5</v>
      </c>
      <c r="FC11">
        <v>67.5</v>
      </c>
      <c r="FD11">
        <v>67.5</v>
      </c>
      <c r="FE11">
        <v>67.5</v>
      </c>
      <c r="FF11">
        <v>67.5</v>
      </c>
      <c r="FG11">
        <v>67.5</v>
      </c>
      <c r="FH11">
        <v>67.5</v>
      </c>
      <c r="FI11">
        <v>67.5</v>
      </c>
      <c r="FJ11">
        <v>67.5</v>
      </c>
      <c r="FK11">
        <v>67.5</v>
      </c>
      <c r="FL11">
        <v>112.5</v>
      </c>
      <c r="FM11">
        <v>112.5</v>
      </c>
      <c r="FN11">
        <v>112.5</v>
      </c>
      <c r="FO11">
        <v>112.5</v>
      </c>
      <c r="FP11">
        <v>112.5</v>
      </c>
      <c r="FQ11">
        <v>112.5</v>
      </c>
      <c r="FR11">
        <v>112.5</v>
      </c>
      <c r="FS11">
        <v>112.5</v>
      </c>
      <c r="FT11">
        <v>112.5</v>
      </c>
      <c r="FU11">
        <v>112.5</v>
      </c>
      <c r="FV11">
        <v>112.5</v>
      </c>
      <c r="FW11">
        <v>112.5</v>
      </c>
      <c r="FX11">
        <v>112.5</v>
      </c>
      <c r="FY11">
        <v>112.5</v>
      </c>
      <c r="FZ11">
        <v>112.5</v>
      </c>
      <c r="GA11">
        <v>112.5</v>
      </c>
      <c r="GB11">
        <v>112.5</v>
      </c>
      <c r="GC11">
        <v>157.5</v>
      </c>
      <c r="GD11">
        <v>157.5</v>
      </c>
      <c r="GE11">
        <v>157.5</v>
      </c>
      <c r="GF11">
        <v>157.5</v>
      </c>
      <c r="GG11">
        <v>157.5</v>
      </c>
      <c r="GH11">
        <v>157.5</v>
      </c>
      <c r="GI11">
        <v>157.5</v>
      </c>
      <c r="GJ11">
        <v>157.5</v>
      </c>
      <c r="GK11">
        <v>157.5</v>
      </c>
      <c r="GL11">
        <v>157.5</v>
      </c>
      <c r="GM11">
        <v>202.5</v>
      </c>
      <c r="GN11">
        <v>202.5</v>
      </c>
      <c r="GO11">
        <v>202.5</v>
      </c>
      <c r="GP11">
        <v>202.5</v>
      </c>
      <c r="GQ11">
        <v>202.5</v>
      </c>
      <c r="GR11">
        <v>202.5</v>
      </c>
      <c r="GS11">
        <v>202.5</v>
      </c>
      <c r="GT11">
        <v>202.5</v>
      </c>
      <c r="GU11">
        <v>202.5</v>
      </c>
      <c r="GV11">
        <v>202.5</v>
      </c>
      <c r="GW11">
        <v>202.5</v>
      </c>
      <c r="GX11">
        <v>202.5</v>
      </c>
      <c r="GY11">
        <v>247.5</v>
      </c>
      <c r="GZ11">
        <v>247.5</v>
      </c>
      <c r="HA11">
        <v>247.5</v>
      </c>
      <c r="HB11">
        <v>247.5</v>
      </c>
      <c r="HC11">
        <v>247.5</v>
      </c>
      <c r="HD11">
        <v>247.5</v>
      </c>
      <c r="HE11">
        <v>247.5</v>
      </c>
      <c r="HF11">
        <v>247.5</v>
      </c>
      <c r="HG11">
        <v>247.5</v>
      </c>
      <c r="HH11">
        <v>247.5</v>
      </c>
      <c r="HI11">
        <v>247.5</v>
      </c>
      <c r="HJ11">
        <v>292.5</v>
      </c>
      <c r="HK11">
        <v>292.5</v>
      </c>
      <c r="HL11">
        <v>292.5</v>
      </c>
      <c r="HM11">
        <v>292.5</v>
      </c>
      <c r="HN11">
        <v>292.5</v>
      </c>
      <c r="HO11">
        <v>292.5</v>
      </c>
      <c r="HP11">
        <v>292.5</v>
      </c>
      <c r="HQ11">
        <v>292.5</v>
      </c>
      <c r="HR11">
        <v>337.5</v>
      </c>
      <c r="HS11">
        <v>337.5</v>
      </c>
      <c r="HT11">
        <v>337.5</v>
      </c>
      <c r="HU11">
        <v>337.5</v>
      </c>
      <c r="HV11">
        <v>337.5</v>
      </c>
      <c r="HW11">
        <v>337.5</v>
      </c>
      <c r="HX11">
        <v>337.5</v>
      </c>
      <c r="HY11">
        <v>337.5</v>
      </c>
      <c r="HZ11">
        <v>337.5</v>
      </c>
      <c r="IA11">
        <v>337.5</v>
      </c>
      <c r="IB11">
        <v>337.5</v>
      </c>
    </row>
    <row r="12" spans="1:236">
      <c r="A12">
        <v>395</v>
      </c>
      <c r="B12" s="90">
        <f>'Color metric'!B6</f>
        <v>1.2133506306679959E-3</v>
      </c>
      <c r="C12" s="82">
        <f>Reference!N12</f>
        <v>1.030086270932675</v>
      </c>
      <c r="D12" s="82"/>
      <c r="E12" s="94" t="s">
        <v>53</v>
      </c>
      <c r="F12" s="95">
        <f>100*SUMPRODUCT($B5:$B99,CMFs!$G2:$G96,'99set'!B$10:B$104)/SUMPRODUCT($B5:$B99,CMFs!$G2:$G96)</f>
        <v>100</v>
      </c>
      <c r="G12" s="95">
        <f>100*SUMPRODUCT($B5:$B99,CMFs!$G2:$G96,'99set'!C$10:C$104)/SUMPRODUCT($B5:$B99,CMFs!$G2:$G96)</f>
        <v>62.652479663216319</v>
      </c>
      <c r="H12" s="95">
        <f>100*SUMPRODUCT($B5:$B99,CMFs!$G2:$G96,'99set'!D$10:D$104)/SUMPRODUCT($B5:$B99,CMFs!$G2:$G96)</f>
        <v>26.178759689837879</v>
      </c>
      <c r="I12" s="95">
        <f>100*SUMPRODUCT($B5:$B99,CMFs!$G2:$G96,'99set'!E$10:E$104)/SUMPRODUCT($B5:$B99,CMFs!$G2:$G96)</f>
        <v>5.6453408801327267</v>
      </c>
      <c r="J12" s="95">
        <f>100*SUMPRODUCT($B5:$B99,CMFs!$G2:$G96,'99set'!F$10:F$104)/SUMPRODUCT($B5:$B99,CMFs!$G2:$G96)</f>
        <v>36.342012177623502</v>
      </c>
      <c r="K12" s="95">
        <f>100*SUMPRODUCT($B5:$B99,CMFs!$G2:$G96,'99set'!G$10:G$104)/SUMPRODUCT($B5:$B99,CMFs!$G2:$G96)</f>
        <v>15.07435359893703</v>
      </c>
      <c r="L12" s="95">
        <f>100*SUMPRODUCT($B5:$B99,CMFs!$G2:$G96,'99set'!H$10:H$104)/SUMPRODUCT($B5:$B99,CMFs!$G2:$G96)</f>
        <v>16.739312102090729</v>
      </c>
      <c r="M12" s="95">
        <f>100*SUMPRODUCT($B5:$B99,CMFs!$G2:$G96,'99set'!I$10:I$104)/SUMPRODUCT($B5:$B99,CMFs!$G2:$G96)</f>
        <v>10.395132298147137</v>
      </c>
      <c r="N12" s="95">
        <f>100*SUMPRODUCT($B5:$B99,CMFs!$G2:$G96,'99set'!J$10:J$104)/SUMPRODUCT($B5:$B99,CMFs!$G2:$G96)</f>
        <v>9.829930274024246</v>
      </c>
      <c r="O12" s="95">
        <f>100*SUMPRODUCT($B5:$B99,CMFs!$G2:$G96,'99set'!K$10:K$104)/SUMPRODUCT($B5:$B99,CMFs!$G2:$G96)</f>
        <v>4.9033187279208237</v>
      </c>
      <c r="P12" s="95">
        <f>100*SUMPRODUCT($B5:$B99,CMFs!$G2:$G96,'99set'!L$10:L$104)/SUMPRODUCT($B5:$B99,CMFs!$G2:$G96)</f>
        <v>43.567563567123315</v>
      </c>
      <c r="Q12" s="95">
        <f>100*SUMPRODUCT($B5:$B99,CMFs!$G2:$G96,'99set'!M$10:M$104)/SUMPRODUCT($B5:$B99,CMFs!$G2:$G96)</f>
        <v>22.896145688719649</v>
      </c>
      <c r="R12" s="95">
        <f>100*SUMPRODUCT($B5:$B99,CMFs!$G2:$G96,'99set'!N$10:N$104)/SUMPRODUCT($B5:$B99,CMFs!$G2:$G96)</f>
        <v>29.138089594056154</v>
      </c>
      <c r="S12" s="95">
        <f>100*SUMPRODUCT($B5:$B99,CMFs!$G2:$G96,'99set'!O$10:O$104)/SUMPRODUCT($B5:$B99,CMFs!$G2:$G96)</f>
        <v>11.449438136363517</v>
      </c>
      <c r="T12" s="95">
        <f>100*SUMPRODUCT($B5:$B99,CMFs!$G2:$G96,'99set'!P$10:P$104)/SUMPRODUCT($B5:$B99,CMFs!$G2:$G96)</f>
        <v>42.49199045759093</v>
      </c>
      <c r="U12" s="95">
        <f>100*SUMPRODUCT($B5:$B99,CMFs!$G2:$G96,'99set'!Q$10:Q$104)/SUMPRODUCT($B5:$B99,CMFs!$G2:$G96)</f>
        <v>38.131162711224128</v>
      </c>
      <c r="V12" s="95">
        <f>100*SUMPRODUCT($B5:$B99,CMFs!$G2:$G96,'99set'!R$10:R$104)/SUMPRODUCT($B5:$B99,CMFs!$G2:$G96)</f>
        <v>14.257232612390929</v>
      </c>
      <c r="W12" s="95">
        <f>100*SUMPRODUCT($B5:$B99,CMFs!$G2:$G96,'99set'!S$10:S$104)/SUMPRODUCT($B5:$B99,CMFs!$G2:$G96)</f>
        <v>16.105789140406625</v>
      </c>
      <c r="X12" s="95">
        <f>100*SUMPRODUCT($B5:$B99,CMFs!$G2:$G96,'99set'!T$10:T$104)/SUMPRODUCT($B5:$B99,CMFs!$G2:$G96)</f>
        <v>21.366930615798619</v>
      </c>
      <c r="Y12" s="95">
        <f>100*SUMPRODUCT($B5:$B99,CMFs!$G2:$G96,'99set'!U$10:U$104)/SUMPRODUCT($B5:$B99,CMFs!$G2:$G96)</f>
        <v>39.664417620756879</v>
      </c>
      <c r="Z12" s="95">
        <f>100*SUMPRODUCT($B5:$B99,CMFs!$G2:$G96,'99set'!V$10:V$104)/SUMPRODUCT($B5:$B99,CMFs!$G2:$G96)</f>
        <v>31.660916563455924</v>
      </c>
      <c r="AA12" s="95">
        <f>100*SUMPRODUCT($B5:$B99,CMFs!$G2:$G96,'99set'!W$10:W$104)/SUMPRODUCT($B5:$B99,CMFs!$G2:$G96)</f>
        <v>65.724526073007311</v>
      </c>
      <c r="AB12" s="95">
        <f>100*SUMPRODUCT($B5:$B99,CMFs!$G2:$G96,'99set'!X$10:X$104)/SUMPRODUCT($B5:$B99,CMFs!$G2:$G96)</f>
        <v>50.422889473562797</v>
      </c>
      <c r="AC12" s="95">
        <f>100*SUMPRODUCT($B5:$B99,CMFs!$G2:$G96,'99set'!Y$10:Y$104)/SUMPRODUCT($B5:$B99,CMFs!$G2:$G96)</f>
        <v>77.192812357883227</v>
      </c>
      <c r="AD12" s="95">
        <f>100*SUMPRODUCT($B5:$B99,CMFs!$G2:$G96,'99set'!Z$10:Z$104)/SUMPRODUCT($B5:$B99,CMFs!$G2:$G96)</f>
        <v>75.878694346338747</v>
      </c>
      <c r="AE12" s="95">
        <f>100*SUMPRODUCT($B5:$B99,CMFs!$G2:$G96,'99set'!AA$10:AA$104)/SUMPRODUCT($B5:$B99,CMFs!$G2:$G96)</f>
        <v>40.519258885956617</v>
      </c>
      <c r="AF12" s="95">
        <f>100*SUMPRODUCT($B5:$B99,CMFs!$G2:$G96,'99set'!AB$10:AB$104)/SUMPRODUCT($B5:$B99,CMFs!$G2:$G96)</f>
        <v>73.691706982541447</v>
      </c>
      <c r="AG12" s="95">
        <f>100*SUMPRODUCT($B5:$B99,CMFs!$G2:$G96,'99set'!AC$10:AC$104)/SUMPRODUCT($B5:$B99,CMFs!$G2:$G96)</f>
        <v>42.09757829454108</v>
      </c>
      <c r="AH12" s="95">
        <f>100*SUMPRODUCT($B5:$B99,CMFs!$G2:$G96,'99set'!AD$10:AD$104)/SUMPRODUCT($B5:$B99,CMFs!$G2:$G96)</f>
        <v>11.351987943779458</v>
      </c>
      <c r="AI12" s="95">
        <f>100*SUMPRODUCT($B5:$B99,CMFs!$G2:$G96,'99set'!AE$10:AE$104)/SUMPRODUCT($B5:$B99,CMFs!$G2:$G96)</f>
        <v>67.063573703357989</v>
      </c>
      <c r="AJ12" s="95">
        <f>100*SUMPRODUCT($B5:$B99,CMFs!$G2:$G96,'99set'!AF$10:AF$104)/SUMPRODUCT($B5:$B99,CMFs!$G2:$G96)</f>
        <v>30.09751510286975</v>
      </c>
      <c r="AK12" s="95">
        <f>100*SUMPRODUCT($B5:$B99,CMFs!$G2:$G96,'99set'!AG$10:AG$104)/SUMPRODUCT($B5:$B99,CMFs!$G2:$G96)</f>
        <v>70.91605831224993</v>
      </c>
      <c r="AL12" s="95">
        <f>100*SUMPRODUCT($B5:$B99,CMFs!$G2:$G96,'99set'!AH$10:AH$104)/SUMPRODUCT($B5:$B99,CMFs!$G2:$G96)</f>
        <v>45.863196553856405</v>
      </c>
      <c r="AM12" s="95">
        <f>100*SUMPRODUCT($B5:$B99,CMFs!$G2:$G96,'99set'!AI$10:AI$104)/SUMPRODUCT($B5:$B99,CMFs!$G2:$G96)</f>
        <v>72.993436865550393</v>
      </c>
      <c r="AN12" s="95">
        <f>100*SUMPRODUCT($B5:$B99,CMFs!$G2:$G96,'99set'!AJ$10:AJ$104)/SUMPRODUCT($B5:$B99,CMFs!$G2:$G96)</f>
        <v>28.67342902616863</v>
      </c>
      <c r="AO12" s="95">
        <f>100*SUMPRODUCT($B5:$B99,CMFs!$G2:$G96,'99set'!AK$10:AK$104)/SUMPRODUCT($B5:$B99,CMFs!$G2:$G96)</f>
        <v>11.732843238747412</v>
      </c>
      <c r="AP12" s="95">
        <f>100*SUMPRODUCT($B5:$B99,CMFs!$G2:$G96,'99set'!AL$10:AL$104)/SUMPRODUCT($B5:$B99,CMFs!$G2:$G96)</f>
        <v>53.660928100680231</v>
      </c>
      <c r="AQ12" s="95">
        <f>100*SUMPRODUCT($B5:$B99,CMFs!$G2:$G96,'99set'!AM$10:AM$104)/SUMPRODUCT($B5:$B99,CMFs!$G2:$G96)</f>
        <v>15.700321760124671</v>
      </c>
      <c r="AR12" s="95">
        <f>100*SUMPRODUCT($B5:$B99,CMFs!$G2:$G96,'99set'!AN$10:AN$104)/SUMPRODUCT($B5:$B99,CMFs!$G2:$G96)</f>
        <v>65.44298242625932</v>
      </c>
      <c r="AS12" s="95">
        <f>100*SUMPRODUCT($B5:$B99,CMFs!$G2:$G96,'99set'!AO$10:AO$104)/SUMPRODUCT($B5:$B99,CMFs!$G2:$G96)</f>
        <v>7.5996596062912518</v>
      </c>
      <c r="AT12" s="95">
        <f>100*SUMPRODUCT($B5:$B99,CMFs!$G2:$G96,'99set'!AP$10:AP$104)/SUMPRODUCT($B5:$B99,CMFs!$G2:$G96)</f>
        <v>16.462195655102114</v>
      </c>
      <c r="AU12" s="95">
        <f>100*SUMPRODUCT($B5:$B99,CMFs!$G2:$G96,'99set'!AQ$10:AQ$104)/SUMPRODUCT($B5:$B99,CMFs!$G2:$G96)</f>
        <v>68.852400194388068</v>
      </c>
      <c r="AV12" s="95">
        <f>100*SUMPRODUCT($B5:$B99,CMFs!$G2:$G96,'99set'!AR$10:AR$104)/SUMPRODUCT($B5:$B99,CMFs!$G2:$G96)</f>
        <v>37.116790672174588</v>
      </c>
      <c r="AW12" s="95">
        <f>100*SUMPRODUCT($B5:$B99,CMFs!$G2:$G96,'99set'!AS$10:AS$104)/SUMPRODUCT($B5:$B99,CMFs!$G2:$G96)</f>
        <v>42.176272676892864</v>
      </c>
      <c r="AX12" s="95">
        <f>100*SUMPRODUCT($B5:$B99,CMFs!$G2:$G96,'99set'!AT$10:AT$104)/SUMPRODUCT($B5:$B99,CMFs!$G2:$G96)</f>
        <v>4.9513221108533978</v>
      </c>
      <c r="AY12" s="95">
        <f>100*SUMPRODUCT($B5:$B99,CMFs!$G2:$G96,'99set'!AU$10:AU$104)/SUMPRODUCT($B5:$B99,CMFs!$G2:$G96)</f>
        <v>24.619141280952174</v>
      </c>
      <c r="AZ12" s="95">
        <f>100*SUMPRODUCT($B5:$B99,CMFs!$G2:$G96,'99set'!AV$10:AV$104)/SUMPRODUCT($B5:$B99,CMFs!$G2:$G96)</f>
        <v>33.510682994308652</v>
      </c>
      <c r="BA12" s="95">
        <f>100*SUMPRODUCT($B5:$B99,CMFs!$G2:$G96,'99set'!AW$10:AW$104)/SUMPRODUCT($B5:$B99,CMFs!$G2:$G96)</f>
        <v>36.783461699230593</v>
      </c>
      <c r="BB12" s="95">
        <f>100*SUMPRODUCT($B5:$B99,CMFs!$G2:$G96,'99set'!AX$10:AX$104)/SUMPRODUCT($B5:$B99,CMFs!$G2:$G96)</f>
        <v>50.126506452415789</v>
      </c>
      <c r="BC12" s="95">
        <f>100*SUMPRODUCT($B5:$B99,CMFs!$G2:$G96,'99set'!AY$10:AY$104)/SUMPRODUCT($B5:$B99,CMFs!$G2:$G96)</f>
        <v>14.138014502840393</v>
      </c>
      <c r="BD12" s="95">
        <f>100*SUMPRODUCT($B5:$B99,CMFs!$G2:$G96,'99set'!AZ$10:AZ$104)/SUMPRODUCT($B5:$B99,CMFs!$G2:$G96)</f>
        <v>20.275726192318373</v>
      </c>
      <c r="BE12" s="95">
        <f>100*SUMPRODUCT($B5:$B99,CMFs!$G2:$G96,'99set'!BA$10:BA$104)/SUMPRODUCT($B5:$B99,CMFs!$G2:$G96)</f>
        <v>23.61604196319146</v>
      </c>
      <c r="BF12" s="95">
        <f>100*SUMPRODUCT($B5:$B99,CMFs!$G2:$G96,'99set'!BB$10:BB$104)/SUMPRODUCT($B5:$B99,CMFs!$G2:$G96)</f>
        <v>10.72267268601121</v>
      </c>
      <c r="BG12" s="95">
        <f>100*SUMPRODUCT($B5:$B99,CMFs!$G2:$G96,'99set'!BC$10:BC$104)/SUMPRODUCT($B5:$B99,CMFs!$G2:$G96)</f>
        <v>16.359810271650762</v>
      </c>
      <c r="BH12" s="95">
        <f>100*SUMPRODUCT($B5:$B99,CMFs!$G2:$G96,'99set'!BD$10:BD$104)/SUMPRODUCT($B5:$B99,CMFs!$G2:$G96)</f>
        <v>66.910296274739139</v>
      </c>
      <c r="BI12" s="95">
        <f>100*SUMPRODUCT($B5:$B99,CMFs!$G2:$G96,'99set'!BE$10:BE$104)/SUMPRODUCT($B5:$B99,CMFs!$G2:$G96)</f>
        <v>59.378834395354872</v>
      </c>
      <c r="BJ12" s="95">
        <f>100*SUMPRODUCT($B5:$B99,CMFs!$G2:$G96,'99set'!BF$10:BF$104)/SUMPRODUCT($B5:$B99,CMFs!$G2:$G96)</f>
        <v>38.656682844945436</v>
      </c>
      <c r="BK12" s="95">
        <f>100*SUMPRODUCT($B5:$B99,CMFs!$G2:$G96,'99set'!BG$10:BG$104)/SUMPRODUCT($B5:$B99,CMFs!$G2:$G96)</f>
        <v>22.957133949979699</v>
      </c>
      <c r="BL12" s="95">
        <f>100*SUMPRODUCT($B5:$B99,CMFs!$G2:$G96,'99set'!BH$10:BH$104)/SUMPRODUCT($B5:$B99,CMFs!$G2:$G96)</f>
        <v>19.51627377437228</v>
      </c>
      <c r="BM12" s="95">
        <f>100*SUMPRODUCT($B5:$B99,CMFs!$G2:$G96,'99set'!BI$10:BI$104)/SUMPRODUCT($B5:$B99,CMFs!$G2:$G96)</f>
        <v>65.989277278646824</v>
      </c>
      <c r="BN12" s="95">
        <f>100*SUMPRODUCT($B5:$B99,CMFs!$G2:$G96,'99set'!BJ$10:BJ$104)/SUMPRODUCT($B5:$B99,CMFs!$G2:$G96)</f>
        <v>68.832285463996925</v>
      </c>
      <c r="BO12" s="95">
        <f>100*SUMPRODUCT($B5:$B99,CMFs!$G2:$G96,'99set'!BK$10:BK$104)/SUMPRODUCT($B5:$B99,CMFs!$G2:$G96)</f>
        <v>46.729296637199845</v>
      </c>
      <c r="BP12" s="95">
        <f>100*SUMPRODUCT($B5:$B99,CMFs!$G2:$G96,'99set'!BL$10:BL$104)/SUMPRODUCT($B5:$B99,CMFs!$G2:$G96)</f>
        <v>32.688796737906209</v>
      </c>
      <c r="BQ12" s="95">
        <f>100*SUMPRODUCT($B5:$B99,CMFs!$G2:$G96,'99set'!BM$10:BM$104)/SUMPRODUCT($B5:$B99,CMFs!$G2:$G96)</f>
        <v>7.2122661922786495</v>
      </c>
      <c r="BR12" s="95">
        <f>100*SUMPRODUCT($B5:$B99,CMFs!$G2:$G96,'99set'!BN$10:BN$104)/SUMPRODUCT($B5:$B99,CMFs!$G2:$G96)</f>
        <v>22.977224002800671</v>
      </c>
      <c r="BS12" s="95">
        <f>100*SUMPRODUCT($B5:$B99,CMFs!$G2:$G96,'99set'!BO$10:BO$104)/SUMPRODUCT($B5:$B99,CMFs!$G2:$G96)</f>
        <v>10.009682144336157</v>
      </c>
      <c r="BT12" s="95">
        <f>100*SUMPRODUCT($B5:$B99,CMFs!$G2:$G96,'99set'!BP$10:BP$104)/SUMPRODUCT($B5:$B99,CMFs!$G2:$G96)</f>
        <v>11.903945754180196</v>
      </c>
      <c r="BU12" s="95">
        <f>100*SUMPRODUCT($B5:$B99,CMFs!$G2:$G96,'99set'!BQ$10:BQ$104)/SUMPRODUCT($B5:$B99,CMFs!$G2:$G96)</f>
        <v>13.924825954755553</v>
      </c>
      <c r="BV12" s="95">
        <f>100*SUMPRODUCT($B5:$B99,CMFs!$G2:$G96,'99set'!BR$10:BR$104)/SUMPRODUCT($B5:$B99,CMFs!$G2:$G96)</f>
        <v>28.487812365709228</v>
      </c>
      <c r="BW12" s="95">
        <f>100*SUMPRODUCT($B5:$B99,CMFs!$G2:$G96,'99set'!BS$10:BS$104)/SUMPRODUCT($B5:$B99,CMFs!$G2:$G96)</f>
        <v>18.437631117965573</v>
      </c>
      <c r="BX12" s="95">
        <f>100*SUMPRODUCT($B5:$B99,CMFs!$G2:$G96,'99set'!BT$10:BT$104)/SUMPRODUCT($B5:$B99,CMFs!$G2:$G96)</f>
        <v>38.95211517637042</v>
      </c>
      <c r="BY12" s="95">
        <f>100*SUMPRODUCT($B5:$B99,CMFs!$G2:$G96,'99set'!BU$10:BU$104)/SUMPRODUCT($B5:$B99,CMFs!$G2:$G96)</f>
        <v>6.9945779189855122</v>
      </c>
      <c r="BZ12" s="95">
        <f>100*SUMPRODUCT($B5:$B99,CMFs!$G2:$G96,'99set'!BV$10:BV$104)/SUMPRODUCT($B5:$B99,CMFs!$G2:$G96)</f>
        <v>46.399330511049058</v>
      </c>
      <c r="CA12" s="95">
        <f>100*SUMPRODUCT($B5:$B99,CMFs!$G2:$G96,'99set'!BW$10:BW$104)/SUMPRODUCT($B5:$B99,CMFs!$G2:$G96)</f>
        <v>21.578492100829436</v>
      </c>
      <c r="CB12" s="95">
        <f>100*SUMPRODUCT($B5:$B99,CMFs!$G2:$G96,'99set'!BX$10:BX$104)/SUMPRODUCT($B5:$B99,CMFs!$G2:$G96)</f>
        <v>4.7421599426240029</v>
      </c>
      <c r="CC12" s="95">
        <f>100*SUMPRODUCT($B5:$B99,CMFs!$G2:$G96,'99set'!BY$10:BY$104)/SUMPRODUCT($B5:$B99,CMFs!$G2:$G96)</f>
        <v>6.213921543887297</v>
      </c>
      <c r="CD12" s="95">
        <f>100*SUMPRODUCT($B5:$B99,CMFs!$G2:$G96,'99set'!BZ$10:BZ$104)/SUMPRODUCT($B5:$B99,CMFs!$G2:$G96)</f>
        <v>13.499267115033252</v>
      </c>
      <c r="CE12" s="95">
        <f>100*SUMPRODUCT($B5:$B99,CMFs!$G2:$G96,'99set'!CA$10:CA$104)/SUMPRODUCT($B5:$B99,CMFs!$G2:$G96)</f>
        <v>11.772620016278342</v>
      </c>
      <c r="CF12" s="95">
        <f>100*SUMPRODUCT($B5:$B99,CMFs!$G2:$G96,'99set'!CB$10:CB$104)/SUMPRODUCT($B5:$B99,CMFs!$G2:$G96)</f>
        <v>11.420971878519369</v>
      </c>
      <c r="CG12" s="95">
        <f>100*SUMPRODUCT($B5:$B99,CMFs!$G2:$G96,'99set'!CC$10:CC$104)/SUMPRODUCT($B5:$B99,CMFs!$G2:$G96)</f>
        <v>40.810766227540213</v>
      </c>
      <c r="CH12" s="95">
        <f>100*SUMPRODUCT($B5:$B99,CMFs!$G2:$G96,'99set'!CD$10:CD$104)/SUMPRODUCT($B5:$B99,CMFs!$G2:$G96)</f>
        <v>30.29476492784573</v>
      </c>
      <c r="CI12" s="95">
        <f>100*SUMPRODUCT($B5:$B99,CMFs!$G2:$G96,'99set'!CE$10:CE$104)/SUMPRODUCT($B5:$B99,CMFs!$G2:$G96)</f>
        <v>11.150356877855655</v>
      </c>
      <c r="CJ12" s="95">
        <f>100*SUMPRODUCT($B5:$B99,CMFs!$G2:$G96,'99set'!CF$10:CF$104)/SUMPRODUCT($B5:$B99,CMFs!$G2:$G96)</f>
        <v>66.276153160723879</v>
      </c>
      <c r="CK12" s="95">
        <f>100*SUMPRODUCT($B5:$B99,CMFs!$G2:$G96,'99set'!CG$10:CG$104)/SUMPRODUCT($B5:$B99,CMFs!$G2:$G96)</f>
        <v>40.398380533383488</v>
      </c>
      <c r="CL12" s="95">
        <f>100*SUMPRODUCT($B5:$B99,CMFs!$G2:$G96,'99set'!CH$10:CH$104)/SUMPRODUCT($B5:$B99,CMFs!$G2:$G96)</f>
        <v>4.5748725222841049</v>
      </c>
      <c r="CM12" s="95">
        <f>100*SUMPRODUCT($B5:$B99,CMFs!$G2:$G96,'99set'!CI$10:CI$104)/SUMPRODUCT($B5:$B99,CMFs!$G2:$G96)</f>
        <v>10.24885460081571</v>
      </c>
      <c r="CN12" s="95">
        <f>100*SUMPRODUCT($B5:$B99,CMFs!$G2:$G96,'99set'!CJ$10:CJ$104)/SUMPRODUCT($B5:$B99,CMFs!$G2:$G96)</f>
        <v>29.50265785640655</v>
      </c>
      <c r="CO12" s="95">
        <f>100*SUMPRODUCT($B5:$B99,CMFs!$G2:$G96,'99set'!CK$10:CK$104)/SUMPRODUCT($B5:$B99,CMFs!$G2:$G96)</f>
        <v>9.0003936601787711</v>
      </c>
      <c r="CP12" s="95">
        <f>100*SUMPRODUCT($B5:$B99,CMFs!$G2:$G96,'99set'!CL$10:CL$104)/SUMPRODUCT($B5:$B99,CMFs!$G2:$G96)</f>
        <v>26.20705898938553</v>
      </c>
      <c r="CQ12" s="95">
        <f>100*SUMPRODUCT($B5:$B99,CMFs!$G2:$G96,'99set'!CM$10:CM$104)/SUMPRODUCT($B5:$B99,CMFs!$G2:$G96)</f>
        <v>8.4997608851340161</v>
      </c>
      <c r="CR12" s="95">
        <f>100*SUMPRODUCT($B5:$B99,CMFs!$G2:$G96,'99set'!CN$10:CN$104)/SUMPRODUCT($B5:$B99,CMFs!$G2:$G96)</f>
        <v>11.504939245359139</v>
      </c>
      <c r="CS12" s="95">
        <f>100*SUMPRODUCT($B5:$B99,CMFs!$G2:$G96,'99set'!CO$10:CO$104)/SUMPRODUCT($B5:$B99,CMFs!$G2:$G96)</f>
        <v>53.032454828997288</v>
      </c>
      <c r="CT12" s="95">
        <f>100*SUMPRODUCT($B5:$B99,CMFs!$G2:$G96,'99set'!CP$10:CP$104)/SUMPRODUCT($B5:$B99,CMFs!$G2:$G96)</f>
        <v>20.462630380622404</v>
      </c>
      <c r="CU12" s="95">
        <f>100*SUMPRODUCT($B5:$B99,CMFs!$G2:$G96,'99set'!CQ$10:CQ$104)/SUMPRODUCT($B5:$B99,CMFs!$G2:$G96)</f>
        <v>32.572528900116275</v>
      </c>
      <c r="CV12" s="95">
        <f>100*SUMPRODUCT($B5:$B99,CMFs!$G2:$G96,'99set'!CR$10:CR$104)/SUMPRODUCT($B5:$B99,CMFs!$G2:$G96)</f>
        <v>8.863555158729584</v>
      </c>
      <c r="CW12" s="95">
        <f>100*SUMPRODUCT($B5:$B99,CMFs!$G2:$G96,'99set'!CS$10:CS$104)/SUMPRODUCT($B5:$B99,CMFs!$G2:$G96)</f>
        <v>35.871207037655623</v>
      </c>
      <c r="CX12" s="95">
        <f>100*SUMPRODUCT($B5:$B99,CMFs!$G2:$G96,'99set'!CT$10:CT$104)/SUMPRODUCT($B5:$B99,CMFs!$G2:$G96)</f>
        <v>48.465953031188086</v>
      </c>
      <c r="CY12" s="95">
        <f>100*SUMPRODUCT($B5:$B99,CMFs!$G2:$G96,'99set'!CU$10:CU$104)/SUMPRODUCT($B5:$B99,CMFs!$G2:$G96)</f>
        <v>18.144504739900327</v>
      </c>
      <c r="CZ12" s="95">
        <f>100*SUMPRODUCT($B5:$B99,CMFs!$G2:$G96,'99set'!CV$10:CV$104)/SUMPRODUCT($B5:$B99,CMFs!$G2:$G96)</f>
        <v>29.264552129754321</v>
      </c>
      <c r="DA12" s="95">
        <f>100*SUMPRODUCT($B5:$B99,CMFs!$G2:$G96,'99set'!CW$10:CW$104)/SUMPRODUCT($B5:$B99,CMFs!$G2:$G96)</f>
        <v>17.14640575746553</v>
      </c>
      <c r="DC12">
        <v>8</v>
      </c>
      <c r="DD12" s="84">
        <v>42.449396644531888</v>
      </c>
      <c r="DE12" s="84">
        <v>29.300586159612159</v>
      </c>
      <c r="DF12" s="84">
        <v>9.8364010757010512</v>
      </c>
      <c r="DG12" s="84">
        <v>40.490588205115095</v>
      </c>
      <c r="DH12" s="84">
        <v>25.18568715515957</v>
      </c>
      <c r="DI12" s="84">
        <v>8.7753737413408484</v>
      </c>
      <c r="DJ12" s="84">
        <v>4.6792203756004991</v>
      </c>
      <c r="DK12" s="84">
        <f t="shared" si="0"/>
        <v>21.895103323434874</v>
      </c>
      <c r="DL12" s="84">
        <f t="shared" si="1"/>
        <v>0.32388499964946776</v>
      </c>
      <c r="DM12" s="84">
        <f t="shared" si="2"/>
        <v>18.55724352751065</v>
      </c>
      <c r="DN12" s="85">
        <v>1</v>
      </c>
      <c r="DO12">
        <v>4</v>
      </c>
      <c r="DP12">
        <f t="shared" si="3"/>
        <v>22.5</v>
      </c>
      <c r="DQ12" s="270">
        <v>18.477590650225736</v>
      </c>
      <c r="DR12" s="270">
        <v>7.6536686473017959</v>
      </c>
      <c r="DT12" t="s">
        <v>82</v>
      </c>
      <c r="DU12" s="87">
        <f>DV6-DU6</f>
        <v>-13.042865504045468</v>
      </c>
      <c r="DV12" s="87">
        <f t="shared" ref="DV12:EA12" si="42">DW6-DV6</f>
        <v>-15.072692464597978</v>
      </c>
      <c r="DW12" s="87">
        <f t="shared" si="42"/>
        <v>-15.95259191503388</v>
      </c>
      <c r="DX12" s="87">
        <f t="shared" si="42"/>
        <v>5.0983116639516943</v>
      </c>
      <c r="DY12" s="87">
        <f t="shared" si="42"/>
        <v>7.1492662607866606</v>
      </c>
      <c r="DZ12" s="87">
        <f t="shared" si="42"/>
        <v>17.134633953233205</v>
      </c>
      <c r="EA12" s="87">
        <f t="shared" si="42"/>
        <v>11.799987895005065</v>
      </c>
      <c r="EB12" s="87">
        <f>EC6-EB6</f>
        <v>2.8859501107006977</v>
      </c>
      <c r="EC12" s="87">
        <f>ED6-EC6</f>
        <v>-13.042865504045468</v>
      </c>
      <c r="ED12" s="87">
        <f>DV12</f>
        <v>-15.072692464597978</v>
      </c>
      <c r="EF12" t="str">
        <f t="shared" si="17"/>
        <v>diff(ar)</v>
      </c>
    </row>
    <row r="13" spans="1:236">
      <c r="A13">
        <v>400</v>
      </c>
      <c r="B13" s="90">
        <f>'Color metric'!B7</f>
        <v>2.4691959067545187E-3</v>
      </c>
      <c r="C13" s="82">
        <f>Reference!N13</f>
        <v>1.1109779962553352</v>
      </c>
      <c r="D13" s="82"/>
      <c r="E13" s="96" t="s">
        <v>55</v>
      </c>
      <c r="F13" s="95">
        <f>100*SUMPRODUCT($B5:$B99,CMFs!$H2:$H96,'99set'!B$10:B$104)/SUMPRODUCT($B5:$B99,CMFs!$G2:$G96)</f>
        <v>47.534688041226943</v>
      </c>
      <c r="G13" s="95">
        <f>100*SUMPRODUCT($B5:$B99,CMFs!$H2:$H96,'99set'!C$10:C$104)/SUMPRODUCT($B5:$B99,CMFs!$G2:$G96)</f>
        <v>29.055096824766462</v>
      </c>
      <c r="H13" s="95">
        <f>100*SUMPRODUCT($B5:$B99,CMFs!$H2:$H96,'99set'!D$10:D$104)/SUMPRODUCT($B5:$B99,CMFs!$G2:$G96)</f>
        <v>10.686061136627156</v>
      </c>
      <c r="I13" s="95">
        <f>100*SUMPRODUCT($B5:$B99,CMFs!$H2:$H96,'99set'!E$10:E$104)/SUMPRODUCT($B5:$B99,CMFs!$G2:$G96)</f>
        <v>2.635937017444022</v>
      </c>
      <c r="J13" s="95">
        <f>100*SUMPRODUCT($B5:$B99,CMFs!$H2:$H96,'99set'!F$10:F$104)/SUMPRODUCT($B5:$B99,CMFs!$G2:$G96)</f>
        <v>13.730017889836025</v>
      </c>
      <c r="K13" s="95">
        <f>100*SUMPRODUCT($B5:$B99,CMFs!$H2:$H96,'99set'!G$10:G$104)/SUMPRODUCT($B5:$B99,CMFs!$G2:$G96)</f>
        <v>4.3116674146907048</v>
      </c>
      <c r="L13" s="95">
        <f>100*SUMPRODUCT($B5:$B99,CMFs!$H2:$H96,'99set'!H$10:H$104)/SUMPRODUCT($B5:$B99,CMFs!$G2:$G96)</f>
        <v>6.0221795906385394</v>
      </c>
      <c r="M13" s="95">
        <f>100*SUMPRODUCT($B5:$B99,CMFs!$H2:$H96,'99set'!I$10:I$104)/SUMPRODUCT($B5:$B99,CMFs!$G2:$G96)</f>
        <v>2.6404560328252065</v>
      </c>
      <c r="N13" s="95">
        <f>100*SUMPRODUCT($B5:$B99,CMFs!$H2:$H96,'99set'!J$10:J$104)/SUMPRODUCT($B5:$B99,CMFs!$G2:$G96)</f>
        <v>2.7146412582418868</v>
      </c>
      <c r="O13" s="95">
        <f>100*SUMPRODUCT($B5:$B99,CMFs!$H2:$H96,'99set'!K$10:K$104)/SUMPRODUCT($B5:$B99,CMFs!$G2:$G96)</f>
        <v>2.306899422978189</v>
      </c>
      <c r="P13" s="95">
        <f>100*SUMPRODUCT($B5:$B99,CMFs!$H2:$H96,'99set'!L$10:L$104)/SUMPRODUCT($B5:$B99,CMFs!$G2:$G96)</f>
        <v>8.6025478016677095</v>
      </c>
      <c r="Q13" s="95">
        <f>100*SUMPRODUCT($B5:$B99,CMFs!$H2:$H96,'99set'!M$10:M$104)/SUMPRODUCT($B5:$B99,CMFs!$G2:$G96)</f>
        <v>3.4385813714200486</v>
      </c>
      <c r="R13" s="95">
        <f>100*SUMPRODUCT($B5:$B99,CMFs!$H2:$H96,'99set'!N$10:N$104)/SUMPRODUCT($B5:$B99,CMFs!$G2:$G96)</f>
        <v>4.1396504987292353</v>
      </c>
      <c r="S13" s="95">
        <f>100*SUMPRODUCT($B5:$B99,CMFs!$H2:$H96,'99set'!O$10:O$104)/SUMPRODUCT($B5:$B99,CMFs!$G2:$G96)</f>
        <v>2.2854030827997973</v>
      </c>
      <c r="T13" s="95">
        <f>100*SUMPRODUCT($B5:$B99,CMFs!$H2:$H96,'99set'!P$10:P$104)/SUMPRODUCT($B5:$B99,CMFs!$G2:$G96)</f>
        <v>17.01094477469421</v>
      </c>
      <c r="U13" s="95">
        <f>100*SUMPRODUCT($B5:$B99,CMFs!$H2:$H96,'99set'!Q$10:Q$104)/SUMPRODUCT($B5:$B99,CMFs!$G2:$G96)</f>
        <v>12.726531726946167</v>
      </c>
      <c r="V13" s="95">
        <f>100*SUMPRODUCT($B5:$B99,CMFs!$H2:$H96,'99set'!R$10:R$104)/SUMPRODUCT($B5:$B99,CMFs!$G2:$G96)</f>
        <v>2.6578315749505794</v>
      </c>
      <c r="W13" s="95">
        <f>100*SUMPRODUCT($B5:$B99,CMFs!$H2:$H96,'99set'!S$10:S$104)/SUMPRODUCT($B5:$B99,CMFs!$G2:$G96)</f>
        <v>2.9040730279533444</v>
      </c>
      <c r="X13" s="95">
        <f>100*SUMPRODUCT($B5:$B99,CMFs!$H2:$H96,'99set'!T$10:T$104)/SUMPRODUCT($B5:$B99,CMFs!$G2:$G96)</f>
        <v>5.6076007275888404</v>
      </c>
      <c r="Y13" s="95">
        <f>100*SUMPRODUCT($B5:$B99,CMFs!$H2:$H96,'99set'!U$10:U$104)/SUMPRODUCT($B5:$B99,CMFs!$G2:$G96)</f>
        <v>5.9964258559328387</v>
      </c>
      <c r="Z13" s="95">
        <f>100*SUMPRODUCT($B5:$B99,CMFs!$H2:$H96,'99set'!V$10:V$104)/SUMPRODUCT($B5:$B99,CMFs!$G2:$G96)</f>
        <v>2.0532892018966349</v>
      </c>
      <c r="AA13" s="95">
        <f>100*SUMPRODUCT($B5:$B99,CMFs!$H2:$H96,'99set'!W$10:W$104)/SUMPRODUCT($B5:$B99,CMFs!$G2:$G96)</f>
        <v>8.4679967587679084</v>
      </c>
      <c r="AB13" s="95">
        <f>100*SUMPRODUCT($B5:$B99,CMFs!$H2:$H96,'99set'!X$10:X$104)/SUMPRODUCT($B5:$B99,CMFs!$G2:$G96)</f>
        <v>5.3028387435278068</v>
      </c>
      <c r="AC13" s="95">
        <f>100*SUMPRODUCT($B5:$B99,CMFs!$H2:$H96,'99set'!Y$10:Y$104)/SUMPRODUCT($B5:$B99,CMFs!$G2:$G96)</f>
        <v>25.967366557255289</v>
      </c>
      <c r="AD13" s="95">
        <f>100*SUMPRODUCT($B5:$B99,CMFs!$H2:$H96,'99set'!Z$10:Z$104)/SUMPRODUCT($B5:$B99,CMFs!$G2:$G96)</f>
        <v>14.089698760973038</v>
      </c>
      <c r="AE13" s="95">
        <f>100*SUMPRODUCT($B5:$B99,CMFs!$H2:$H96,'99set'!AA$10:AA$104)/SUMPRODUCT($B5:$B99,CMFs!$G2:$G96)</f>
        <v>2.6679514812258875</v>
      </c>
      <c r="AF13" s="95">
        <f>100*SUMPRODUCT($B5:$B99,CMFs!$H2:$H96,'99set'!AB$10:AB$104)/SUMPRODUCT($B5:$B99,CMFs!$G2:$G96)</f>
        <v>10.051296069627808</v>
      </c>
      <c r="AG13" s="95">
        <f>100*SUMPRODUCT($B5:$B99,CMFs!$H2:$H96,'99set'!AC$10:AC$104)/SUMPRODUCT($B5:$B99,CMFs!$G2:$G96)</f>
        <v>12.27291751971612</v>
      </c>
      <c r="AH13" s="95">
        <f>100*SUMPRODUCT($B5:$B99,CMFs!$H2:$H96,'99set'!AD$10:AD$104)/SUMPRODUCT($B5:$B99,CMFs!$G2:$G96)</f>
        <v>2.2990422313768968</v>
      </c>
      <c r="AI13" s="95">
        <f>100*SUMPRODUCT($B5:$B99,CMFs!$H2:$H96,'99set'!AE$10:AE$104)/SUMPRODUCT($B5:$B99,CMFs!$G2:$G96)</f>
        <v>9.0690810904648274</v>
      </c>
      <c r="AJ13" s="95">
        <f>100*SUMPRODUCT($B5:$B99,CMFs!$H2:$H96,'99set'!AF$10:AF$104)/SUMPRODUCT($B5:$B99,CMFs!$G2:$G96)</f>
        <v>7.3179702291485071</v>
      </c>
      <c r="AK13" s="95">
        <f>100*SUMPRODUCT($B5:$B99,CMFs!$H2:$H96,'99set'!AG$10:AG$104)/SUMPRODUCT($B5:$B99,CMFs!$G2:$G96)</f>
        <v>9.909161927250377</v>
      </c>
      <c r="AL13" s="95">
        <f>100*SUMPRODUCT($B5:$B99,CMFs!$H2:$H96,'99set'!AH$10:AH$104)/SUMPRODUCT($B5:$B99,CMFs!$G2:$G96)</f>
        <v>4.0013980659293704</v>
      </c>
      <c r="AM13" s="95">
        <f>100*SUMPRODUCT($B5:$B99,CMFs!$H2:$H96,'99set'!AI$10:AI$104)/SUMPRODUCT($B5:$B99,CMFs!$G2:$G96)</f>
        <v>18.119252300671395</v>
      </c>
      <c r="AN13" s="95">
        <f>100*SUMPRODUCT($B5:$B99,CMFs!$H2:$H96,'99set'!AJ$10:AJ$104)/SUMPRODUCT($B5:$B99,CMFs!$G2:$G96)</f>
        <v>2.6897499228376223</v>
      </c>
      <c r="AO13" s="95">
        <f>100*SUMPRODUCT($B5:$B99,CMFs!$H2:$H96,'99set'!AK$10:AK$104)/SUMPRODUCT($B5:$B99,CMFs!$G2:$G96)</f>
        <v>2.450185964669497</v>
      </c>
      <c r="AP13" s="95">
        <f>100*SUMPRODUCT($B5:$B99,CMFs!$H2:$H96,'99set'!AL$10:AL$104)/SUMPRODUCT($B5:$B99,CMFs!$G2:$G96)</f>
        <v>22.467297693176913</v>
      </c>
      <c r="AQ13" s="95">
        <f>100*SUMPRODUCT($B5:$B99,CMFs!$H2:$H96,'99set'!AM$10:AM$104)/SUMPRODUCT($B5:$B99,CMFs!$G2:$G96)</f>
        <v>2.8215591691321809</v>
      </c>
      <c r="AR13" s="95">
        <f>100*SUMPRODUCT($B5:$B99,CMFs!$H2:$H96,'99set'!AN$10:AN$104)/SUMPRODUCT($B5:$B99,CMFs!$G2:$G96)</f>
        <v>19.649038819737189</v>
      </c>
      <c r="AS13" s="95">
        <f>100*SUMPRODUCT($B5:$B99,CMFs!$H2:$H96,'99set'!AO$10:AO$104)/SUMPRODUCT($B5:$B99,CMFs!$G2:$G96)</f>
        <v>2.6522719107341572</v>
      </c>
      <c r="AT13" s="95">
        <f>100*SUMPRODUCT($B5:$B99,CMFs!$H2:$H96,'99set'!AP$10:AP$104)/SUMPRODUCT($B5:$B99,CMFs!$G2:$G96)</f>
        <v>4.4818469338482227</v>
      </c>
      <c r="AU13" s="95">
        <f>100*SUMPRODUCT($B5:$B99,CMFs!$H2:$H96,'99set'!AQ$10:AQ$104)/SUMPRODUCT($B5:$B99,CMFs!$G2:$G96)</f>
        <v>26.942017067585468</v>
      </c>
      <c r="AV13" s="95">
        <f>100*SUMPRODUCT($B5:$B99,CMFs!$H2:$H96,'99set'!AR$10:AR$104)/SUMPRODUCT($B5:$B99,CMFs!$G2:$G96)</f>
        <v>4.173460114574179</v>
      </c>
      <c r="AW13" s="95">
        <f>100*SUMPRODUCT($B5:$B99,CMFs!$H2:$H96,'99set'!AS$10:AS$104)/SUMPRODUCT($B5:$B99,CMFs!$G2:$G96)</f>
        <v>4.4001049354695132</v>
      </c>
      <c r="AX13" s="95">
        <f>100*SUMPRODUCT($B5:$B99,CMFs!$H2:$H96,'99set'!AT$10:AT$104)/SUMPRODUCT($B5:$B99,CMFs!$G2:$G96)</f>
        <v>2.2440284188673192</v>
      </c>
      <c r="AY13" s="95">
        <f>100*SUMPRODUCT($B5:$B99,CMFs!$H2:$H96,'99set'!AU$10:AU$104)/SUMPRODUCT($B5:$B99,CMFs!$G2:$G96)</f>
        <v>4.358640336758592</v>
      </c>
      <c r="AZ13" s="95">
        <f>100*SUMPRODUCT($B5:$B99,CMFs!$H2:$H96,'99set'!AV$10:AV$104)/SUMPRODUCT($B5:$B99,CMFs!$G2:$G96)</f>
        <v>8.466577895173975</v>
      </c>
      <c r="BA13" s="95">
        <f>100*SUMPRODUCT($B5:$B99,CMFs!$H2:$H96,'99set'!AW$10:AW$104)/SUMPRODUCT($B5:$B99,CMFs!$G2:$G96)</f>
        <v>12.155067245918771</v>
      </c>
      <c r="BB13" s="95">
        <f>100*SUMPRODUCT($B5:$B99,CMFs!$H2:$H96,'99set'!AX$10:AX$104)/SUMPRODUCT($B5:$B99,CMFs!$G2:$G96)</f>
        <v>14.87514545841597</v>
      </c>
      <c r="BC13" s="95">
        <f>100*SUMPRODUCT($B5:$B99,CMFs!$H2:$H96,'99set'!AY$10:AY$104)/SUMPRODUCT($B5:$B99,CMFs!$G2:$G96)</f>
        <v>3.3513528525212068</v>
      </c>
      <c r="BD13" s="95">
        <f>100*SUMPRODUCT($B5:$B99,CMFs!$H2:$H96,'99set'!AZ$10:AZ$104)/SUMPRODUCT($B5:$B99,CMFs!$G2:$G96)</f>
        <v>7.3649726803592914</v>
      </c>
      <c r="BE13" s="95">
        <f>100*SUMPRODUCT($B5:$B99,CMFs!$H2:$H96,'99set'!BA$10:BA$104)/SUMPRODUCT($B5:$B99,CMFs!$G2:$G96)</f>
        <v>9.2585825291726138</v>
      </c>
      <c r="BF13" s="95">
        <f>100*SUMPRODUCT($B5:$B99,CMFs!$H2:$H96,'99set'!BB$10:BB$104)/SUMPRODUCT($B5:$B99,CMFs!$G2:$G96)</f>
        <v>3.4997842644292398</v>
      </c>
      <c r="BG13" s="95">
        <f>100*SUMPRODUCT($B5:$B99,CMFs!$H2:$H96,'99set'!BC$10:BC$104)/SUMPRODUCT($B5:$B99,CMFs!$G2:$G96)</f>
        <v>6.2231270631061228</v>
      </c>
      <c r="BH13" s="95">
        <f>100*SUMPRODUCT($B5:$B99,CMFs!$H2:$H96,'99set'!BD$10:BD$104)/SUMPRODUCT($B5:$B99,CMFs!$G2:$G96)</f>
        <v>32.138960131580674</v>
      </c>
      <c r="BI13" s="95">
        <f>100*SUMPRODUCT($B5:$B99,CMFs!$H2:$H96,'99set'!BE$10:BE$104)/SUMPRODUCT($B5:$B99,CMFs!$G2:$G96)</f>
        <v>29.652365017431833</v>
      </c>
      <c r="BJ13" s="95">
        <f>100*SUMPRODUCT($B5:$B99,CMFs!$H2:$H96,'99set'!BF$10:BF$104)/SUMPRODUCT($B5:$B99,CMFs!$G2:$G96)</f>
        <v>19.905570452971219</v>
      </c>
      <c r="BK13" s="95">
        <f>100*SUMPRODUCT($B5:$B99,CMFs!$H2:$H96,'99set'!BG$10:BG$104)/SUMPRODUCT($B5:$B99,CMFs!$G2:$G96)</f>
        <v>12.215106142888107</v>
      </c>
      <c r="BL13" s="95">
        <f>100*SUMPRODUCT($B5:$B99,CMFs!$H2:$H96,'99set'!BH$10:BH$104)/SUMPRODUCT($B5:$B99,CMFs!$G2:$G96)</f>
        <v>11.332527554433472</v>
      </c>
      <c r="BM13" s="95">
        <f>100*SUMPRODUCT($B5:$B99,CMFs!$H2:$H96,'99set'!BI$10:BI$104)/SUMPRODUCT($B5:$B99,CMFs!$G2:$G96)</f>
        <v>33.252317076095068</v>
      </c>
      <c r="BN13" s="95">
        <f>100*SUMPRODUCT($B5:$B99,CMFs!$H2:$H96,'99set'!BJ$10:BJ$104)/SUMPRODUCT($B5:$B99,CMFs!$G2:$G96)</f>
        <v>34.454406062606829</v>
      </c>
      <c r="BO13" s="95">
        <f>100*SUMPRODUCT($B5:$B99,CMFs!$H2:$H96,'99set'!BK$10:BK$104)/SUMPRODUCT($B5:$B99,CMFs!$G2:$G96)</f>
        <v>25.271822368182107</v>
      </c>
      <c r="BP13" s="95">
        <f>100*SUMPRODUCT($B5:$B99,CMFs!$H2:$H96,'99set'!BL$10:BL$104)/SUMPRODUCT($B5:$B99,CMFs!$G2:$G96)</f>
        <v>17.14004653240757</v>
      </c>
      <c r="BQ13" s="95">
        <f>100*SUMPRODUCT($B5:$B99,CMFs!$H2:$H96,'99set'!BM$10:BM$104)/SUMPRODUCT($B5:$B99,CMFs!$G2:$G96)</f>
        <v>3.6240903018628106</v>
      </c>
      <c r="BR13" s="95">
        <f>100*SUMPRODUCT($B5:$B99,CMFs!$H2:$H96,'99set'!BN$10:BN$104)/SUMPRODUCT($B5:$B99,CMFs!$G2:$G96)</f>
        <v>18.11267407118412</v>
      </c>
      <c r="BS13" s="95">
        <f>100*SUMPRODUCT($B5:$B99,CMFs!$H2:$H96,'99set'!BO$10:BO$104)/SUMPRODUCT($B5:$B99,CMFs!$G2:$G96)</f>
        <v>6.744310218327576</v>
      </c>
      <c r="BT13" s="95">
        <f>100*SUMPRODUCT($B5:$B99,CMFs!$H2:$H96,'99set'!BP$10:BP$104)/SUMPRODUCT($B5:$B99,CMFs!$G2:$G96)</f>
        <v>11.23197524798505</v>
      </c>
      <c r="BU13" s="95">
        <f>100*SUMPRODUCT($B5:$B99,CMFs!$H2:$H96,'99set'!BQ$10:BQ$104)/SUMPRODUCT($B5:$B99,CMFs!$G2:$G96)</f>
        <v>13.61597880799329</v>
      </c>
      <c r="BV13" s="95">
        <f>100*SUMPRODUCT($B5:$B99,CMFs!$H2:$H96,'99set'!BR$10:BR$104)/SUMPRODUCT($B5:$B99,CMFs!$G2:$G96)</f>
        <v>20.864509965803219</v>
      </c>
      <c r="BW13" s="95">
        <f>100*SUMPRODUCT($B5:$B99,CMFs!$H2:$H96,'99set'!BS$10:BS$104)/SUMPRODUCT($B5:$B99,CMFs!$G2:$G96)</f>
        <v>11.768742833527142</v>
      </c>
      <c r="BX13" s="95">
        <f>100*SUMPRODUCT($B5:$B99,CMFs!$H2:$H96,'99set'!BT$10:BT$104)/SUMPRODUCT($B5:$B99,CMFs!$G2:$G96)</f>
        <v>32.794188649109572</v>
      </c>
      <c r="BY13" s="95">
        <f>100*SUMPRODUCT($B5:$B99,CMFs!$H2:$H96,'99set'!BU$10:BU$104)/SUMPRODUCT($B5:$B99,CMFs!$G2:$G96)</f>
        <v>8.1550184279859046</v>
      </c>
      <c r="BZ13" s="95">
        <f>100*SUMPRODUCT($B5:$B99,CMFs!$H2:$H96,'99set'!BV$10:BV$104)/SUMPRODUCT($B5:$B99,CMFs!$G2:$G96)</f>
        <v>25.738571265547247</v>
      </c>
      <c r="CA13" s="95">
        <f>100*SUMPRODUCT($B5:$B99,CMFs!$H2:$H96,'99set'!BW$10:BW$104)/SUMPRODUCT($B5:$B99,CMFs!$G2:$G96)</f>
        <v>25.900802451638761</v>
      </c>
      <c r="CB13" s="95">
        <f>100*SUMPRODUCT($B5:$B99,CMFs!$H2:$H96,'99set'!BX$10:BX$104)/SUMPRODUCT($B5:$B99,CMFs!$G2:$G96)</f>
        <v>2.5840063512952471</v>
      </c>
      <c r="CC13" s="95">
        <f>100*SUMPRODUCT($B5:$B99,CMFs!$H2:$H96,'99set'!BY$10:BY$104)/SUMPRODUCT($B5:$B99,CMFs!$G2:$G96)</f>
        <v>7.762691870826437</v>
      </c>
      <c r="CD13" s="95">
        <f>100*SUMPRODUCT($B5:$B99,CMFs!$H2:$H96,'99set'!BZ$10:BZ$104)/SUMPRODUCT($B5:$B99,CMFs!$G2:$G96)</f>
        <v>21.662178514896468</v>
      </c>
      <c r="CE13" s="95">
        <f>100*SUMPRODUCT($B5:$B99,CMFs!$H2:$H96,'99set'!CA$10:CA$104)/SUMPRODUCT($B5:$B99,CMFs!$G2:$G96)</f>
        <v>13.300428749669413</v>
      </c>
      <c r="CF13" s="95">
        <f>100*SUMPRODUCT($B5:$B99,CMFs!$H2:$H96,'99set'!CB$10:CB$104)/SUMPRODUCT($B5:$B99,CMFs!$G2:$G96)</f>
        <v>19.231218576762416</v>
      </c>
      <c r="CG13" s="95">
        <f>100*SUMPRODUCT($B5:$B99,CMFs!$H2:$H96,'99set'!CC$10:CC$104)/SUMPRODUCT($B5:$B99,CMFs!$G2:$G96)</f>
        <v>30.399726882562394</v>
      </c>
      <c r="CH13" s="95">
        <f>100*SUMPRODUCT($B5:$B99,CMFs!$H2:$H96,'99set'!CD$10:CD$104)/SUMPRODUCT($B5:$B99,CMFs!$G2:$G96)</f>
        <v>26.499193853252692</v>
      </c>
      <c r="CI13" s="95">
        <f>100*SUMPRODUCT($B5:$B99,CMFs!$H2:$H96,'99set'!CE$10:CE$104)/SUMPRODUCT($B5:$B99,CMFs!$G2:$G96)</f>
        <v>14.975875349066079</v>
      </c>
      <c r="CJ13" s="95">
        <f>100*SUMPRODUCT($B5:$B99,CMFs!$H2:$H96,'99set'!CF$10:CF$104)/SUMPRODUCT($B5:$B99,CMFs!$G2:$G96)</f>
        <v>37.026493636401852</v>
      </c>
      <c r="CK13" s="95">
        <f>100*SUMPRODUCT($B5:$B99,CMFs!$H2:$H96,'99set'!CG$10:CG$104)/SUMPRODUCT($B5:$B99,CMFs!$G2:$G96)</f>
        <v>27.314048033767769</v>
      </c>
      <c r="CL13" s="95">
        <f>100*SUMPRODUCT($B5:$B99,CMFs!$H2:$H96,'99set'!CH$10:CH$104)/SUMPRODUCT($B5:$B99,CMFs!$G2:$G96)</f>
        <v>2.8668984160121305</v>
      </c>
      <c r="CM13" s="95">
        <f>100*SUMPRODUCT($B5:$B99,CMFs!$H2:$H96,'99set'!CI$10:CI$104)/SUMPRODUCT($B5:$B99,CMFs!$G2:$G96)</f>
        <v>7.774990033967085</v>
      </c>
      <c r="CN13" s="95">
        <f>100*SUMPRODUCT($B5:$B99,CMFs!$H2:$H96,'99set'!CJ$10:CJ$104)/SUMPRODUCT($B5:$B99,CMFs!$G2:$G96)</f>
        <v>25.689254901932973</v>
      </c>
      <c r="CO13" s="95">
        <f>100*SUMPRODUCT($B5:$B99,CMFs!$H2:$H96,'99set'!CK$10:CK$104)/SUMPRODUCT($B5:$B99,CMFs!$G2:$G96)</f>
        <v>10.337794792197835</v>
      </c>
      <c r="CP13" s="95">
        <f>100*SUMPRODUCT($B5:$B99,CMFs!$H2:$H96,'99set'!CL$10:CL$104)/SUMPRODUCT($B5:$B99,CMFs!$G2:$G96)</f>
        <v>20.751999024419366</v>
      </c>
      <c r="CQ13" s="95">
        <f>100*SUMPRODUCT($B5:$B99,CMFs!$H2:$H96,'99set'!CM$10:CM$104)/SUMPRODUCT($B5:$B99,CMFs!$G2:$G96)</f>
        <v>7.8138715407322561</v>
      </c>
      <c r="CR13" s="95">
        <f>100*SUMPRODUCT($B5:$B99,CMFs!$H2:$H96,'99set'!CN$10:CN$104)/SUMPRODUCT($B5:$B99,CMFs!$G2:$G96)</f>
        <v>9.9448804033246461</v>
      </c>
      <c r="CS13" s="95">
        <f>100*SUMPRODUCT($B5:$B99,CMFs!$H2:$H96,'99set'!CO$10:CO$104)/SUMPRODUCT($B5:$B99,CMFs!$G2:$G96)</f>
        <v>27.354935363818459</v>
      </c>
      <c r="CT13" s="95">
        <f>100*SUMPRODUCT($B5:$B99,CMFs!$H2:$H96,'99set'!CP$10:CP$104)/SUMPRODUCT($B5:$B99,CMFs!$G2:$G96)</f>
        <v>13.652885061962905</v>
      </c>
      <c r="CU13" s="95">
        <f>100*SUMPRODUCT($B5:$B99,CMFs!$H2:$H96,'99set'!CQ$10:CQ$104)/SUMPRODUCT($B5:$B99,CMFs!$G2:$G96)</f>
        <v>19.041621273431755</v>
      </c>
      <c r="CV13" s="95">
        <f>100*SUMPRODUCT($B5:$B99,CMFs!$H2:$H96,'99set'!CR$10:CR$104)/SUMPRODUCT($B5:$B99,CMFs!$G2:$G96)</f>
        <v>6.510995923924443</v>
      </c>
      <c r="CW13" s="95">
        <f>100*SUMPRODUCT($B5:$B99,CMFs!$H2:$H96,'99set'!CS$10:CS$104)/SUMPRODUCT($B5:$B99,CMFs!$G2:$G96)</f>
        <v>21.214451346250414</v>
      </c>
      <c r="CX13" s="95">
        <f>100*SUMPRODUCT($B5:$B99,CMFs!$H2:$H96,'99set'!CT$10:CT$104)/SUMPRODUCT($B5:$B99,CMFs!$G2:$G96)</f>
        <v>26.570821152451128</v>
      </c>
      <c r="CY13" s="95">
        <f>100*SUMPRODUCT($B5:$B99,CMFs!$H2:$H96,'99set'!CU$10:CU$104)/SUMPRODUCT($B5:$B99,CMFs!$G2:$G96)</f>
        <v>9.975726786727078</v>
      </c>
      <c r="CZ13" s="95">
        <f>100*SUMPRODUCT($B5:$B99,CMFs!$H2:$H96,'99set'!CV$10:CV$104)/SUMPRODUCT($B5:$B99,CMFs!$G2:$G96)</f>
        <v>14.544290592311716</v>
      </c>
      <c r="DA13" s="95">
        <f>100*SUMPRODUCT($B5:$B99,CMFs!$H2:$H96,'99set'!CW$10:CW$104)/SUMPRODUCT($B5:$B99,CMFs!$G2:$G96)</f>
        <v>8.672775369559</v>
      </c>
      <c r="DC13">
        <v>9</v>
      </c>
      <c r="DD13" s="84">
        <v>29.032476996561218</v>
      </c>
      <c r="DE13" s="84">
        <v>2.98007388455123</v>
      </c>
      <c r="DF13" s="84">
        <v>0.69644708244344833</v>
      </c>
      <c r="DG13" s="84">
        <v>28.772239027005011</v>
      </c>
      <c r="DH13" s="84">
        <v>3.3084246507130763</v>
      </c>
      <c r="DI13" s="84">
        <v>0.26172704649304929</v>
      </c>
      <c r="DJ13" s="84">
        <v>0.60375453298051973</v>
      </c>
      <c r="DK13" s="84">
        <f t="shared" si="0"/>
        <v>0.36451953609452548</v>
      </c>
      <c r="DL13" s="84">
        <f t="shared" si="1"/>
        <v>0.22958085357933644</v>
      </c>
      <c r="DM13" s="84">
        <f t="shared" si="2"/>
        <v>13.154013967106897</v>
      </c>
      <c r="DN13" s="85">
        <v>1</v>
      </c>
      <c r="DO13">
        <v>6</v>
      </c>
      <c r="DP13">
        <f t="shared" si="3"/>
        <v>22.5</v>
      </c>
      <c r="DQ13" s="270">
        <v>18.477590650225736</v>
      </c>
      <c r="DR13" s="270">
        <v>7.6536686473017959</v>
      </c>
      <c r="DT13" t="s">
        <v>83</v>
      </c>
      <c r="DU13" s="87">
        <f>(DU7+DV7)/2</f>
        <v>15.212052033773784</v>
      </c>
      <c r="DV13" s="87">
        <f t="shared" ref="DV13:EA13" si="43">(DV7+DW7)/2</f>
        <v>19.366838886972825</v>
      </c>
      <c r="DW13" s="87">
        <f t="shared" si="43"/>
        <v>11.068435044257445</v>
      </c>
      <c r="DX13" s="87">
        <f t="shared" si="43"/>
        <v>-2.0692669397786161</v>
      </c>
      <c r="DY13" s="87">
        <f t="shared" si="43"/>
        <v>-14.501291008232942</v>
      </c>
      <c r="DZ13" s="87">
        <f t="shared" si="43"/>
        <v>-17.898589461954543</v>
      </c>
      <c r="EA13" s="87">
        <f t="shared" si="43"/>
        <v>-10.469462747757916</v>
      </c>
      <c r="EB13" s="87">
        <f>(EB7+EC7)/2</f>
        <v>1.9107508368007036</v>
      </c>
      <c r="EC13" s="87">
        <f>(EC7+ED7)/2</f>
        <v>15.212052033773784</v>
      </c>
      <c r="ED13">
        <f t="shared" si="5"/>
        <v>19.366838886972825</v>
      </c>
      <c r="EF13" t="str">
        <f t="shared" si="17"/>
        <v>mean(br)</v>
      </c>
    </row>
    <row r="14" spans="1:236">
      <c r="A14">
        <v>405</v>
      </c>
      <c r="B14" s="90">
        <f>'Color metric'!B8</f>
        <v>5.0247875255440971E-3</v>
      </c>
      <c r="C14" s="82">
        <f>Reference!N14</f>
        <v>1.1950654274501253</v>
      </c>
      <c r="D14" s="82"/>
      <c r="E14" s="96" t="s">
        <v>56</v>
      </c>
      <c r="F14" s="92">
        <f t="shared" ref="F14:U14" si="44">F11/(F11+F12+F13)</f>
        <v>0.4244712947574571</v>
      </c>
      <c r="G14" s="92">
        <f t="shared" si="44"/>
        <v>0.45446793504400868</v>
      </c>
      <c r="H14" s="92">
        <f t="shared" si="44"/>
        <v>0.51442602978890883</v>
      </c>
      <c r="I14" s="92">
        <f t="shared" si="44"/>
        <v>0.47130535570446314</v>
      </c>
      <c r="J14" s="92">
        <f t="shared" si="44"/>
        <v>0.48410090253710852</v>
      </c>
      <c r="K14" s="92">
        <f t="shared" si="44"/>
        <v>0.55306932956546695</v>
      </c>
      <c r="L14" s="92">
        <f t="shared" si="44"/>
        <v>0.48798193344701751</v>
      </c>
      <c r="M14" s="92">
        <f t="shared" si="44"/>
        <v>0.56537727280099903</v>
      </c>
      <c r="N14" s="92">
        <f t="shared" si="44"/>
        <v>0.55048988923261566</v>
      </c>
      <c r="O14" s="92">
        <f t="shared" si="44"/>
        <v>0.43523691683996979</v>
      </c>
      <c r="P14" s="92">
        <f t="shared" si="44"/>
        <v>0.54840709782315578</v>
      </c>
      <c r="Q14" s="92">
        <f t="shared" si="44"/>
        <v>0.56568755850502905</v>
      </c>
      <c r="R14" s="92">
        <f t="shared" si="44"/>
        <v>0.56982454987341824</v>
      </c>
      <c r="S14" s="92">
        <f t="shared" si="44"/>
        <v>0.53449553732778632</v>
      </c>
      <c r="T14" s="92">
        <f t="shared" si="44"/>
        <v>0.44873198936213071</v>
      </c>
      <c r="U14" s="92">
        <f t="shared" si="44"/>
        <v>0.47650948753856809</v>
      </c>
      <c r="V14" s="92">
        <f>V11/(V11+V12+V13)</f>
        <v>0.52669882084614594</v>
      </c>
      <c r="W14" s="92">
        <f>W11/(W11+W12+W13)</f>
        <v>0.5207871280497598</v>
      </c>
      <c r="X14" s="92">
        <f t="shared" ref="X14:CI14" si="45">X11/(X11+X12+X13)</f>
        <v>0.4928278004171488</v>
      </c>
      <c r="Y14" s="92">
        <f t="shared" si="45"/>
        <v>0.52125811630176333</v>
      </c>
      <c r="Z14" s="92">
        <f t="shared" si="45"/>
        <v>0.56239289058132569</v>
      </c>
      <c r="AA14" s="92">
        <f t="shared" si="45"/>
        <v>0.52346175113820825</v>
      </c>
      <c r="AB14" s="92">
        <f t="shared" si="45"/>
        <v>0.53548245769626834</v>
      </c>
      <c r="AC14" s="92">
        <f t="shared" si="45"/>
        <v>0.45446413157364618</v>
      </c>
      <c r="AD14" s="92">
        <f t="shared" si="45"/>
        <v>0.49195143777224531</v>
      </c>
      <c r="AE14" s="92">
        <f t="shared" si="45"/>
        <v>0.53071782976225512</v>
      </c>
      <c r="AF14" s="92">
        <f t="shared" si="45"/>
        <v>0.50560058180046519</v>
      </c>
      <c r="AG14" s="92">
        <f t="shared" si="45"/>
        <v>0.46021833540888019</v>
      </c>
      <c r="AH14" s="92">
        <f t="shared" si="45"/>
        <v>0.47565910329458411</v>
      </c>
      <c r="AI14" s="92">
        <f t="shared" si="45"/>
        <v>0.4962203196669619</v>
      </c>
      <c r="AJ14" s="92">
        <f t="shared" si="45"/>
        <v>0.47245094076202809</v>
      </c>
      <c r="AK14" s="92">
        <f t="shared" si="45"/>
        <v>0.49212155125277673</v>
      </c>
      <c r="AL14" s="92">
        <f t="shared" si="45"/>
        <v>0.50159326983995178</v>
      </c>
      <c r="AM14" s="92">
        <f t="shared" si="45"/>
        <v>0.46648814756696017</v>
      </c>
      <c r="AN14" s="92">
        <f t="shared" si="45"/>
        <v>0.49420189476042775</v>
      </c>
      <c r="AO14" s="92">
        <f t="shared" si="45"/>
        <v>0.46606808045202425</v>
      </c>
      <c r="AP14" s="92">
        <f t="shared" si="45"/>
        <v>0.4347528079580944</v>
      </c>
      <c r="AQ14" s="92">
        <f t="shared" si="45"/>
        <v>0.46420851831525184</v>
      </c>
      <c r="AR14" s="92">
        <f t="shared" si="45"/>
        <v>0.45164316550014372</v>
      </c>
      <c r="AS14" s="92">
        <f t="shared" si="45"/>
        <v>0.44056594803733151</v>
      </c>
      <c r="AT14" s="92">
        <f t="shared" si="45"/>
        <v>0.44990013610402729</v>
      </c>
      <c r="AU14" s="92">
        <f t="shared" si="45"/>
        <v>0.43357091743784137</v>
      </c>
      <c r="AV14" s="92">
        <f t="shared" si="45"/>
        <v>0.45199621508628729</v>
      </c>
      <c r="AW14" s="92">
        <f t="shared" si="45"/>
        <v>0.45651501064531635</v>
      </c>
      <c r="AX14" s="92">
        <f t="shared" si="45"/>
        <v>0.42592761899640591</v>
      </c>
      <c r="AY14" s="92">
        <f t="shared" si="45"/>
        <v>0.43184715814058044</v>
      </c>
      <c r="AZ14" s="92">
        <f t="shared" si="45"/>
        <v>0.43394711851647583</v>
      </c>
      <c r="BA14" s="92">
        <f t="shared" si="45"/>
        <v>0.43064571130526413</v>
      </c>
      <c r="BB14" s="92">
        <f t="shared" si="45"/>
        <v>0.41811010476082411</v>
      </c>
      <c r="BC14" s="92">
        <f t="shared" si="45"/>
        <v>0.41776270348622052</v>
      </c>
      <c r="BD14" s="92">
        <f t="shared" si="45"/>
        <v>0.39991141511891604</v>
      </c>
      <c r="BE14" s="92">
        <f t="shared" si="45"/>
        <v>0.40441990429927166</v>
      </c>
      <c r="BF14" s="92">
        <f t="shared" si="45"/>
        <v>0.38283866201387973</v>
      </c>
      <c r="BG14" s="92">
        <f t="shared" si="45"/>
        <v>0.33909873844025307</v>
      </c>
      <c r="BH14" s="92">
        <f t="shared" si="45"/>
        <v>0.40160483412251546</v>
      </c>
      <c r="BI14" s="92">
        <f t="shared" si="45"/>
        <v>0.39437194064364339</v>
      </c>
      <c r="BJ14" s="92">
        <f t="shared" si="45"/>
        <v>0.35020821452840178</v>
      </c>
      <c r="BK14" s="92">
        <f t="shared" si="45"/>
        <v>0.32591186962014357</v>
      </c>
      <c r="BL14" s="92">
        <f t="shared" si="45"/>
        <v>0.31521186520373495</v>
      </c>
      <c r="BM14" s="92">
        <f t="shared" si="45"/>
        <v>0.39862638347471357</v>
      </c>
      <c r="BN14" s="92">
        <f t="shared" si="45"/>
        <v>0.4138174697377609</v>
      </c>
      <c r="BO14" s="92">
        <f t="shared" si="45"/>
        <v>0.39361629847795865</v>
      </c>
      <c r="BP14" s="92">
        <f t="shared" si="45"/>
        <v>0.40940763425808696</v>
      </c>
      <c r="BQ14" s="92">
        <f t="shared" si="45"/>
        <v>0.42125235410326978</v>
      </c>
      <c r="BR14" s="92">
        <f t="shared" si="45"/>
        <v>0.30695822084187874</v>
      </c>
      <c r="BS14" s="92">
        <f t="shared" si="45"/>
        <v>0.35538615752582164</v>
      </c>
      <c r="BT14" s="92">
        <f t="shared" si="45"/>
        <v>0.29118651720246758</v>
      </c>
      <c r="BU14" s="92">
        <f t="shared" si="45"/>
        <v>0.28980223716344805</v>
      </c>
      <c r="BV14" s="92">
        <f t="shared" si="45"/>
        <v>0.35727394934137241</v>
      </c>
      <c r="BW14" s="92">
        <f t="shared" si="45"/>
        <v>0.38939808693986955</v>
      </c>
      <c r="BX14" s="92">
        <f t="shared" si="45"/>
        <v>0.34554441952007464</v>
      </c>
      <c r="BY14" s="92">
        <f t="shared" si="45"/>
        <v>0.30764355368980972</v>
      </c>
      <c r="BZ14" s="92">
        <f t="shared" si="45"/>
        <v>0.40562197218296075</v>
      </c>
      <c r="CA14" s="92">
        <f t="shared" si="45"/>
        <v>0.29467396256704848</v>
      </c>
      <c r="CB14" s="92">
        <f t="shared" si="45"/>
        <v>0.41038158936134672</v>
      </c>
      <c r="CC14" s="92">
        <f t="shared" si="45"/>
        <v>0.3101122684442732</v>
      </c>
      <c r="CD14" s="92">
        <f t="shared" si="45"/>
        <v>0.28271489744276612</v>
      </c>
      <c r="CE14" s="92">
        <f t="shared" si="45"/>
        <v>0.32583081997953428</v>
      </c>
      <c r="CF14" s="92">
        <f t="shared" si="45"/>
        <v>0.28257763598401187</v>
      </c>
      <c r="CG14" s="92">
        <f t="shared" si="45"/>
        <v>0.38112525350060567</v>
      </c>
      <c r="CH14" s="92">
        <f t="shared" si="45"/>
        <v>0.3747553220562676</v>
      </c>
      <c r="CI14" s="92">
        <f t="shared" si="45"/>
        <v>0.33870719196409432</v>
      </c>
      <c r="CJ14" s="92">
        <f t="shared" ref="CJ14:DA14" si="46">CJ11/(CJ11+CJ12+CJ13)</f>
        <v>0.41318246999426711</v>
      </c>
      <c r="CK14" s="92">
        <f t="shared" si="46"/>
        <v>0.40064746984603761</v>
      </c>
      <c r="CL14" s="92">
        <f t="shared" si="46"/>
        <v>0.41417370553281913</v>
      </c>
      <c r="CM14" s="92">
        <f t="shared" si="46"/>
        <v>0.39771879875131333</v>
      </c>
      <c r="CN14" s="92">
        <f t="shared" si="46"/>
        <v>0.38774225899191478</v>
      </c>
      <c r="CO14" s="92">
        <f t="shared" si="46"/>
        <v>0.38587988098128057</v>
      </c>
      <c r="CP14" s="92">
        <f t="shared" si="46"/>
        <v>0.41874579963167119</v>
      </c>
      <c r="CQ14" s="92">
        <f t="shared" si="46"/>
        <v>0.41315631858306184</v>
      </c>
      <c r="CR14" s="92">
        <f t="shared" si="46"/>
        <v>0.42795787237985639</v>
      </c>
      <c r="CS14" s="92">
        <f t="shared" si="46"/>
        <v>0.42316227158166075</v>
      </c>
      <c r="CT14" s="92">
        <f t="shared" si="46"/>
        <v>0.42689454703792129</v>
      </c>
      <c r="CU14" s="92">
        <f t="shared" si="46"/>
        <v>0.43043425787164541</v>
      </c>
      <c r="CV14" s="92">
        <f t="shared" si="46"/>
        <v>0.44871897103513542</v>
      </c>
      <c r="CW14" s="92">
        <f t="shared" si="46"/>
        <v>0.43983928813785961</v>
      </c>
      <c r="CX14" s="92">
        <f t="shared" si="46"/>
        <v>0.44201451772474054</v>
      </c>
      <c r="CY14" s="92">
        <f t="shared" si="46"/>
        <v>0.47247000804460559</v>
      </c>
      <c r="CZ14" s="92">
        <f t="shared" si="46"/>
        <v>0.49367373033359652</v>
      </c>
      <c r="DA14" s="92">
        <f t="shared" si="46"/>
        <v>0.50930018126822107</v>
      </c>
      <c r="DC14">
        <v>10</v>
      </c>
      <c r="DD14" s="84">
        <v>75.226928809602541</v>
      </c>
      <c r="DE14" s="84">
        <v>29.443357034805736</v>
      </c>
      <c r="DF14" s="84">
        <v>17.889137503952359</v>
      </c>
      <c r="DG14" s="84">
        <v>75.24787244729275</v>
      </c>
      <c r="DH14" s="84">
        <v>26.008736059974265</v>
      </c>
      <c r="DI14" s="84">
        <v>18.681965144802579</v>
      </c>
      <c r="DJ14" s="84">
        <v>3.5250014957171452</v>
      </c>
      <c r="DK14" s="84">
        <f t="shared" si="0"/>
        <v>12.425635544808111</v>
      </c>
      <c r="DL14" s="84">
        <f t="shared" si="1"/>
        <v>0.5459729731631312</v>
      </c>
      <c r="DM14" s="84">
        <f t="shared" si="2"/>
        <v>31.281947090456779</v>
      </c>
      <c r="DN14" s="85">
        <v>1</v>
      </c>
      <c r="DO14">
        <v>7</v>
      </c>
      <c r="DP14">
        <f t="shared" si="3"/>
        <v>22.5</v>
      </c>
      <c r="DQ14" s="270">
        <v>18.477590650225736</v>
      </c>
      <c r="DR14" s="270">
        <v>7.6536686473017959</v>
      </c>
      <c r="DT14" t="s">
        <v>84</v>
      </c>
      <c r="DU14" s="87">
        <f>DV8-DU8</f>
        <v>-13.095166665628774</v>
      </c>
      <c r="DV14" s="87">
        <f t="shared" ref="DV14:EC14" si="47">DW8-DV8</f>
        <v>-12.903893435007856</v>
      </c>
      <c r="DW14" s="87">
        <f t="shared" si="47"/>
        <v>-13.395963001854835</v>
      </c>
      <c r="DX14" s="87">
        <f t="shared" si="47"/>
        <v>6.0528063558240675</v>
      </c>
      <c r="DY14" s="87">
        <f t="shared" si="47"/>
        <v>6.9801013385049906</v>
      </c>
      <c r="DZ14" s="87">
        <f t="shared" si="47"/>
        <v>13.944342242873594</v>
      </c>
      <c r="EA14" s="87">
        <f t="shared" si="47"/>
        <v>10.644439371006632</v>
      </c>
      <c r="EB14" s="87">
        <f>EC8-EB8</f>
        <v>1.7733337942821805</v>
      </c>
      <c r="EC14" s="87">
        <f t="shared" si="47"/>
        <v>-13.095166665628774</v>
      </c>
      <c r="ED14">
        <f t="shared" si="5"/>
        <v>-12.903893435007856</v>
      </c>
      <c r="EF14" t="str">
        <f t="shared" si="17"/>
        <v>diff(a)</v>
      </c>
    </row>
    <row r="15" spans="1:236">
      <c r="A15">
        <v>410</v>
      </c>
      <c r="B15" s="90">
        <f>'Color metric'!B9</f>
        <v>1.0225050476327571E-2</v>
      </c>
      <c r="C15" s="82">
        <f>Reference!N15</f>
        <v>1.2822664795255372</v>
      </c>
      <c r="D15" s="82"/>
      <c r="E15" s="96" t="s">
        <v>58</v>
      </c>
      <c r="F15" s="92">
        <f>F12/(F11+F12+F13)</f>
        <v>0.39009721231234629</v>
      </c>
      <c r="G15" s="92">
        <f t="shared" ref="G15:S15" si="48">G12/(G11+G12+G13)</f>
        <v>0.37269479702984415</v>
      </c>
      <c r="H15" s="92">
        <f t="shared" si="48"/>
        <v>0.34481991212258872</v>
      </c>
      <c r="I15" s="92">
        <f t="shared" si="48"/>
        <v>0.36041073919547978</v>
      </c>
      <c r="J15" s="92">
        <f t="shared" si="48"/>
        <v>0.37443681147263341</v>
      </c>
      <c r="K15" s="92">
        <f t="shared" si="48"/>
        <v>0.34752830173887267</v>
      </c>
      <c r="L15" s="92">
        <f t="shared" si="48"/>
        <v>0.37654958355287532</v>
      </c>
      <c r="M15" s="92">
        <f t="shared" si="48"/>
        <v>0.34658663915310423</v>
      </c>
      <c r="N15" s="92">
        <f t="shared" si="48"/>
        <v>0.3522362668941702</v>
      </c>
      <c r="O15" s="92">
        <f t="shared" si="48"/>
        <v>0.38406790814666264</v>
      </c>
      <c r="P15" s="92">
        <f t="shared" si="48"/>
        <v>0.37712786029859108</v>
      </c>
      <c r="Q15" s="92">
        <f t="shared" si="48"/>
        <v>0.37760334148075397</v>
      </c>
      <c r="R15" s="92">
        <f t="shared" si="48"/>
        <v>0.37666292158070097</v>
      </c>
      <c r="S15" s="92">
        <f t="shared" si="48"/>
        <v>0.38804704492181419</v>
      </c>
      <c r="T15" s="92">
        <f>T12/(T11+T12+T13)</f>
        <v>0.39366923591510172</v>
      </c>
      <c r="U15" s="92">
        <f>U12/(U11+U12+U13)</f>
        <v>0.39249325257393863</v>
      </c>
      <c r="V15" s="92">
        <f>V12/(V11+V12+V13)</f>
        <v>0.39893227316070679</v>
      </c>
      <c r="W15" s="92">
        <f>W12/(W11+W12+W13)</f>
        <v>0.40600512516315151</v>
      </c>
      <c r="X15" s="92">
        <f t="shared" ref="X15:CI15" si="49">X12/(X11+X12+X13)</f>
        <v>0.40173870162178976</v>
      </c>
      <c r="Y15" s="92">
        <f t="shared" si="49"/>
        <v>0.41587094240273387</v>
      </c>
      <c r="Z15" s="92">
        <f t="shared" si="49"/>
        <v>0.41095561542542219</v>
      </c>
      <c r="AA15" s="92">
        <f t="shared" si="49"/>
        <v>0.42214834280696861</v>
      </c>
      <c r="AB15" s="92">
        <f t="shared" si="49"/>
        <v>0.42031423264431517</v>
      </c>
      <c r="AC15" s="92">
        <f t="shared" si="49"/>
        <v>0.40821418078939214</v>
      </c>
      <c r="AD15" s="92">
        <f t="shared" si="49"/>
        <v>0.42848449588729703</v>
      </c>
      <c r="AE15" s="92">
        <f t="shared" si="49"/>
        <v>0.44029159523755718</v>
      </c>
      <c r="AF15" s="92">
        <f t="shared" si="49"/>
        <v>0.43505887931439957</v>
      </c>
      <c r="AG15" s="92">
        <f t="shared" si="49"/>
        <v>0.41793808474197791</v>
      </c>
      <c r="AH15" s="92">
        <f t="shared" si="49"/>
        <v>0.43603387154348705</v>
      </c>
      <c r="AI15" s="92">
        <f t="shared" si="49"/>
        <v>0.44376839102437371</v>
      </c>
      <c r="AJ15" s="92">
        <f t="shared" si="49"/>
        <v>0.42436749482258029</v>
      </c>
      <c r="AK15" s="92">
        <f t="shared" si="49"/>
        <v>0.44561261423314102</v>
      </c>
      <c r="AL15" s="92">
        <f t="shared" si="49"/>
        <v>0.45841194545729097</v>
      </c>
      <c r="AM15" s="92">
        <f t="shared" si="49"/>
        <v>0.42741427208397242</v>
      </c>
      <c r="AN15" s="92">
        <f t="shared" si="49"/>
        <v>0.46242015504034151</v>
      </c>
      <c r="AO15" s="92">
        <f t="shared" si="49"/>
        <v>0.4416926329609947</v>
      </c>
      <c r="AP15" s="92">
        <f t="shared" si="49"/>
        <v>0.39842894819860081</v>
      </c>
      <c r="AQ15" s="92">
        <f t="shared" si="49"/>
        <v>0.45417086368895088</v>
      </c>
      <c r="AR15" s="92">
        <f t="shared" si="49"/>
        <v>0.42173292111311417</v>
      </c>
      <c r="AS15" s="92">
        <f t="shared" si="49"/>
        <v>0.41470315715863315</v>
      </c>
      <c r="AT15" s="92">
        <f t="shared" si="49"/>
        <v>0.43238317296385909</v>
      </c>
      <c r="AU15" s="92">
        <f t="shared" si="49"/>
        <v>0.4071218656475008</v>
      </c>
      <c r="AV15" s="92">
        <f t="shared" si="49"/>
        <v>0.49261366508167098</v>
      </c>
      <c r="AW15" s="92">
        <f t="shared" si="49"/>
        <v>0.49214155934568238</v>
      </c>
      <c r="AX15" s="92">
        <f t="shared" si="49"/>
        <v>0.39503527473090022</v>
      </c>
      <c r="AY15" s="92">
        <f t="shared" si="49"/>
        <v>0.48269516512480826</v>
      </c>
      <c r="AZ15" s="92">
        <f t="shared" si="49"/>
        <v>0.45188319264923665</v>
      </c>
      <c r="BA15" s="92">
        <f t="shared" si="49"/>
        <v>0.42794138121659425</v>
      </c>
      <c r="BB15" s="92">
        <f t="shared" si="49"/>
        <v>0.44872871274586146</v>
      </c>
      <c r="BC15" s="92">
        <f t="shared" si="49"/>
        <v>0.4706676448009347</v>
      </c>
      <c r="BD15" s="92">
        <f t="shared" si="49"/>
        <v>0.44019262661306119</v>
      </c>
      <c r="BE15" s="92">
        <f t="shared" si="49"/>
        <v>0.42784502483905112</v>
      </c>
      <c r="BF15" s="92">
        <f t="shared" si="49"/>
        <v>0.46529365810321299</v>
      </c>
      <c r="BG15" s="92">
        <f t="shared" si="49"/>
        <v>0.47877825134692525</v>
      </c>
      <c r="BH15" s="92">
        <f t="shared" si="49"/>
        <v>0.40423118043397532</v>
      </c>
      <c r="BI15" s="92">
        <f t="shared" si="49"/>
        <v>0.4039200693564558</v>
      </c>
      <c r="BJ15" s="92">
        <f t="shared" si="49"/>
        <v>0.42892466651586292</v>
      </c>
      <c r="BK15" s="92">
        <f t="shared" si="49"/>
        <v>0.4399814018772088</v>
      </c>
      <c r="BL15" s="92">
        <f t="shared" si="49"/>
        <v>0.43322632129781485</v>
      </c>
      <c r="BM15" s="92">
        <f t="shared" si="49"/>
        <v>0.39987477616590289</v>
      </c>
      <c r="BN15" s="92">
        <f t="shared" si="49"/>
        <v>0.39064358302759533</v>
      </c>
      <c r="BO15" s="92">
        <f t="shared" si="49"/>
        <v>0.39354782614237788</v>
      </c>
      <c r="BP15" s="92">
        <f t="shared" si="49"/>
        <v>0.38744133982733309</v>
      </c>
      <c r="BQ15" s="92">
        <f t="shared" si="49"/>
        <v>0.38519239216783874</v>
      </c>
      <c r="BR15" s="92">
        <f t="shared" si="49"/>
        <v>0.38754479688275806</v>
      </c>
      <c r="BS15" s="92">
        <f t="shared" si="49"/>
        <v>0.38512490213286887</v>
      </c>
      <c r="BT15" s="92">
        <f t="shared" si="49"/>
        <v>0.36470029648976143</v>
      </c>
      <c r="BU15" s="92">
        <f t="shared" si="49"/>
        <v>0.35908101909686857</v>
      </c>
      <c r="BV15" s="92">
        <f t="shared" si="49"/>
        <v>0.3710029897017651</v>
      </c>
      <c r="BW15" s="92">
        <f t="shared" si="49"/>
        <v>0.37270454411395609</v>
      </c>
      <c r="BX15" s="92">
        <f t="shared" si="49"/>
        <v>0.35531348361417653</v>
      </c>
      <c r="BY15" s="92">
        <f t="shared" si="49"/>
        <v>0.31966139562501655</v>
      </c>
      <c r="BZ15" s="92">
        <f t="shared" si="49"/>
        <v>0.38230585977669346</v>
      </c>
      <c r="CA15" s="92">
        <f t="shared" si="49"/>
        <v>0.32055809739205721</v>
      </c>
      <c r="CB15" s="92">
        <f t="shared" si="49"/>
        <v>0.38165456477352927</v>
      </c>
      <c r="CC15" s="92">
        <f t="shared" si="49"/>
        <v>0.30672009812224388</v>
      </c>
      <c r="CD15" s="92">
        <f t="shared" si="49"/>
        <v>0.27538182869284589</v>
      </c>
      <c r="CE15" s="92">
        <f t="shared" si="49"/>
        <v>0.31654457569778849</v>
      </c>
      <c r="CF15" s="92">
        <f t="shared" si="49"/>
        <v>0.26731077038037943</v>
      </c>
      <c r="CG15" s="92">
        <f t="shared" si="49"/>
        <v>0.35467740076541932</v>
      </c>
      <c r="CH15" s="92">
        <f t="shared" si="49"/>
        <v>0.33351505947488108</v>
      </c>
      <c r="CI15" s="92">
        <f t="shared" si="49"/>
        <v>0.28223169519106833</v>
      </c>
      <c r="CJ15" s="92">
        <f t="shared" ref="CJ15:DA15" si="50">CJ12/(CJ11+CJ12+CJ13)</f>
        <v>0.37648607951388668</v>
      </c>
      <c r="CK15" s="92">
        <f t="shared" si="50"/>
        <v>0.35758386014457844</v>
      </c>
      <c r="CL15" s="92">
        <f t="shared" si="50"/>
        <v>0.36014016550783762</v>
      </c>
      <c r="CM15" s="92">
        <f t="shared" si="50"/>
        <v>0.34247368336110839</v>
      </c>
      <c r="CN15" s="92">
        <f t="shared" si="50"/>
        <v>0.32728038855961833</v>
      </c>
      <c r="CO15" s="92">
        <f t="shared" si="50"/>
        <v>0.28582423009353924</v>
      </c>
      <c r="CP15" s="92">
        <f t="shared" si="50"/>
        <v>0.32438817474581289</v>
      </c>
      <c r="CQ15" s="92">
        <f t="shared" si="50"/>
        <v>0.30575845028155152</v>
      </c>
      <c r="CR15" s="92">
        <f t="shared" si="50"/>
        <v>0.30682355524884697</v>
      </c>
      <c r="CS15" s="92">
        <f t="shared" si="50"/>
        <v>0.38054626108188938</v>
      </c>
      <c r="CT15" s="92">
        <f t="shared" si="50"/>
        <v>0.34375107340290834</v>
      </c>
      <c r="CU15" s="92">
        <f t="shared" si="50"/>
        <v>0.35944012511320783</v>
      </c>
      <c r="CV15" s="92">
        <f t="shared" si="50"/>
        <v>0.31781804762443711</v>
      </c>
      <c r="CW15" s="92">
        <f t="shared" si="50"/>
        <v>0.35199105061442765</v>
      </c>
      <c r="CX15" s="92">
        <f t="shared" si="50"/>
        <v>0.36040059651090389</v>
      </c>
      <c r="CY15" s="92">
        <f t="shared" si="50"/>
        <v>0.34038732684012946</v>
      </c>
      <c r="CZ15" s="92">
        <f t="shared" si="50"/>
        <v>0.33822878196810119</v>
      </c>
      <c r="DA15" s="92">
        <f t="shared" si="50"/>
        <v>0.32587161287943944</v>
      </c>
      <c r="DC15">
        <v>11</v>
      </c>
      <c r="DD15" s="84">
        <v>58.06412568352328</v>
      </c>
      <c r="DE15" s="84">
        <v>28.438900365418341</v>
      </c>
      <c r="DF15" s="84">
        <v>19.054169386509649</v>
      </c>
      <c r="DG15" s="84">
        <v>58.253567284468794</v>
      </c>
      <c r="DH15" s="84">
        <v>24.32637365591069</v>
      </c>
      <c r="DI15" s="84">
        <v>19.713207720721616</v>
      </c>
      <c r="DJ15" s="84">
        <v>4.1693039685951803</v>
      </c>
      <c r="DK15" s="84">
        <f t="shared" si="0"/>
        <v>17.383095582543518</v>
      </c>
      <c r="DL15" s="84">
        <f t="shared" si="1"/>
        <v>0.59030932286499227</v>
      </c>
      <c r="DM15" s="84">
        <f t="shared" si="2"/>
        <v>33.822232807389526</v>
      </c>
      <c r="DN15" s="85">
        <v>1</v>
      </c>
      <c r="DO15">
        <v>3</v>
      </c>
      <c r="DP15">
        <f t="shared" si="3"/>
        <v>22.5</v>
      </c>
      <c r="DQ15" s="270">
        <v>18.477590650225736</v>
      </c>
      <c r="DR15" s="270">
        <v>7.6536686473017959</v>
      </c>
      <c r="DT15" t="s">
        <v>85</v>
      </c>
      <c r="DU15" s="87">
        <f t="shared" ref="DU15:EC15" si="51">(DU9+DV9)/2</f>
        <v>15.499694169979531</v>
      </c>
      <c r="DV15" s="87">
        <f t="shared" si="51"/>
        <v>20.106066109576808</v>
      </c>
      <c r="DW15" s="87">
        <f t="shared" si="51"/>
        <v>11.511318377946331</v>
      </c>
      <c r="DX15" s="87">
        <f t="shared" si="51"/>
        <v>-2.6643688203099503</v>
      </c>
      <c r="DY15" s="87">
        <f t="shared" si="51"/>
        <v>-16.247755995109632</v>
      </c>
      <c r="DZ15" s="87">
        <f t="shared" si="51"/>
        <v>-19.778717007832935</v>
      </c>
      <c r="EA15" s="87">
        <f t="shared" si="51"/>
        <v>-12.482066609260777</v>
      </c>
      <c r="EB15" s="87">
        <f>(EB9+EC9)/2</f>
        <v>0.61820966212153028</v>
      </c>
      <c r="EC15" s="87">
        <f t="shared" si="51"/>
        <v>15.499694169979531</v>
      </c>
      <c r="ED15">
        <f t="shared" si="5"/>
        <v>20.106066109576808</v>
      </c>
      <c r="EF15" t="str">
        <f t="shared" si="17"/>
        <v>mean(b)</v>
      </c>
    </row>
    <row r="16" spans="1:236">
      <c r="A16">
        <v>415</v>
      </c>
      <c r="B16" s="90">
        <f>'Color metric'!B10</f>
        <v>2.0818698098575044E-2</v>
      </c>
      <c r="C16" s="82">
        <f>Reference!N16</f>
        <v>1.3724893303406067</v>
      </c>
      <c r="D16" s="82"/>
      <c r="E16" s="97"/>
      <c r="F16" s="95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8"/>
      <c r="DA16" s="98"/>
      <c r="DC16">
        <v>12</v>
      </c>
      <c r="DD16" s="84">
        <v>64.249219171244604</v>
      </c>
      <c r="DE16" s="84">
        <v>30.231242087795884</v>
      </c>
      <c r="DF16" s="84">
        <v>20.599389440571311</v>
      </c>
      <c r="DG16" s="84">
        <v>64.311364089042272</v>
      </c>
      <c r="DH16" s="84">
        <v>26.094011774257027</v>
      </c>
      <c r="DI16" s="84">
        <v>21.223982860625874</v>
      </c>
      <c r="DJ16" s="84">
        <v>4.1845732874987824</v>
      </c>
      <c r="DK16" s="84">
        <f t="shared" si="0"/>
        <v>17.510653598448368</v>
      </c>
      <c r="DL16" s="84">
        <f t="shared" si="1"/>
        <v>0.5981293236823082</v>
      </c>
      <c r="DM16" s="84">
        <f t="shared" si="2"/>
        <v>34.27028585001058</v>
      </c>
      <c r="DN16" s="85">
        <v>1</v>
      </c>
      <c r="DO16">
        <v>1</v>
      </c>
      <c r="DP16">
        <f t="shared" si="3"/>
        <v>22.5</v>
      </c>
      <c r="DQ16" s="270">
        <v>18.477590650225736</v>
      </c>
      <c r="DR16" s="270">
        <v>7.6536686473017959</v>
      </c>
      <c r="DT16" t="s">
        <v>86</v>
      </c>
      <c r="DU16" s="87">
        <f>(DU8-DU6)/SQRT(DU6^2+DU7^2)</f>
        <v>-0.11579505115274039</v>
      </c>
      <c r="DV16" s="87">
        <f t="shared" ref="DV16:EC16" si="52">(DV8-DV6)/SQRT(DV6^2+DV7^2)</f>
        <v>-0.1229345515429308</v>
      </c>
      <c r="DW16" s="87">
        <f t="shared" si="52"/>
        <v>-3.6392701787033757E-2</v>
      </c>
      <c r="DX16" s="87">
        <f t="shared" si="52"/>
        <v>8.4491104686824595E-2</v>
      </c>
      <c r="DY16" s="87">
        <f t="shared" si="52"/>
        <v>0.15045170529526611</v>
      </c>
      <c r="DZ16" s="87">
        <f t="shared" si="52"/>
        <v>0.11912820189671267</v>
      </c>
      <c r="EA16" s="87">
        <f t="shared" si="52"/>
        <v>-3.0155328431416547E-2</v>
      </c>
      <c r="EB16" s="87">
        <f>(EB8-EB6)/SQRT(EB6^2+EB7^2)</f>
        <v>-8.3393006393579355E-2</v>
      </c>
      <c r="EC16" s="87">
        <f t="shared" si="52"/>
        <v>-0.11579505115274039</v>
      </c>
      <c r="ED16">
        <f t="shared" si="5"/>
        <v>-0.1229345515429308</v>
      </c>
      <c r="EF16" t="str">
        <f t="shared" si="17"/>
        <v>da_relative</v>
      </c>
      <c r="EH16">
        <f>(EH8-EH6)/SQRT(EH6^2+EH7^2)</f>
        <v>-9.0804045266487624E-2</v>
      </c>
      <c r="EI16">
        <f t="shared" ref="EI16:GT16" si="53">(EI8-EI6)/SQRT(EI6^2+EI7^2)</f>
        <v>-8.7088094883575745E-2</v>
      </c>
      <c r="EJ16">
        <f t="shared" si="53"/>
        <v>-0.11092076071688255</v>
      </c>
      <c r="EK16">
        <f t="shared" si="53"/>
        <v>-0.13727129200878693</v>
      </c>
      <c r="EL16">
        <f t="shared" si="53"/>
        <v>-0.13656201565709838</v>
      </c>
      <c r="EM16">
        <f t="shared" si="53"/>
        <v>-0.158989552546244</v>
      </c>
      <c r="EN16">
        <f t="shared" si="53"/>
        <v>-0.10379719279292496</v>
      </c>
      <c r="EO16">
        <f t="shared" si="53"/>
        <v>-0.13313554924210452</v>
      </c>
      <c r="EP16">
        <f t="shared" si="53"/>
        <v>0.10729111658368869</v>
      </c>
      <c r="EQ16">
        <f t="shared" si="53"/>
        <v>-9.9693261511392836E-2</v>
      </c>
      <c r="ER16">
        <f t="shared" si="53"/>
        <v>-0.12013677685833883</v>
      </c>
      <c r="ES16">
        <f t="shared" si="53"/>
        <v>-0.11309384981088676</v>
      </c>
      <c r="ET16">
        <f t="shared" si="53"/>
        <v>-0.10248376314784426</v>
      </c>
      <c r="EU16">
        <f t="shared" si="53"/>
        <v>-0.11947409961267533</v>
      </c>
      <c r="EV16">
        <f t="shared" si="53"/>
        <v>-9.2268765315917198E-2</v>
      </c>
      <c r="EW16">
        <f t="shared" si="53"/>
        <v>-0.1665137469868935</v>
      </c>
      <c r="EX16">
        <f t="shared" si="53"/>
        <v>-0.16153028626894012</v>
      </c>
      <c r="EY16">
        <f t="shared" si="53"/>
        <v>-0.1180706071578988</v>
      </c>
      <c r="EZ16">
        <f t="shared" si="53"/>
        <v>-0.12741650003631738</v>
      </c>
      <c r="FA16">
        <f t="shared" si="53"/>
        <v>-0.12696431861893634</v>
      </c>
      <c r="FB16">
        <f t="shared" si="53"/>
        <v>-0.13642719251634416</v>
      </c>
      <c r="FC16">
        <f t="shared" si="53"/>
        <v>-0.12427259006532587</v>
      </c>
      <c r="FD16">
        <f t="shared" si="53"/>
        <v>-0.1142695852047482</v>
      </c>
      <c r="FE16">
        <f t="shared" si="53"/>
        <v>-0.12500227286484397</v>
      </c>
      <c r="FF16">
        <f t="shared" si="53"/>
        <v>-0.13294229999448803</v>
      </c>
      <c r="FG16">
        <f t="shared" si="53"/>
        <v>-0.11297792476018249</v>
      </c>
      <c r="FH16">
        <f t="shared" si="53"/>
        <v>-6.2933956189352588E-2</v>
      </c>
      <c r="FI16">
        <f t="shared" si="53"/>
        <v>-0.10658723307126579</v>
      </c>
      <c r="FJ16">
        <f t="shared" si="53"/>
        <v>-8.7241039746301055E-2</v>
      </c>
      <c r="FK16">
        <f t="shared" si="53"/>
        <v>-4.3798465149972113E-2</v>
      </c>
      <c r="FL16">
        <f t="shared" si="53"/>
        <v>-7.4648184841548781E-2</v>
      </c>
      <c r="FM16">
        <f t="shared" si="53"/>
        <v>-0.10911534842356395</v>
      </c>
      <c r="FN16">
        <f t="shared" si="53"/>
        <v>-5.7057789373275387E-2</v>
      </c>
      <c r="FO16">
        <f t="shared" si="53"/>
        <v>-8.6850321754629256E-2</v>
      </c>
      <c r="FP16">
        <f t="shared" si="53"/>
        <v>-8.1982609135957923E-2</v>
      </c>
      <c r="FQ16">
        <f t="shared" si="53"/>
        <v>6.4473609140758517E-2</v>
      </c>
      <c r="FR16">
        <f t="shared" si="53"/>
        <v>-0.1029759056678675</v>
      </c>
      <c r="FS16">
        <f t="shared" si="53"/>
        <v>4.689307430342818E-3</v>
      </c>
      <c r="FT16">
        <f t="shared" si="53"/>
        <v>4.7940162731405535E-3</v>
      </c>
      <c r="FU16">
        <f t="shared" si="53"/>
        <v>-1.5715434566031951E-2</v>
      </c>
      <c r="FV16">
        <f t="shared" si="53"/>
        <v>-1.6699327569470912E-3</v>
      </c>
      <c r="FW16">
        <f t="shared" si="53"/>
        <v>-3.4852142510490423E-2</v>
      </c>
      <c r="FX16">
        <f t="shared" si="53"/>
        <v>-7.2379559315089532E-4</v>
      </c>
      <c r="FY16">
        <f t="shared" si="53"/>
        <v>-3.4864863555357055E-2</v>
      </c>
      <c r="FZ16">
        <f t="shared" si="53"/>
        <v>1.6596993210873125E-2</v>
      </c>
      <c r="GA16">
        <f t="shared" si="53"/>
        <v>5.0050370310402013E-2</v>
      </c>
      <c r="GB16">
        <f t="shared" si="53"/>
        <v>1.9257095392119627E-2</v>
      </c>
      <c r="GC16">
        <f t="shared" si="53"/>
        <v>8.5617500199383523E-2</v>
      </c>
      <c r="GD16">
        <f t="shared" si="53"/>
        <v>5.8952512010367275E-2</v>
      </c>
      <c r="GE16">
        <f t="shared" si="53"/>
        <v>7.0565903636817223E-2</v>
      </c>
      <c r="GF16">
        <f t="shared" si="53"/>
        <v>8.4983514665851856E-2</v>
      </c>
      <c r="GG16">
        <f t="shared" si="53"/>
        <v>6.971871057275246E-2</v>
      </c>
      <c r="GH16">
        <f t="shared" si="53"/>
        <v>7.0806261881763158E-2</v>
      </c>
      <c r="GI16">
        <f t="shared" si="53"/>
        <v>9.4404041557336615E-2</v>
      </c>
      <c r="GJ16">
        <f t="shared" si="53"/>
        <v>0.10060832528081699</v>
      </c>
      <c r="GK16">
        <f t="shared" si="53"/>
        <v>8.9863295312335292E-2</v>
      </c>
      <c r="GL16">
        <f t="shared" si="53"/>
        <v>8.9013736273864386E-2</v>
      </c>
      <c r="GM16">
        <f t="shared" si="53"/>
        <v>8.6185120978952881E-2</v>
      </c>
      <c r="GN16">
        <f t="shared" si="53"/>
        <v>0.1035414405704424</v>
      </c>
      <c r="GO16">
        <f t="shared" si="53"/>
        <v>0.14755983993406524</v>
      </c>
      <c r="GP16">
        <f t="shared" si="53"/>
        <v>0.11851323152537449</v>
      </c>
      <c r="GQ16">
        <f t="shared" si="53"/>
        <v>0.20050724216930024</v>
      </c>
      <c r="GR16">
        <f t="shared" si="53"/>
        <v>0.91255789414370148</v>
      </c>
      <c r="GS16">
        <f t="shared" si="53"/>
        <v>0.1132451011969656</v>
      </c>
      <c r="GT16">
        <f t="shared" si="53"/>
        <v>0.19189830337716679</v>
      </c>
      <c r="GU16">
        <f t="shared" ref="GU16:IB16" si="54">(GU8-GU6)/SQRT(GU6^2+GU7^2)</f>
        <v>0.14134449098000659</v>
      </c>
      <c r="GV16">
        <f t="shared" si="54"/>
        <v>0.14245053452339793</v>
      </c>
      <c r="GW16">
        <f t="shared" si="54"/>
        <v>0.14789420098309539</v>
      </c>
      <c r="GX16">
        <f t="shared" si="54"/>
        <v>0.19697202053408186</v>
      </c>
      <c r="GY16">
        <f t="shared" si="54"/>
        <v>0.14745693530237486</v>
      </c>
      <c r="GZ16">
        <f t="shared" si="54"/>
        <v>0.18711761900119867</v>
      </c>
      <c r="HA16">
        <f t="shared" si="54"/>
        <v>0.15797507694140669</v>
      </c>
      <c r="HB16">
        <f t="shared" si="54"/>
        <v>0.13603036488632458</v>
      </c>
      <c r="HC16">
        <f t="shared" si="54"/>
        <v>1.1288382343092972E-2</v>
      </c>
      <c r="HD16">
        <f t="shared" si="54"/>
        <v>0.17507371777111538</v>
      </c>
      <c r="HE16">
        <f t="shared" si="54"/>
        <v>0.12008616050560671</v>
      </c>
      <c r="HF16">
        <f t="shared" si="54"/>
        <v>5.8106746379171667E-2</v>
      </c>
      <c r="HG16">
        <f t="shared" si="54"/>
        <v>0.10852858119829296</v>
      </c>
      <c r="HH16">
        <f t="shared" si="54"/>
        <v>4.0596474337685866E-2</v>
      </c>
      <c r="HI16">
        <f t="shared" si="54"/>
        <v>3.9581734892339134E-2</v>
      </c>
      <c r="HJ16">
        <f t="shared" si="54"/>
        <v>-4.8741620247691408E-2</v>
      </c>
      <c r="HK16">
        <f t="shared" si="54"/>
        <v>4.1376793201080196E-2</v>
      </c>
      <c r="HL16">
        <f t="shared" si="54"/>
        <v>6.4619679442621484E-3</v>
      </c>
      <c r="HM16">
        <f t="shared" si="54"/>
        <v>8.9313911150376055E-2</v>
      </c>
      <c r="HN16">
        <f t="shared" si="54"/>
        <v>-5.8162673553227545E-2</v>
      </c>
      <c r="HO16">
        <f t="shared" si="54"/>
        <v>-9.9289416373035261E-2</v>
      </c>
      <c r="HP16">
        <f t="shared" si="54"/>
        <v>-8.5335788524513491E-3</v>
      </c>
      <c r="HQ16">
        <f t="shared" si="54"/>
        <v>-3.4388619392488294E-2</v>
      </c>
      <c r="HR16">
        <f t="shared" si="54"/>
        <v>-9.6141153431617735E-2</v>
      </c>
      <c r="HS16">
        <f t="shared" si="54"/>
        <v>-4.576505526503432E-2</v>
      </c>
      <c r="HT16">
        <f t="shared" si="54"/>
        <v>0.17776886048125204</v>
      </c>
      <c r="HU16">
        <f t="shared" si="54"/>
        <v>-0.12134790410978902</v>
      </c>
      <c r="HV16">
        <f t="shared" si="54"/>
        <v>-9.7771143001241428E-2</v>
      </c>
      <c r="HW16">
        <f t="shared" si="54"/>
        <v>-0.14424725105198311</v>
      </c>
      <c r="HX16">
        <f t="shared" si="54"/>
        <v>-7.5279181444888016E-2</v>
      </c>
      <c r="HY16">
        <f t="shared" si="54"/>
        <v>-7.9257853134353504E-2</v>
      </c>
      <c r="HZ16">
        <f t="shared" si="54"/>
        <v>-6.2242603881112246E-2</v>
      </c>
      <c r="IA16">
        <f t="shared" si="54"/>
        <v>-6.9128770946450424E-2</v>
      </c>
      <c r="IB16">
        <f t="shared" si="54"/>
        <v>-8.1672163689297625E-2</v>
      </c>
    </row>
    <row r="17" spans="1:236">
      <c r="A17">
        <v>420</v>
      </c>
      <c r="B17" s="90">
        <f>'Color metric'!B11</f>
        <v>4.2146731809576989E-2</v>
      </c>
      <c r="C17" s="82">
        <f>Reference!N17</f>
        <v>1.46563312408219</v>
      </c>
      <c r="D17" s="82"/>
      <c r="E17" s="99" t="s">
        <v>87</v>
      </c>
      <c r="F17" s="100">
        <f t="shared" ref="F17:BQ18" si="55">F14-F8</f>
        <v>3.5399375540866029E-3</v>
      </c>
      <c r="G17" s="101">
        <f t="shared" si="55"/>
        <v>-1.4885364071703933E-3</v>
      </c>
      <c r="H17" s="101">
        <f t="shared" si="55"/>
        <v>-1.0454727041353196E-2</v>
      </c>
      <c r="I17" s="101">
        <f t="shared" si="55"/>
        <v>-1.3332956717124311E-2</v>
      </c>
      <c r="J17" s="101">
        <f t="shared" si="55"/>
        <v>-5.0365625759913324E-3</v>
      </c>
      <c r="K17" s="101">
        <f t="shared" si="55"/>
        <v>-1.7629694240020366E-2</v>
      </c>
      <c r="L17" s="101">
        <f t="shared" si="55"/>
        <v>-8.5391133286823462E-3</v>
      </c>
      <c r="M17" s="101">
        <f t="shared" si="55"/>
        <v>-1.4696156110427849E-2</v>
      </c>
      <c r="N17" s="101">
        <f t="shared" si="55"/>
        <v>-1.7519778331998692E-2</v>
      </c>
      <c r="O17" s="101">
        <f t="shared" si="55"/>
        <v>2.7649635290809549E-3</v>
      </c>
      <c r="P17" s="101">
        <f t="shared" si="55"/>
        <v>-6.4584232041571266E-3</v>
      </c>
      <c r="Q17" s="101">
        <f t="shared" si="55"/>
        <v>-1.069684491409606E-2</v>
      </c>
      <c r="R17" s="101">
        <f t="shared" si="55"/>
        <v>-1.0438810846446156E-2</v>
      </c>
      <c r="S17" s="101">
        <f t="shared" si="55"/>
        <v>-5.2494174637915947E-3</v>
      </c>
      <c r="T17" s="101">
        <f t="shared" si="55"/>
        <v>1.4858049329480871E-3</v>
      </c>
      <c r="U17" s="101">
        <f t="shared" si="55"/>
        <v>-1.9929838784862874E-3</v>
      </c>
      <c r="V17" s="101">
        <f t="shared" si="55"/>
        <v>-1.0018713789441858E-2</v>
      </c>
      <c r="W17" s="101">
        <f t="shared" si="55"/>
        <v>-7.5013327054345158E-3</v>
      </c>
      <c r="X17" s="101">
        <f t="shared" si="55"/>
        <v>-3.1483022557607931E-3</v>
      </c>
      <c r="Y17" s="101">
        <f t="shared" si="55"/>
        <v>-4.0497697668416821E-3</v>
      </c>
      <c r="Z17" s="101">
        <f t="shared" si="55"/>
        <v>-3.92729035804118E-5</v>
      </c>
      <c r="AA17" s="101">
        <f t="shared" si="55"/>
        <v>-4.8471377546133176E-3</v>
      </c>
      <c r="AB17" s="101">
        <f t="shared" si="55"/>
        <v>-5.2750744798533145E-3</v>
      </c>
      <c r="AC17" s="101">
        <f t="shared" si="55"/>
        <v>1.5173341235676929E-3</v>
      </c>
      <c r="AD17" s="101">
        <f t="shared" si="55"/>
        <v>-9.0731174383007485E-4</v>
      </c>
      <c r="AE17" s="101">
        <f t="shared" si="55"/>
        <v>-6.6643535754904448E-3</v>
      </c>
      <c r="AF17" s="101">
        <f t="shared" si="55"/>
        <v>-1.3447747570313195E-3</v>
      </c>
      <c r="AG17" s="101">
        <f t="shared" si="55"/>
        <v>9.3259656828159621E-6</v>
      </c>
      <c r="AH17" s="101">
        <f t="shared" si="55"/>
        <v>4.2013520624395451E-4</v>
      </c>
      <c r="AI17" s="101">
        <f t="shared" si="55"/>
        <v>7.3637039515511704E-4</v>
      </c>
      <c r="AJ17" s="101">
        <f t="shared" si="55"/>
        <v>1.7014452851581985E-3</v>
      </c>
      <c r="AK17" s="101">
        <f t="shared" si="55"/>
        <v>1.9563113038446045E-3</v>
      </c>
      <c r="AL17" s="101">
        <f t="shared" si="55"/>
        <v>-1.3155047842559053E-3</v>
      </c>
      <c r="AM17" s="101">
        <f t="shared" si="55"/>
        <v>3.8299039904320376E-3</v>
      </c>
      <c r="AN17" s="101">
        <f t="shared" si="55"/>
        <v>3.6705999939046219E-4</v>
      </c>
      <c r="AO17" s="101">
        <f t="shared" si="55"/>
        <v>3.0582246070007257E-3</v>
      </c>
      <c r="AP17" s="101">
        <f t="shared" si="55"/>
        <v>4.8064938910052923E-4</v>
      </c>
      <c r="AQ17" s="101">
        <f t="shared" si="55"/>
        <v>-2.6526809683624641E-5</v>
      </c>
      <c r="AR17" s="101">
        <f t="shared" si="55"/>
        <v>2.6996597621947727E-3</v>
      </c>
      <c r="AS17" s="101">
        <f t="shared" si="55"/>
        <v>4.3693217209571644E-3</v>
      </c>
      <c r="AT17" s="101">
        <f t="shared" si="55"/>
        <v>4.6646285063345339E-3</v>
      </c>
      <c r="AU17" s="101">
        <f t="shared" si="55"/>
        <v>3.945645843332124E-3</v>
      </c>
      <c r="AV17" s="101">
        <f t="shared" si="55"/>
        <v>4.9244716962212887E-3</v>
      </c>
      <c r="AW17" s="101">
        <f t="shared" si="55"/>
        <v>1.1193882400006405E-2</v>
      </c>
      <c r="AX17" s="101">
        <f t="shared" si="55"/>
        <v>3.4164930320518261E-3</v>
      </c>
      <c r="AY17" s="101">
        <f t="shared" si="55"/>
        <v>1.0680164278885018E-2</v>
      </c>
      <c r="AZ17" s="101">
        <f t="shared" si="55"/>
        <v>1.1047694422967158E-2</v>
      </c>
      <c r="BA17" s="101">
        <f t="shared" si="55"/>
        <v>6.1565681787268955E-3</v>
      </c>
      <c r="BB17" s="101">
        <f t="shared" si="55"/>
        <v>1.1503879393230831E-2</v>
      </c>
      <c r="BC17" s="101">
        <f t="shared" si="55"/>
        <v>1.4412614008686098E-2</v>
      </c>
      <c r="BD17" s="101">
        <f t="shared" si="55"/>
        <v>9.7519531782126467E-3</v>
      </c>
      <c r="BE17" s="101">
        <f t="shared" si="55"/>
        <v>8.5232492821734618E-3</v>
      </c>
      <c r="BF17" s="101">
        <f t="shared" si="55"/>
        <v>1.3514975569745347E-2</v>
      </c>
      <c r="BG17" s="101">
        <f t="shared" si="55"/>
        <v>1.9937897211644018E-2</v>
      </c>
      <c r="BH17" s="101">
        <f t="shared" si="55"/>
        <v>6.7874336865046403E-3</v>
      </c>
      <c r="BI17" s="101">
        <f t="shared" si="55"/>
        <v>7.3102124949272484E-3</v>
      </c>
      <c r="BJ17" s="101">
        <f t="shared" si="55"/>
        <v>1.6668087993136793E-2</v>
      </c>
      <c r="BK17" s="101">
        <f t="shared" si="55"/>
        <v>2.0441109994809303E-2</v>
      </c>
      <c r="BL17" s="101">
        <f t="shared" si="55"/>
        <v>1.9984203517426358E-2</v>
      </c>
      <c r="BM17" s="101">
        <f t="shared" si="55"/>
        <v>7.169387789517867E-3</v>
      </c>
      <c r="BN17" s="101">
        <f t="shared" si="55"/>
        <v>4.024621149104235E-3</v>
      </c>
      <c r="BO17" s="101">
        <f t="shared" si="55"/>
        <v>5.8132966467876468E-3</v>
      </c>
      <c r="BP17" s="101">
        <f t="shared" si="55"/>
        <v>3.5583588631463159E-3</v>
      </c>
      <c r="BQ17" s="101">
        <f t="shared" si="55"/>
        <v>9.6380523407087471E-3</v>
      </c>
      <c r="BR17" s="101">
        <f t="shared" ref="BR17:DA18" si="56">BR14-BR8</f>
        <v>1.6057521538616837E-2</v>
      </c>
      <c r="BS17" s="101">
        <f t="shared" si="56"/>
        <v>1.9665292750325025E-2</v>
      </c>
      <c r="BT17" s="101">
        <f t="shared" si="56"/>
        <v>1.6769418234124978E-2</v>
      </c>
      <c r="BU17" s="101">
        <f t="shared" si="56"/>
        <v>1.6071867390858141E-2</v>
      </c>
      <c r="BV17" s="101">
        <f t="shared" si="56"/>
        <v>6.855322934042174E-3</v>
      </c>
      <c r="BW17" s="101">
        <f t="shared" si="56"/>
        <v>3.345890707308341E-3</v>
      </c>
      <c r="BX17" s="101">
        <f t="shared" si="56"/>
        <v>6.9124512449027509E-3</v>
      </c>
      <c r="BY17" s="101">
        <f t="shared" si="56"/>
        <v>8.1557783142243712E-3</v>
      </c>
      <c r="BZ17" s="101">
        <f t="shared" si="56"/>
        <v>4.2106263562903812E-3</v>
      </c>
      <c r="CA17" s="101">
        <f t="shared" si="56"/>
        <v>5.1202188941686377E-3</v>
      </c>
      <c r="CB17" s="101">
        <f t="shared" si="56"/>
        <v>4.1129267248307677E-4</v>
      </c>
      <c r="CC17" s="101">
        <f t="shared" si="56"/>
        <v>7.2000940363712296E-3</v>
      </c>
      <c r="CD17" s="101">
        <f t="shared" si="56"/>
        <v>1.9283823334074746E-3</v>
      </c>
      <c r="CE17" s="101">
        <f t="shared" si="56"/>
        <v>-5.7183441174639138E-3</v>
      </c>
      <c r="CF17" s="101">
        <f t="shared" si="56"/>
        <v>-1.2318858624816298E-3</v>
      </c>
      <c r="CG17" s="101">
        <f t="shared" si="56"/>
        <v>7.9036700894952183E-4</v>
      </c>
      <c r="CH17" s="101">
        <f t="shared" si="56"/>
        <v>-1.213793160322385E-3</v>
      </c>
      <c r="CI17" s="101">
        <f t="shared" si="56"/>
        <v>-1.2034020609209994E-2</v>
      </c>
      <c r="CJ17" s="101">
        <f t="shared" si="56"/>
        <v>2.5510234086204009E-3</v>
      </c>
      <c r="CK17" s="101">
        <f t="shared" si="56"/>
        <v>1.2573576243555817E-3</v>
      </c>
      <c r="CL17" s="101">
        <f t="shared" si="56"/>
        <v>2.7202360928929581E-4</v>
      </c>
      <c r="CM17" s="101">
        <f t="shared" si="56"/>
        <v>-8.0638377595850241E-3</v>
      </c>
      <c r="CN17" s="101">
        <f t="shared" si="56"/>
        <v>-8.3977334835368955E-3</v>
      </c>
      <c r="CO17" s="101">
        <f t="shared" si="56"/>
        <v>-8.7423494303983662E-3</v>
      </c>
      <c r="CP17" s="101">
        <f t="shared" si="56"/>
        <v>-3.3503811519424165E-3</v>
      </c>
      <c r="CQ17" s="101">
        <f t="shared" si="56"/>
        <v>-1.4025371700308098E-2</v>
      </c>
      <c r="CR17" s="101">
        <f t="shared" si="56"/>
        <v>-5.3533232956438082E-3</v>
      </c>
      <c r="CS17" s="101">
        <f t="shared" si="56"/>
        <v>-5.5584723268370384E-4</v>
      </c>
      <c r="CT17" s="101">
        <f t="shared" si="56"/>
        <v>-1.2663627087039497E-2</v>
      </c>
      <c r="CU17" s="101">
        <f t="shared" si="56"/>
        <v>-5.5437443392285513E-3</v>
      </c>
      <c r="CV17" s="101">
        <f t="shared" si="56"/>
        <v>-2.336949957744916E-2</v>
      </c>
      <c r="CW17" s="101">
        <f t="shared" si="56"/>
        <v>-8.4796592853330077E-3</v>
      </c>
      <c r="CX17" s="101">
        <f t="shared" si="56"/>
        <v>-4.4465853651137199E-3</v>
      </c>
      <c r="CY17" s="101">
        <f t="shared" si="56"/>
        <v>-5.8058566266477873E-3</v>
      </c>
      <c r="CZ17" s="101">
        <f t="shared" si="56"/>
        <v>-8.668842807738053E-3</v>
      </c>
      <c r="DA17" s="101">
        <f t="shared" si="56"/>
        <v>-1.3031839594569439E-2</v>
      </c>
      <c r="DC17">
        <v>13</v>
      </c>
      <c r="DD17" s="84">
        <v>43.616401116794485</v>
      </c>
      <c r="DE17" s="84">
        <v>18.337406665102773</v>
      </c>
      <c r="DF17" s="84">
        <v>14.494496103843849</v>
      </c>
      <c r="DG17" s="84">
        <v>42.96284815399121</v>
      </c>
      <c r="DH17" s="84">
        <v>15.941935785792795</v>
      </c>
      <c r="DI17" s="84">
        <v>14.570851839988517</v>
      </c>
      <c r="DJ17" s="84">
        <v>2.4841985442498853</v>
      </c>
      <c r="DK17" s="84">
        <f t="shared" si="0"/>
        <v>6.1712424072532492</v>
      </c>
      <c r="DL17" s="84">
        <f t="shared" si="1"/>
        <v>0.66888028011388134</v>
      </c>
      <c r="DM17" s="84">
        <f t="shared" si="2"/>
        <v>38.324017050053691</v>
      </c>
      <c r="DN17" s="85">
        <v>1</v>
      </c>
      <c r="DO17">
        <v>6</v>
      </c>
      <c r="DP17">
        <f t="shared" si="3"/>
        <v>22.5</v>
      </c>
      <c r="DQ17" s="270">
        <v>18.477590650225736</v>
      </c>
      <c r="DR17" s="270">
        <v>7.6536686473017959</v>
      </c>
      <c r="DT17" t="s">
        <v>88</v>
      </c>
      <c r="DU17" s="87">
        <f>(DU9-DU7)/SQRT(DU6^2+DU7^2)</f>
        <v>-1.0350143465284987E-2</v>
      </c>
      <c r="DV17" s="87">
        <f t="shared" ref="DV17:EC17" si="57">(DV9-DV7)/SQRT(DV6^2+DV7^2)</f>
        <v>3.5674258726004486E-2</v>
      </c>
      <c r="DW17" s="87">
        <f t="shared" si="57"/>
        <v>3.5367850359933464E-2</v>
      </c>
      <c r="DX17" s="87">
        <f t="shared" si="57"/>
        <v>1.0401475430294042E-2</v>
      </c>
      <c r="DY17" s="87">
        <f t="shared" si="57"/>
        <v>-7.5382499585675264E-2</v>
      </c>
      <c r="DZ17" s="87">
        <f t="shared" si="57"/>
        <v>-9.2423224834437032E-2</v>
      </c>
      <c r="EA17" s="87">
        <f t="shared" si="57"/>
        <v>-9.7759418618749122E-2</v>
      </c>
      <c r="EB17" s="87">
        <f>(EB9-EB7)/SQRT(EB6^2+EB7^2)</f>
        <v>-0.11617382110410844</v>
      </c>
      <c r="EC17" s="87">
        <f t="shared" si="57"/>
        <v>-1.0350143465284987E-2</v>
      </c>
      <c r="ED17">
        <f t="shared" si="5"/>
        <v>3.5674258726004486E-2</v>
      </c>
      <c r="EF17" t="str">
        <f t="shared" si="17"/>
        <v>db_relative</v>
      </c>
      <c r="EH17">
        <f>(EH9-EH7)/SQRT(EH6^2+EH7^2)</f>
        <v>-2.0351712138735514E-2</v>
      </c>
      <c r="EI17">
        <f t="shared" ref="EI17:GT17" si="58">(EI9-EI7)/SQRT(EI6^2+EI7^2)</f>
        <v>-2.3954580036634903E-2</v>
      </c>
      <c r="EJ17">
        <f t="shared" si="58"/>
        <v>-0.13875116047546696</v>
      </c>
      <c r="EK17">
        <f t="shared" si="58"/>
        <v>2.2242669487460561E-2</v>
      </c>
      <c r="EL17">
        <f t="shared" si="58"/>
        <v>-1.2115878955672078E-2</v>
      </c>
      <c r="EM17">
        <f t="shared" si="58"/>
        <v>-1.0508656689929514E-2</v>
      </c>
      <c r="EN17">
        <f t="shared" si="58"/>
        <v>-2.9294234267687163E-2</v>
      </c>
      <c r="EO17">
        <f t="shared" si="58"/>
        <v>-3.4329021628010478E-2</v>
      </c>
      <c r="EP17">
        <f t="shared" si="58"/>
        <v>-0.14204808657406828</v>
      </c>
      <c r="EQ17">
        <f t="shared" si="58"/>
        <v>2.301260427626076E-2</v>
      </c>
      <c r="ER17">
        <f t="shared" si="58"/>
        <v>1.9252091692261174E-2</v>
      </c>
      <c r="ES17">
        <f t="shared" si="58"/>
        <v>1.7073662592425886E-2</v>
      </c>
      <c r="ET17">
        <f t="shared" si="58"/>
        <v>3.2666743084280594E-3</v>
      </c>
      <c r="EU17">
        <f t="shared" si="58"/>
        <v>1.4522598465273998E-2</v>
      </c>
      <c r="EV17">
        <f t="shared" si="58"/>
        <v>-2.5222277750675065E-2</v>
      </c>
      <c r="EW17">
        <f t="shared" si="58"/>
        <v>6.5026973654692217E-3</v>
      </c>
      <c r="EX17">
        <f t="shared" si="58"/>
        <v>2.7575996083781036E-2</v>
      </c>
      <c r="EY17">
        <f t="shared" si="58"/>
        <v>4.6329934960449241E-4</v>
      </c>
      <c r="EZ17">
        <f t="shared" si="58"/>
        <v>4.1943895942797654E-2</v>
      </c>
      <c r="FA17">
        <f t="shared" si="58"/>
        <v>9.3079433641827483E-2</v>
      </c>
      <c r="FB17">
        <f t="shared" si="58"/>
        <v>4.5281150933499582E-2</v>
      </c>
      <c r="FC17">
        <f t="shared" si="58"/>
        <v>3.7421862932877213E-2</v>
      </c>
      <c r="FD17">
        <f t="shared" si="58"/>
        <v>3.4412975677212791E-2</v>
      </c>
      <c r="FE17">
        <f t="shared" si="58"/>
        <v>5.1493649874504409E-2</v>
      </c>
      <c r="FF17">
        <f t="shared" si="58"/>
        <v>4.1165441389776222E-2</v>
      </c>
      <c r="FG17">
        <f t="shared" si="58"/>
        <v>4.6651369241187582E-2</v>
      </c>
      <c r="FH17">
        <f t="shared" si="58"/>
        <v>-3.0579963890414032E-2</v>
      </c>
      <c r="FI17">
        <f t="shared" si="58"/>
        <v>4.6146585466460291E-2</v>
      </c>
      <c r="FJ17">
        <f t="shared" si="58"/>
        <v>4.1719716584364616E-2</v>
      </c>
      <c r="FK17">
        <f t="shared" si="58"/>
        <v>-2.1968724764873187E-3</v>
      </c>
      <c r="FL17">
        <f t="shared" si="58"/>
        <v>4.2402049333856121E-2</v>
      </c>
      <c r="FM17">
        <f t="shared" si="58"/>
        <v>5.0575065116310519E-2</v>
      </c>
      <c r="FN17">
        <f t="shared" si="58"/>
        <v>4.668895803392506E-2</v>
      </c>
      <c r="FO17">
        <f t="shared" si="58"/>
        <v>4.7596127623193402E-2</v>
      </c>
      <c r="FP17">
        <f t="shared" si="58"/>
        <v>6.2304619342169125E-2</v>
      </c>
      <c r="FQ17">
        <f t="shared" si="58"/>
        <v>-0.26551796750654078</v>
      </c>
      <c r="FR17">
        <f t="shared" si="58"/>
        <v>3.940860616957808E-2</v>
      </c>
      <c r="FS17">
        <f t="shared" si="58"/>
        <v>-3.8313155019466111E-2</v>
      </c>
      <c r="FT17">
        <f t="shared" si="58"/>
        <v>6.9138645920577809E-3</v>
      </c>
      <c r="FU17">
        <f t="shared" si="58"/>
        <v>1.9690101679328217E-2</v>
      </c>
      <c r="FV17">
        <f t="shared" si="58"/>
        <v>5.1192741206545758E-3</v>
      </c>
      <c r="FW17">
        <f t="shared" si="58"/>
        <v>3.6445427833604209E-2</v>
      </c>
      <c r="FX17">
        <f t="shared" si="58"/>
        <v>6.5557258121414691E-2</v>
      </c>
      <c r="FY17">
        <f t="shared" si="58"/>
        <v>-1.3659275497684026E-2</v>
      </c>
      <c r="FZ17">
        <f t="shared" si="58"/>
        <v>4.9975264354028076E-2</v>
      </c>
      <c r="GA17">
        <f t="shared" si="58"/>
        <v>6.1899267783066182E-2</v>
      </c>
      <c r="GB17">
        <f t="shared" si="58"/>
        <v>3.4032463660664598E-2</v>
      </c>
      <c r="GC17">
        <f t="shared" si="58"/>
        <v>2.2718578908001295E-2</v>
      </c>
      <c r="GD17">
        <f t="shared" si="58"/>
        <v>6.9773123833570178E-2</v>
      </c>
      <c r="GE17">
        <f t="shared" si="58"/>
        <v>1.5135310575934825E-2</v>
      </c>
      <c r="GF17">
        <f t="shared" si="58"/>
        <v>1.1056900838173352E-4</v>
      </c>
      <c r="GG17">
        <f t="shared" si="58"/>
        <v>2.2193147412896227E-2</v>
      </c>
      <c r="GH17">
        <f t="shared" si="58"/>
        <v>2.4038329192694188E-2</v>
      </c>
      <c r="GI17">
        <f t="shared" si="58"/>
        <v>-2.2938600746168231E-2</v>
      </c>
      <c r="GJ17">
        <f t="shared" si="58"/>
        <v>-4.3117978312129615E-2</v>
      </c>
      <c r="GK17">
        <f t="shared" si="58"/>
        <v>1.2542802536799303E-3</v>
      </c>
      <c r="GL17">
        <f t="shared" si="58"/>
        <v>-6.4497826910433096E-3</v>
      </c>
      <c r="GM17">
        <f t="shared" si="58"/>
        <v>-1.2692485242650355E-2</v>
      </c>
      <c r="GN17">
        <f t="shared" si="58"/>
        <v>-1.9170420273670032E-2</v>
      </c>
      <c r="GO17">
        <f t="shared" si="58"/>
        <v>-0.15031158124693988</v>
      </c>
      <c r="GP17">
        <f t="shared" si="58"/>
        <v>-9.209177284941357E-2</v>
      </c>
      <c r="GQ17">
        <f t="shared" si="58"/>
        <v>-0.23583202946147033</v>
      </c>
      <c r="GR17">
        <f t="shared" si="58"/>
        <v>2.9211755567778899E-2</v>
      </c>
      <c r="GS17">
        <f t="shared" si="58"/>
        <v>-5.9812135907110146E-2</v>
      </c>
      <c r="GT17">
        <f t="shared" si="58"/>
        <v>-4.0058609884070472E-2</v>
      </c>
      <c r="GU17">
        <f t="shared" ref="GU17:IB17" si="59">(GU9-GU7)/SQRT(GU6^2+GU7^2)</f>
        <v>-7.7917239867294458E-2</v>
      </c>
      <c r="GV17">
        <f t="shared" si="59"/>
        <v>-8.096948346632242E-2</v>
      </c>
      <c r="GW17">
        <f t="shared" si="59"/>
        <v>-0.1056904928943693</v>
      </c>
      <c r="GX17">
        <f t="shared" si="59"/>
        <v>-0.16743771728270537</v>
      </c>
      <c r="GY17">
        <f t="shared" si="59"/>
        <v>-9.1350393996494209E-2</v>
      </c>
      <c r="GZ17">
        <f t="shared" si="59"/>
        <v>-0.11053875928626283</v>
      </c>
      <c r="HA17">
        <f t="shared" si="59"/>
        <v>-0.1045301699971799</v>
      </c>
      <c r="HB17">
        <f t="shared" si="59"/>
        <v>-0.10104471203707038</v>
      </c>
      <c r="HC17">
        <f t="shared" si="59"/>
        <v>-0.28198922547953004</v>
      </c>
      <c r="HD17">
        <f t="shared" si="59"/>
        <v>-9.0783197515962186E-2</v>
      </c>
      <c r="HE17">
        <f t="shared" si="59"/>
        <v>-7.1876991665598772E-2</v>
      </c>
      <c r="HF17">
        <f t="shared" si="59"/>
        <v>-9.5555992796258621E-2</v>
      </c>
      <c r="HG17">
        <f t="shared" si="59"/>
        <v>-8.1764718654577975E-2</v>
      </c>
      <c r="HH17">
        <f t="shared" si="59"/>
        <v>-6.0303839960836367E-2</v>
      </c>
      <c r="HI17">
        <f t="shared" si="59"/>
        <v>-6.9777339577735339E-2</v>
      </c>
      <c r="HJ17">
        <f t="shared" si="59"/>
        <v>-6.8060518908744733E-2</v>
      </c>
      <c r="HK17">
        <f t="shared" si="59"/>
        <v>-7.891208180248302E-2</v>
      </c>
      <c r="HL17">
        <f t="shared" si="59"/>
        <v>-4.9259625840297215E-2</v>
      </c>
      <c r="HM17">
        <f t="shared" si="59"/>
        <v>-0.18466246641556833</v>
      </c>
      <c r="HN17">
        <f t="shared" si="59"/>
        <v>-0.21817542391394595</v>
      </c>
      <c r="HO17">
        <f t="shared" si="59"/>
        <v>-0.10169911061387088</v>
      </c>
      <c r="HP17">
        <f t="shared" si="59"/>
        <v>-9.3820048185257729E-2</v>
      </c>
      <c r="HQ17">
        <f t="shared" si="59"/>
        <v>-5.9923931446933171E-2</v>
      </c>
      <c r="HR17">
        <f t="shared" si="59"/>
        <v>-0.12017443983715009</v>
      </c>
      <c r="HS17">
        <f t="shared" si="59"/>
        <v>-4.582185602779907E-2</v>
      </c>
      <c r="HT17">
        <f t="shared" si="59"/>
        <v>-0.93655579685649359</v>
      </c>
      <c r="HU17">
        <f t="shared" si="59"/>
        <v>-0.22788648839524986</v>
      </c>
      <c r="HV17">
        <f t="shared" si="59"/>
        <v>-0.16973249788037004</v>
      </c>
      <c r="HW17">
        <f t="shared" si="59"/>
        <v>-0.14996720408904543</v>
      </c>
      <c r="HX17">
        <f t="shared" si="59"/>
        <v>-0.18019014732211355</v>
      </c>
      <c r="HY17">
        <f t="shared" si="59"/>
        <v>-0.10658086345355956</v>
      </c>
      <c r="HZ17">
        <f t="shared" si="59"/>
        <v>-3.2569426639929795E-2</v>
      </c>
      <c r="IA17">
        <f t="shared" si="59"/>
        <v>-3.5539835991554976E-2</v>
      </c>
      <c r="IB17">
        <f t="shared" si="59"/>
        <v>-4.5450869939907157E-2</v>
      </c>
    </row>
    <row r="18" spans="1:236">
      <c r="A18">
        <v>425</v>
      </c>
      <c r="B18" s="90">
        <f>'Color metric'!B12</f>
        <v>8.039641379122503E-2</v>
      </c>
      <c r="C18" s="82">
        <f>Reference!N18</f>
        <v>1.5615886976133349</v>
      </c>
      <c r="D18" s="82"/>
      <c r="E18" s="99" t="s">
        <v>89</v>
      </c>
      <c r="F18" s="100">
        <f t="shared" si="55"/>
        <v>-5.1938972232844494E-3</v>
      </c>
      <c r="G18" s="101">
        <f t="shared" si="55"/>
        <v>-2.5704772636882534E-3</v>
      </c>
      <c r="H18" s="101">
        <f t="shared" si="55"/>
        <v>1.5920552896721007E-3</v>
      </c>
      <c r="I18" s="101">
        <f t="shared" si="55"/>
        <v>-5.2321906019439091E-3</v>
      </c>
      <c r="J18" s="101">
        <f t="shared" si="55"/>
        <v>2.4334182041573227E-3</v>
      </c>
      <c r="K18" s="101">
        <f t="shared" si="55"/>
        <v>8.3019182451802842E-3</v>
      </c>
      <c r="L18" s="101">
        <f t="shared" si="55"/>
        <v>2.2150939799221447E-3</v>
      </c>
      <c r="M18" s="101">
        <f t="shared" si="55"/>
        <v>4.4167458192843068E-3</v>
      </c>
      <c r="N18" s="101">
        <f t="shared" si="55"/>
        <v>5.5693245018948456E-3</v>
      </c>
      <c r="O18" s="101">
        <f t="shared" si="55"/>
        <v>-6.7714479062263577E-3</v>
      </c>
      <c r="P18" s="101">
        <f t="shared" si="55"/>
        <v>4.9737739600321795E-3</v>
      </c>
      <c r="Q18" s="101">
        <f t="shared" si="55"/>
        <v>7.9902568269926699E-3</v>
      </c>
      <c r="R18" s="101">
        <f t="shared" si="55"/>
        <v>7.6500459549746491E-3</v>
      </c>
      <c r="S18" s="101">
        <f t="shared" si="55"/>
        <v>2.6461804727415661E-3</v>
      </c>
      <c r="T18" s="101">
        <f t="shared" si="55"/>
        <v>-3.1939348182124516E-3</v>
      </c>
      <c r="U18" s="101">
        <f t="shared" si="55"/>
        <v>-2.6658213345828741E-3</v>
      </c>
      <c r="V18" s="101">
        <f t="shared" si="55"/>
        <v>6.3501074078680109E-3</v>
      </c>
      <c r="W18" s="101">
        <f t="shared" si="55"/>
        <v>6.000565310538275E-3</v>
      </c>
      <c r="X18" s="101">
        <f t="shared" si="55"/>
        <v>1.8741581338299618E-5</v>
      </c>
      <c r="Y18" s="101">
        <f t="shared" si="55"/>
        <v>4.4590924315848768E-3</v>
      </c>
      <c r="Z18" s="101">
        <f t="shared" si="55"/>
        <v>8.2022772841741087E-3</v>
      </c>
      <c r="AA18" s="101">
        <f t="shared" si="55"/>
        <v>5.5966804654035696E-3</v>
      </c>
      <c r="AB18" s="101">
        <f t="shared" si="55"/>
        <v>5.7246631651890478E-3</v>
      </c>
      <c r="AC18" s="101">
        <f t="shared" si="55"/>
        <v>-2.4387959403196491E-3</v>
      </c>
      <c r="AD18" s="101">
        <f t="shared" si="55"/>
        <v>2.3658718145899704E-3</v>
      </c>
      <c r="AE18" s="101">
        <f t="shared" si="55"/>
        <v>7.4763038802793114E-3</v>
      </c>
      <c r="AF18" s="101">
        <f t="shared" si="55"/>
        <v>3.2181396643021776E-3</v>
      </c>
      <c r="AG18" s="101">
        <f t="shared" si="55"/>
        <v>-4.6507251396373239E-3</v>
      </c>
      <c r="AH18" s="101">
        <f t="shared" si="55"/>
        <v>5.5454266553817133E-4</v>
      </c>
      <c r="AI18" s="101">
        <f t="shared" si="55"/>
        <v>1.5385013273818693E-3</v>
      </c>
      <c r="AJ18" s="101">
        <f t="shared" si="55"/>
        <v>-3.7900749098027098E-3</v>
      </c>
      <c r="AK18" s="101">
        <f t="shared" si="55"/>
        <v>7.4978092972149968E-4</v>
      </c>
      <c r="AL18" s="101">
        <f t="shared" si="55"/>
        <v>4.8456108732304881E-3</v>
      </c>
      <c r="AM18" s="101">
        <f t="shared" si="55"/>
        <v>-1.9047675970227385E-3</v>
      </c>
      <c r="AN18" s="101">
        <f t="shared" si="55"/>
        <v>2.8022866735407104E-3</v>
      </c>
      <c r="AO18" s="101">
        <f t="shared" si="55"/>
        <v>-1.0255874543951826E-5</v>
      </c>
      <c r="AP18" s="101">
        <f t="shared" si="55"/>
        <v>-9.3064288491446767E-3</v>
      </c>
      <c r="AQ18" s="101">
        <f t="shared" si="55"/>
        <v>1.0000336031701917E-3</v>
      </c>
      <c r="AR18" s="101">
        <f t="shared" si="55"/>
        <v>-6.8106447492244926E-3</v>
      </c>
      <c r="AS18" s="101">
        <f t="shared" si="55"/>
        <v>-5.225014503406733E-3</v>
      </c>
      <c r="AT18" s="101">
        <f t="shared" si="55"/>
        <v>-4.1427973884199387E-3</v>
      </c>
      <c r="AU18" s="101">
        <f t="shared" si="55"/>
        <v>-5.2361736024309491E-3</v>
      </c>
      <c r="AV18" s="101">
        <f t="shared" si="55"/>
        <v>-7.2426197006381088E-4</v>
      </c>
      <c r="AW18" s="101">
        <f t="shared" si="55"/>
        <v>-2.0473033284564846E-3</v>
      </c>
      <c r="AX18" s="101">
        <f t="shared" si="55"/>
        <v>-5.2474388395434279E-3</v>
      </c>
      <c r="AY18" s="101">
        <f t="shared" si="55"/>
        <v>-4.2190688187946912E-3</v>
      </c>
      <c r="AZ18" s="101">
        <f t="shared" si="55"/>
        <v>-4.9449083942874061E-3</v>
      </c>
      <c r="BA18" s="101">
        <f t="shared" si="55"/>
        <v>-4.659834398372753E-3</v>
      </c>
      <c r="BB18" s="101">
        <f t="shared" si="55"/>
        <v>-9.9939634223514262E-3</v>
      </c>
      <c r="BC18" s="101">
        <f t="shared" si="55"/>
        <v>-5.3245873168036306E-3</v>
      </c>
      <c r="BD18" s="101">
        <f t="shared" si="55"/>
        <v>-9.0037512563168054E-3</v>
      </c>
      <c r="BE18" s="101">
        <f t="shared" si="55"/>
        <v>-9.3138654289931511E-3</v>
      </c>
      <c r="BF18" s="101">
        <f t="shared" si="55"/>
        <v>-1.059950316864211E-2</v>
      </c>
      <c r="BG18" s="101">
        <f t="shared" si="55"/>
        <v>-1.438399398292256E-2</v>
      </c>
      <c r="BH18" s="101">
        <f t="shared" si="55"/>
        <v>-8.5906968380467519E-3</v>
      </c>
      <c r="BI18" s="101">
        <f t="shared" si="55"/>
        <v>-9.9969851521476971E-3</v>
      </c>
      <c r="BJ18" s="101">
        <f t="shared" si="55"/>
        <v>-1.4197794310746414E-2</v>
      </c>
      <c r="BK18" s="101">
        <f t="shared" si="55"/>
        <v>-1.8009622988141627E-2</v>
      </c>
      <c r="BL18" s="101">
        <f t="shared" si="55"/>
        <v>-1.8187781972003325E-2</v>
      </c>
      <c r="BM18" s="101">
        <f t="shared" si="55"/>
        <v>-8.4255746376125651E-3</v>
      </c>
      <c r="BN18" s="101">
        <f t="shared" si="55"/>
        <v>-7.4887181784066281E-3</v>
      </c>
      <c r="BO18" s="101">
        <f t="shared" si="55"/>
        <v>-1.0318788496145925E-2</v>
      </c>
      <c r="BP18" s="101">
        <f t="shared" si="55"/>
        <v>-9.3094228682679137E-3</v>
      </c>
      <c r="BQ18" s="101">
        <f t="shared" si="55"/>
        <v>-8.9807895232468238E-3</v>
      </c>
      <c r="BR18" s="101">
        <f t="shared" si="56"/>
        <v>-2.1078871614670147E-2</v>
      </c>
      <c r="BS18" s="101">
        <f t="shared" si="56"/>
        <v>-1.6342229112231266E-2</v>
      </c>
      <c r="BT18" s="101">
        <f t="shared" si="56"/>
        <v>-2.5944228913136191E-2</v>
      </c>
      <c r="BU18" s="101">
        <f t="shared" si="56"/>
        <v>-2.6188720344106131E-2</v>
      </c>
      <c r="BV18" s="101">
        <f t="shared" si="56"/>
        <v>-1.6276270093099066E-2</v>
      </c>
      <c r="BW18" s="101">
        <f t="shared" si="56"/>
        <v>-1.3296365299768298E-2</v>
      </c>
      <c r="BX18" s="101">
        <f t="shared" si="56"/>
        <v>-1.7275674390389018E-2</v>
      </c>
      <c r="BY18" s="101">
        <f t="shared" si="56"/>
        <v>-2.8925094889691971E-2</v>
      </c>
      <c r="BZ18" s="101">
        <f t="shared" si="56"/>
        <v>-8.1986502431756758E-3</v>
      </c>
      <c r="CA18" s="101">
        <f t="shared" si="56"/>
        <v>-2.7157903683610596E-2</v>
      </c>
      <c r="CB18" s="101">
        <f t="shared" si="56"/>
        <v>-8.0485272909314731E-3</v>
      </c>
      <c r="CC18" s="101">
        <f t="shared" si="56"/>
        <v>-2.6474119959876252E-2</v>
      </c>
      <c r="CD18" s="101">
        <f t="shared" si="56"/>
        <v>-2.7729804090686372E-2</v>
      </c>
      <c r="CE18" s="101">
        <f t="shared" si="56"/>
        <v>-2.0974078301897903E-2</v>
      </c>
      <c r="CF18" s="101">
        <f t="shared" si="56"/>
        <v>-2.9405707541732107E-2</v>
      </c>
      <c r="CG18" s="101">
        <f t="shared" si="56"/>
        <v>-9.6118071234796987E-3</v>
      </c>
      <c r="CH18" s="101">
        <f t="shared" si="56"/>
        <v>-1.2344045011527582E-2</v>
      </c>
      <c r="CI18" s="101">
        <f t="shared" si="56"/>
        <v>-1.5768454350237715E-2</v>
      </c>
      <c r="CJ18" s="101">
        <f t="shared" si="56"/>
        <v>-6.6823322057917856E-3</v>
      </c>
      <c r="CK18" s="101">
        <f t="shared" si="56"/>
        <v>-7.1339982118943102E-3</v>
      </c>
      <c r="CL18" s="101">
        <f t="shared" si="56"/>
        <v>-1.1275506413840841E-2</v>
      </c>
      <c r="CM18" s="101">
        <f t="shared" si="56"/>
        <v>-1.363376086800111E-2</v>
      </c>
      <c r="CN18" s="101">
        <f t="shared" si="56"/>
        <v>-9.0535989096185987E-3</v>
      </c>
      <c r="CO18" s="101">
        <f t="shared" si="56"/>
        <v>-1.6513582597007248E-2</v>
      </c>
      <c r="CP18" s="101">
        <f t="shared" si="56"/>
        <v>-6.9652352416966212E-3</v>
      </c>
      <c r="CQ18" s="101">
        <f t="shared" si="56"/>
        <v>-9.0097454116948583E-3</v>
      </c>
      <c r="CR18" s="101">
        <f t="shared" si="56"/>
        <v>-5.0830424094437943E-3</v>
      </c>
      <c r="CS18" s="101">
        <f t="shared" si="56"/>
        <v>-9.8603329721063115E-3</v>
      </c>
      <c r="CT18" s="101">
        <f t="shared" si="56"/>
        <v>-9.5402991686532324E-3</v>
      </c>
      <c r="CU18" s="101">
        <f t="shared" si="56"/>
        <v>-6.4949871249317948E-3</v>
      </c>
      <c r="CV18" s="101">
        <f t="shared" si="56"/>
        <v>-6.1817349051192516E-3</v>
      </c>
      <c r="CW18" s="101">
        <f t="shared" si="56"/>
        <v>-8.0133065252645519E-3</v>
      </c>
      <c r="CX18" s="101">
        <f t="shared" si="56"/>
        <v>-5.0122939227836838E-3</v>
      </c>
      <c r="CY18" s="101">
        <f t="shared" si="56"/>
        <v>-1.4642486509380825E-3</v>
      </c>
      <c r="CZ18" s="101">
        <f t="shared" si="56"/>
        <v>-7.544789237152183E-4</v>
      </c>
      <c r="DA18" s="101">
        <f t="shared" si="56"/>
        <v>-4.6432084226211146E-4</v>
      </c>
      <c r="DC18">
        <v>14</v>
      </c>
      <c r="DD18" s="84">
        <v>74.130334041920335</v>
      </c>
      <c r="DE18" s="84">
        <v>6.3574873778047278</v>
      </c>
      <c r="DF18" s="84">
        <v>5.8751426690589774</v>
      </c>
      <c r="DG18" s="84">
        <v>74.178147997829996</v>
      </c>
      <c r="DH18" s="84">
        <v>5.3232601457990363</v>
      </c>
      <c r="DI18" s="84">
        <v>6.000857504834789</v>
      </c>
      <c r="DJ18" s="84">
        <v>1.0429364130837626</v>
      </c>
      <c r="DK18" s="84">
        <f t="shared" si="0"/>
        <v>1.0877163617360248</v>
      </c>
      <c r="DL18" s="84">
        <f t="shared" si="1"/>
        <v>0.74598759051267083</v>
      </c>
      <c r="DM18" s="84">
        <f t="shared" si="2"/>
        <v>42.741940505509532</v>
      </c>
      <c r="DN18" s="85">
        <v>1</v>
      </c>
      <c r="DO18">
        <v>5</v>
      </c>
      <c r="DP18">
        <f t="shared" si="3"/>
        <v>22.5</v>
      </c>
      <c r="DQ18" s="270">
        <v>18.477590650225736</v>
      </c>
      <c r="DR18" s="270">
        <v>7.6536686473017959</v>
      </c>
      <c r="DT18" t="s">
        <v>90</v>
      </c>
      <c r="DU18" s="87">
        <f>COS(DU11)</f>
        <v>0.9287669672803518</v>
      </c>
      <c r="DV18" s="87">
        <f t="shared" ref="DV18:EA18" si="60">COS(DV11)</f>
        <v>0.39272606439409019</v>
      </c>
      <c r="DW18" s="87">
        <f t="shared" si="60"/>
        <v>-0.31880958753458377</v>
      </c>
      <c r="DX18" s="87">
        <f t="shared" si="60"/>
        <v>-0.9744874970348214</v>
      </c>
      <c r="DY18" s="87">
        <f t="shared" si="60"/>
        <v>-0.87396161435033048</v>
      </c>
      <c r="DZ18" s="87">
        <f t="shared" si="60"/>
        <v>-0.41578306724397046</v>
      </c>
      <c r="EA18" s="87">
        <f t="shared" si="60"/>
        <v>0.42271552362145054</v>
      </c>
      <c r="EB18" s="87">
        <f>COS(EB11)</f>
        <v>0.64108539154315658</v>
      </c>
      <c r="EC18" s="87">
        <f>COS(EC11)</f>
        <v>0.9287669672803518</v>
      </c>
      <c r="ED18">
        <f t="shared" si="5"/>
        <v>0.39272606439409019</v>
      </c>
      <c r="EF18" t="str">
        <f t="shared" si="17"/>
        <v>path_x ref</v>
      </c>
      <c r="EH18">
        <f>COS(EH11)</f>
        <v>-0.87330464009351561</v>
      </c>
      <c r="EI18">
        <f t="shared" ref="EI18:GT18" si="61">COS(EI11)</f>
        <v>-0.87330464009351561</v>
      </c>
      <c r="EJ18">
        <f t="shared" si="61"/>
        <v>-0.87330464009351561</v>
      </c>
      <c r="EK18">
        <f t="shared" si="61"/>
        <v>-0.87330464009351561</v>
      </c>
      <c r="EL18">
        <f t="shared" si="61"/>
        <v>-0.87330464009351561</v>
      </c>
      <c r="EM18">
        <f t="shared" si="61"/>
        <v>-0.87330464009351561</v>
      </c>
      <c r="EN18">
        <f t="shared" si="61"/>
        <v>-0.87330464009351561</v>
      </c>
      <c r="EO18">
        <f t="shared" si="61"/>
        <v>-0.87330464009351561</v>
      </c>
      <c r="EP18">
        <f t="shared" si="61"/>
        <v>-0.87330464009351561</v>
      </c>
      <c r="EQ18">
        <f t="shared" si="61"/>
        <v>-0.87330464009351561</v>
      </c>
      <c r="ER18">
        <f t="shared" si="61"/>
        <v>-0.87330464009351561</v>
      </c>
      <c r="ES18">
        <f t="shared" si="61"/>
        <v>-0.87330464009351561</v>
      </c>
      <c r="ET18">
        <f t="shared" si="61"/>
        <v>-0.87330464009351561</v>
      </c>
      <c r="EU18">
        <f t="shared" si="61"/>
        <v>-0.87330464009351561</v>
      </c>
      <c r="EV18">
        <f t="shared" si="61"/>
        <v>-4.4227620661838919E-2</v>
      </c>
      <c r="EW18">
        <f t="shared" si="61"/>
        <v>-4.4227620661838919E-2</v>
      </c>
      <c r="EX18">
        <f t="shared" si="61"/>
        <v>-4.4227620661838919E-2</v>
      </c>
      <c r="EY18">
        <f t="shared" si="61"/>
        <v>-4.4227620661838919E-2</v>
      </c>
      <c r="EZ18">
        <f t="shared" si="61"/>
        <v>-4.4227620661838919E-2</v>
      </c>
      <c r="FA18">
        <f t="shared" si="61"/>
        <v>-4.4227620661838919E-2</v>
      </c>
      <c r="FB18">
        <f t="shared" si="61"/>
        <v>-4.4227620661838919E-2</v>
      </c>
      <c r="FC18">
        <f t="shared" si="61"/>
        <v>-4.4227620661838919E-2</v>
      </c>
      <c r="FD18">
        <f t="shared" si="61"/>
        <v>-4.4227620661838919E-2</v>
      </c>
      <c r="FE18">
        <f t="shared" si="61"/>
        <v>-4.4227620661838919E-2</v>
      </c>
      <c r="FF18">
        <f t="shared" si="61"/>
        <v>-4.4227620661838919E-2</v>
      </c>
      <c r="FG18">
        <f t="shared" si="61"/>
        <v>-4.4227620661838919E-2</v>
      </c>
      <c r="FH18">
        <f t="shared" si="61"/>
        <v>-4.4227620661838919E-2</v>
      </c>
      <c r="FI18">
        <f t="shared" si="61"/>
        <v>-4.4227620661838919E-2</v>
      </c>
      <c r="FJ18">
        <f t="shared" si="61"/>
        <v>-4.4227620661838919E-2</v>
      </c>
      <c r="FK18">
        <f t="shared" si="61"/>
        <v>-4.4227620661838919E-2</v>
      </c>
      <c r="FL18">
        <f t="shared" si="61"/>
        <v>0.82683715680000891</v>
      </c>
      <c r="FM18">
        <f t="shared" si="61"/>
        <v>0.82683715680000891</v>
      </c>
      <c r="FN18">
        <f t="shared" si="61"/>
        <v>0.82683715680000891</v>
      </c>
      <c r="FO18">
        <f t="shared" si="61"/>
        <v>0.82683715680000891</v>
      </c>
      <c r="FP18">
        <f t="shared" si="61"/>
        <v>0.82683715680000891</v>
      </c>
      <c r="FQ18">
        <f t="shared" si="61"/>
        <v>0.82683715680000891</v>
      </c>
      <c r="FR18">
        <f t="shared" si="61"/>
        <v>0.82683715680000891</v>
      </c>
      <c r="FS18">
        <f t="shared" si="61"/>
        <v>0.82683715680000891</v>
      </c>
      <c r="FT18">
        <f t="shared" si="61"/>
        <v>0.82683715680000891</v>
      </c>
      <c r="FU18">
        <f t="shared" si="61"/>
        <v>0.82683715680000891</v>
      </c>
      <c r="FV18">
        <f t="shared" si="61"/>
        <v>0.82683715680000891</v>
      </c>
      <c r="FW18">
        <f t="shared" si="61"/>
        <v>0.82683715680000891</v>
      </c>
      <c r="FX18">
        <f t="shared" si="61"/>
        <v>0.82683715680000891</v>
      </c>
      <c r="FY18">
        <f t="shared" si="61"/>
        <v>0.82683715680000891</v>
      </c>
      <c r="FZ18">
        <f t="shared" si="61"/>
        <v>0.82683715680000891</v>
      </c>
      <c r="GA18">
        <f t="shared" si="61"/>
        <v>0.82683715680000891</v>
      </c>
      <c r="GB18">
        <f t="shared" si="61"/>
        <v>0.82683715680000891</v>
      </c>
      <c r="GC18">
        <f t="shared" si="61"/>
        <v>0.91293909993899436</v>
      </c>
      <c r="GD18">
        <f t="shared" si="61"/>
        <v>0.91293909993899436</v>
      </c>
      <c r="GE18">
        <f t="shared" si="61"/>
        <v>0.91293909993899436</v>
      </c>
      <c r="GF18">
        <f t="shared" si="61"/>
        <v>0.91293909993899436</v>
      </c>
      <c r="GG18">
        <f t="shared" si="61"/>
        <v>0.91293909993899436</v>
      </c>
      <c r="GH18">
        <f t="shared" si="61"/>
        <v>0.91293909993899436</v>
      </c>
      <c r="GI18">
        <f t="shared" si="61"/>
        <v>0.91293909993899436</v>
      </c>
      <c r="GJ18">
        <f t="shared" si="61"/>
        <v>0.91293909993899436</v>
      </c>
      <c r="GK18">
        <f t="shared" si="61"/>
        <v>0.91293909993899436</v>
      </c>
      <c r="GL18">
        <f t="shared" si="61"/>
        <v>0.91293909993899436</v>
      </c>
      <c r="GM18">
        <f t="shared" si="61"/>
        <v>0.13233681049883225</v>
      </c>
      <c r="GN18">
        <f t="shared" si="61"/>
        <v>0.13233681049883225</v>
      </c>
      <c r="GO18">
        <f t="shared" si="61"/>
        <v>0.13233681049883225</v>
      </c>
      <c r="GP18">
        <f t="shared" si="61"/>
        <v>0.13233681049883225</v>
      </c>
      <c r="GQ18">
        <f t="shared" si="61"/>
        <v>0.13233681049883225</v>
      </c>
      <c r="GR18">
        <f t="shared" si="61"/>
        <v>0.13233681049883225</v>
      </c>
      <c r="GS18">
        <f t="shared" si="61"/>
        <v>0.13233681049883225</v>
      </c>
      <c r="GT18">
        <f t="shared" si="61"/>
        <v>0.13233681049883225</v>
      </c>
      <c r="GU18">
        <f t="shared" ref="GU18:IB18" si="62">COS(GU11)</f>
        <v>0.13233681049883225</v>
      </c>
      <c r="GV18">
        <f t="shared" si="62"/>
        <v>0.13233681049883225</v>
      </c>
      <c r="GW18">
        <f t="shared" si="62"/>
        <v>0.13233681049883225</v>
      </c>
      <c r="GX18">
        <f t="shared" si="62"/>
        <v>0.13233681049883225</v>
      </c>
      <c r="GY18">
        <f t="shared" si="62"/>
        <v>-0.77390022696891125</v>
      </c>
      <c r="GZ18">
        <f t="shared" si="62"/>
        <v>-0.77390022696891125</v>
      </c>
      <c r="HA18">
        <f t="shared" si="62"/>
        <v>-0.77390022696891125</v>
      </c>
      <c r="HB18">
        <f t="shared" si="62"/>
        <v>-0.77390022696891125</v>
      </c>
      <c r="HC18">
        <f t="shared" si="62"/>
        <v>-0.77390022696891125</v>
      </c>
      <c r="HD18">
        <f t="shared" si="62"/>
        <v>-0.77390022696891125</v>
      </c>
      <c r="HE18">
        <f t="shared" si="62"/>
        <v>-0.77390022696891125</v>
      </c>
      <c r="HF18">
        <f t="shared" si="62"/>
        <v>-0.77390022696891125</v>
      </c>
      <c r="HG18">
        <f t="shared" si="62"/>
        <v>-0.77390022696891125</v>
      </c>
      <c r="HH18">
        <f t="shared" si="62"/>
        <v>-0.77390022696891125</v>
      </c>
      <c r="HI18">
        <f t="shared" si="62"/>
        <v>-0.77390022696891125</v>
      </c>
      <c r="HJ18">
        <f t="shared" si="62"/>
        <v>-0.94543042325443394</v>
      </c>
      <c r="HK18">
        <f t="shared" si="62"/>
        <v>-0.94543042325443394</v>
      </c>
      <c r="HL18">
        <f t="shared" si="62"/>
        <v>-0.94543042325443394</v>
      </c>
      <c r="HM18">
        <f t="shared" si="62"/>
        <v>-0.94543042325443394</v>
      </c>
      <c r="HN18">
        <f t="shared" si="62"/>
        <v>-0.94543042325443394</v>
      </c>
      <c r="HO18">
        <f t="shared" si="62"/>
        <v>-0.94543042325443394</v>
      </c>
      <c r="HP18">
        <f t="shared" si="62"/>
        <v>-0.94543042325443394</v>
      </c>
      <c r="HQ18">
        <f t="shared" si="62"/>
        <v>-0.94543042325443394</v>
      </c>
      <c r="HR18">
        <f t="shared" si="62"/>
        <v>-0.21941055349670321</v>
      </c>
      <c r="HS18">
        <f t="shared" si="62"/>
        <v>-0.21941055349670321</v>
      </c>
      <c r="HT18">
        <f t="shared" si="62"/>
        <v>-0.21941055349670321</v>
      </c>
      <c r="HU18">
        <f t="shared" si="62"/>
        <v>-0.21941055349670321</v>
      </c>
      <c r="HV18">
        <f t="shared" si="62"/>
        <v>-0.21941055349670321</v>
      </c>
      <c r="HW18">
        <f t="shared" si="62"/>
        <v>-0.21941055349670321</v>
      </c>
      <c r="HX18">
        <f t="shared" si="62"/>
        <v>-0.21941055349670321</v>
      </c>
      <c r="HY18">
        <f t="shared" si="62"/>
        <v>-0.21941055349670321</v>
      </c>
      <c r="HZ18">
        <f t="shared" si="62"/>
        <v>-0.21941055349670321</v>
      </c>
      <c r="IA18">
        <f t="shared" si="62"/>
        <v>-0.21941055349670321</v>
      </c>
      <c r="IB18">
        <f t="shared" si="62"/>
        <v>-0.21941055349670321</v>
      </c>
    </row>
    <row r="19" spans="1:236">
      <c r="A19">
        <v>430</v>
      </c>
      <c r="B19" s="90">
        <f>'Color metric'!B13</f>
        <v>0.14048172445388457</v>
      </c>
      <c r="C19" s="82">
        <f>Reference!N19</f>
        <v>1.6602393218309035</v>
      </c>
      <c r="D19" s="82"/>
      <c r="E19" s="102"/>
      <c r="F19" s="95"/>
      <c r="G19" s="97"/>
      <c r="H19" s="97"/>
      <c r="I19" s="97"/>
      <c r="J19" s="97"/>
      <c r="K19" s="97"/>
      <c r="L19" s="97"/>
      <c r="M19" s="97"/>
      <c r="N19" s="97"/>
      <c r="O19" s="97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  <c r="BM19" s="103"/>
      <c r="BN19" s="103"/>
      <c r="BO19" s="103"/>
      <c r="BP19" s="103"/>
      <c r="BQ19" s="103"/>
      <c r="BR19" s="103"/>
      <c r="BS19" s="103"/>
      <c r="BT19" s="103"/>
      <c r="BU19" s="103"/>
      <c r="BV19" s="103"/>
      <c r="BW19" s="103"/>
      <c r="BX19" s="103"/>
      <c r="BY19" s="103"/>
      <c r="BZ19" s="103"/>
      <c r="CA19" s="103"/>
      <c r="CB19" s="103"/>
      <c r="CC19" s="103"/>
      <c r="CD19" s="103"/>
      <c r="CE19" s="103"/>
      <c r="CF19" s="103"/>
      <c r="CG19" s="103"/>
      <c r="CH19" s="103"/>
      <c r="CI19" s="103"/>
      <c r="CJ19" s="103"/>
      <c r="CK19" s="103"/>
      <c r="CL19" s="103"/>
      <c r="CM19" s="103"/>
      <c r="CN19" s="103"/>
      <c r="CO19" s="103"/>
      <c r="CP19" s="103"/>
      <c r="CQ19" s="103"/>
      <c r="CR19" s="103"/>
      <c r="CS19" s="103"/>
      <c r="CT19" s="103"/>
      <c r="CU19" s="103"/>
      <c r="CV19" s="103"/>
      <c r="CW19" s="103"/>
      <c r="CX19" s="103"/>
      <c r="CY19" s="103"/>
      <c r="CZ19" s="103"/>
      <c r="DA19" s="103"/>
      <c r="DC19">
        <v>15</v>
      </c>
      <c r="DD19" s="84">
        <v>71.60526260569614</v>
      </c>
      <c r="DE19" s="84">
        <v>12.510388769156039</v>
      </c>
      <c r="DF19" s="84">
        <v>10.58864365912685</v>
      </c>
      <c r="DG19" s="84">
        <v>71.23648202688085</v>
      </c>
      <c r="DH19" s="84">
        <v>10.998111863764487</v>
      </c>
      <c r="DI19" s="84">
        <v>10.175252756873853</v>
      </c>
      <c r="DJ19" s="84">
        <v>1.6105504003158475</v>
      </c>
      <c r="DK19" s="84">
        <f t="shared" si="0"/>
        <v>2.5938725919575365</v>
      </c>
      <c r="DL19" s="84">
        <f t="shared" si="1"/>
        <v>0.70239340490435176</v>
      </c>
      <c r="DM19" s="84">
        <f t="shared" si="2"/>
        <v>40.244177658842894</v>
      </c>
      <c r="DN19" s="85">
        <v>2</v>
      </c>
      <c r="DO19">
        <v>2</v>
      </c>
      <c r="DP19">
        <f t="shared" si="3"/>
        <v>67.5</v>
      </c>
      <c r="DQ19" s="270">
        <v>7.6536686473017967</v>
      </c>
      <c r="DR19" s="270">
        <v>18.477590650225736</v>
      </c>
      <c r="DT19" t="s">
        <v>91</v>
      </c>
      <c r="DU19" s="87">
        <f>SIN(DU11)</f>
        <v>0.37066416132242669</v>
      </c>
      <c r="DV19" s="87">
        <f t="shared" ref="DV19:EB19" si="63">SIN(DV11)</f>
        <v>0.9196554998180182</v>
      </c>
      <c r="DW19" s="87">
        <f t="shared" si="63"/>
        <v>0.94781878378518569</v>
      </c>
      <c r="DX19" s="87">
        <f t="shared" si="63"/>
        <v>0.22444179228211694</v>
      </c>
      <c r="DY19" s="87">
        <f t="shared" si="63"/>
        <v>-0.48599495536699172</v>
      </c>
      <c r="DZ19" s="87">
        <f t="shared" si="63"/>
        <v>-0.90946382060706299</v>
      </c>
      <c r="EA19" s="87">
        <f t="shared" si="63"/>
        <v>-0.90626242672276935</v>
      </c>
      <c r="EB19" s="87">
        <f t="shared" si="63"/>
        <v>-0.76746955688806162</v>
      </c>
      <c r="EC19" s="87">
        <f>SIN(EC11)</f>
        <v>0.37066416132242669</v>
      </c>
      <c r="ED19">
        <f t="shared" si="5"/>
        <v>0.9196554998180182</v>
      </c>
      <c r="EF19" t="str">
        <f t="shared" si="17"/>
        <v>path_y ref</v>
      </c>
      <c r="EH19">
        <f>SIN(EH11)</f>
        <v>-0.48717451246050952</v>
      </c>
      <c r="EI19">
        <f t="shared" ref="EI19:GT19" si="64">SIN(EI11)</f>
        <v>-0.48717451246050952</v>
      </c>
      <c r="EJ19">
        <f t="shared" si="64"/>
        <v>-0.48717451246050952</v>
      </c>
      <c r="EK19">
        <f t="shared" si="64"/>
        <v>-0.48717451246050952</v>
      </c>
      <c r="EL19">
        <f t="shared" si="64"/>
        <v>-0.48717451246050952</v>
      </c>
      <c r="EM19">
        <f t="shared" si="64"/>
        <v>-0.48717451246050952</v>
      </c>
      <c r="EN19">
        <f t="shared" si="64"/>
        <v>-0.48717451246050952</v>
      </c>
      <c r="EO19">
        <f t="shared" si="64"/>
        <v>-0.48717451246050952</v>
      </c>
      <c r="EP19">
        <f t="shared" si="64"/>
        <v>-0.48717451246050952</v>
      </c>
      <c r="EQ19">
        <f t="shared" si="64"/>
        <v>-0.48717451246050952</v>
      </c>
      <c r="ER19">
        <f t="shared" si="64"/>
        <v>-0.48717451246050952</v>
      </c>
      <c r="ES19">
        <f t="shared" si="64"/>
        <v>-0.48717451246050952</v>
      </c>
      <c r="ET19">
        <f t="shared" si="64"/>
        <v>-0.48717451246050952</v>
      </c>
      <c r="EU19">
        <f t="shared" si="64"/>
        <v>-0.48717451246050952</v>
      </c>
      <c r="EV19">
        <f t="shared" si="64"/>
        <v>-0.99902148003463498</v>
      </c>
      <c r="EW19">
        <f t="shared" si="64"/>
        <v>-0.99902148003463498</v>
      </c>
      <c r="EX19">
        <f t="shared" si="64"/>
        <v>-0.99902148003463498</v>
      </c>
      <c r="EY19">
        <f t="shared" si="64"/>
        <v>-0.99902148003463498</v>
      </c>
      <c r="EZ19">
        <f t="shared" si="64"/>
        <v>-0.99902148003463498</v>
      </c>
      <c r="FA19">
        <f t="shared" si="64"/>
        <v>-0.99902148003463498</v>
      </c>
      <c r="FB19">
        <f t="shared" si="64"/>
        <v>-0.99902148003463498</v>
      </c>
      <c r="FC19">
        <f t="shared" si="64"/>
        <v>-0.99902148003463498</v>
      </c>
      <c r="FD19">
        <f t="shared" si="64"/>
        <v>-0.99902148003463498</v>
      </c>
      <c r="FE19">
        <f t="shared" si="64"/>
        <v>-0.99902148003463498</v>
      </c>
      <c r="FF19">
        <f t="shared" si="64"/>
        <v>-0.99902148003463498</v>
      </c>
      <c r="FG19">
        <f t="shared" si="64"/>
        <v>-0.99902148003463498</v>
      </c>
      <c r="FH19">
        <f t="shared" si="64"/>
        <v>-0.99902148003463498</v>
      </c>
      <c r="FI19">
        <f t="shared" si="64"/>
        <v>-0.99902148003463498</v>
      </c>
      <c r="FJ19">
        <f t="shared" si="64"/>
        <v>-0.99902148003463498</v>
      </c>
      <c r="FK19">
        <f t="shared" si="64"/>
        <v>-0.99902148003463498</v>
      </c>
      <c r="FL19">
        <f t="shared" si="64"/>
        <v>-0.562441389066343</v>
      </c>
      <c r="FM19">
        <f t="shared" si="64"/>
        <v>-0.562441389066343</v>
      </c>
      <c r="FN19">
        <f t="shared" si="64"/>
        <v>-0.562441389066343</v>
      </c>
      <c r="FO19">
        <f t="shared" si="64"/>
        <v>-0.562441389066343</v>
      </c>
      <c r="FP19">
        <f t="shared" si="64"/>
        <v>-0.562441389066343</v>
      </c>
      <c r="FQ19">
        <f t="shared" si="64"/>
        <v>-0.562441389066343</v>
      </c>
      <c r="FR19">
        <f t="shared" si="64"/>
        <v>-0.562441389066343</v>
      </c>
      <c r="FS19">
        <f t="shared" si="64"/>
        <v>-0.562441389066343</v>
      </c>
      <c r="FT19">
        <f t="shared" si="64"/>
        <v>-0.562441389066343</v>
      </c>
      <c r="FU19">
        <f t="shared" si="64"/>
        <v>-0.562441389066343</v>
      </c>
      <c r="FV19">
        <f t="shared" si="64"/>
        <v>-0.562441389066343</v>
      </c>
      <c r="FW19">
        <f t="shared" si="64"/>
        <v>-0.562441389066343</v>
      </c>
      <c r="FX19">
        <f t="shared" si="64"/>
        <v>-0.562441389066343</v>
      </c>
      <c r="FY19">
        <f t="shared" si="64"/>
        <v>-0.562441389066343</v>
      </c>
      <c r="FZ19">
        <f t="shared" si="64"/>
        <v>-0.562441389066343</v>
      </c>
      <c r="GA19">
        <f t="shared" si="64"/>
        <v>-0.562441389066343</v>
      </c>
      <c r="GB19">
        <f t="shared" si="64"/>
        <v>-0.562441389066343</v>
      </c>
      <c r="GC19">
        <f t="shared" si="64"/>
        <v>0.40809582183915932</v>
      </c>
      <c r="GD19">
        <f t="shared" si="64"/>
        <v>0.40809582183915932</v>
      </c>
      <c r="GE19">
        <f t="shared" si="64"/>
        <v>0.40809582183915932</v>
      </c>
      <c r="GF19">
        <f t="shared" si="64"/>
        <v>0.40809582183915932</v>
      </c>
      <c r="GG19">
        <f t="shared" si="64"/>
        <v>0.40809582183915932</v>
      </c>
      <c r="GH19">
        <f t="shared" si="64"/>
        <v>0.40809582183915932</v>
      </c>
      <c r="GI19">
        <f t="shared" si="64"/>
        <v>0.40809582183915932</v>
      </c>
      <c r="GJ19">
        <f t="shared" si="64"/>
        <v>0.40809582183915932</v>
      </c>
      <c r="GK19">
        <f t="shared" si="64"/>
        <v>0.40809582183915932</v>
      </c>
      <c r="GL19">
        <f t="shared" si="64"/>
        <v>0.40809582183915932</v>
      </c>
      <c r="GM19">
        <f t="shared" si="64"/>
        <v>0.99120480657984911</v>
      </c>
      <c r="GN19">
        <f t="shared" si="64"/>
        <v>0.99120480657984911</v>
      </c>
      <c r="GO19">
        <f t="shared" si="64"/>
        <v>0.99120480657984911</v>
      </c>
      <c r="GP19">
        <f t="shared" si="64"/>
        <v>0.99120480657984911</v>
      </c>
      <c r="GQ19">
        <f t="shared" si="64"/>
        <v>0.99120480657984911</v>
      </c>
      <c r="GR19">
        <f t="shared" si="64"/>
        <v>0.99120480657984911</v>
      </c>
      <c r="GS19">
        <f t="shared" si="64"/>
        <v>0.99120480657984911</v>
      </c>
      <c r="GT19">
        <f t="shared" si="64"/>
        <v>0.99120480657984911</v>
      </c>
      <c r="GU19">
        <f t="shared" ref="GU19:IB19" si="65">SIN(GU11)</f>
        <v>0.99120480657984911</v>
      </c>
      <c r="GV19">
        <f t="shared" si="65"/>
        <v>0.99120480657984911</v>
      </c>
      <c r="GW19">
        <f t="shared" si="65"/>
        <v>0.99120480657984911</v>
      </c>
      <c r="GX19">
        <f t="shared" si="65"/>
        <v>0.99120480657984911</v>
      </c>
      <c r="GY19">
        <f t="shared" si="65"/>
        <v>0.63330753879727952</v>
      </c>
      <c r="GZ19">
        <f t="shared" si="65"/>
        <v>0.63330753879727952</v>
      </c>
      <c r="HA19">
        <f t="shared" si="65"/>
        <v>0.63330753879727952</v>
      </c>
      <c r="HB19">
        <f t="shared" si="65"/>
        <v>0.63330753879727952</v>
      </c>
      <c r="HC19">
        <f t="shared" si="65"/>
        <v>0.63330753879727952</v>
      </c>
      <c r="HD19">
        <f t="shared" si="65"/>
        <v>0.63330753879727952</v>
      </c>
      <c r="HE19">
        <f t="shared" si="65"/>
        <v>0.63330753879727952</v>
      </c>
      <c r="HF19">
        <f t="shared" si="65"/>
        <v>0.63330753879727952</v>
      </c>
      <c r="HG19">
        <f t="shared" si="65"/>
        <v>0.63330753879727952</v>
      </c>
      <c r="HH19">
        <f t="shared" si="65"/>
        <v>0.63330753879727952</v>
      </c>
      <c r="HI19">
        <f t="shared" si="65"/>
        <v>0.63330753879727952</v>
      </c>
      <c r="HJ19">
        <f t="shared" si="65"/>
        <v>-0.32582405495135236</v>
      </c>
      <c r="HK19">
        <f t="shared" si="65"/>
        <v>-0.32582405495135236</v>
      </c>
      <c r="HL19">
        <f t="shared" si="65"/>
        <v>-0.32582405495135236</v>
      </c>
      <c r="HM19">
        <f t="shared" si="65"/>
        <v>-0.32582405495135236</v>
      </c>
      <c r="HN19">
        <f t="shared" si="65"/>
        <v>-0.32582405495135236</v>
      </c>
      <c r="HO19">
        <f t="shared" si="65"/>
        <v>-0.32582405495135236</v>
      </c>
      <c r="HP19">
        <f t="shared" si="65"/>
        <v>-0.32582405495135236</v>
      </c>
      <c r="HQ19">
        <f t="shared" si="65"/>
        <v>-0.32582405495135236</v>
      </c>
      <c r="HR19">
        <f t="shared" si="65"/>
        <v>-0.97563261990068284</v>
      </c>
      <c r="HS19">
        <f t="shared" si="65"/>
        <v>-0.97563261990068284</v>
      </c>
      <c r="HT19">
        <f t="shared" si="65"/>
        <v>-0.97563261990068284</v>
      </c>
      <c r="HU19">
        <f t="shared" si="65"/>
        <v>-0.97563261990068284</v>
      </c>
      <c r="HV19">
        <f t="shared" si="65"/>
        <v>-0.97563261990068284</v>
      </c>
      <c r="HW19">
        <f t="shared" si="65"/>
        <v>-0.97563261990068284</v>
      </c>
      <c r="HX19">
        <f t="shared" si="65"/>
        <v>-0.97563261990068284</v>
      </c>
      <c r="HY19">
        <f t="shared" si="65"/>
        <v>-0.97563261990068284</v>
      </c>
      <c r="HZ19">
        <f t="shared" si="65"/>
        <v>-0.97563261990068284</v>
      </c>
      <c r="IA19">
        <f t="shared" si="65"/>
        <v>-0.97563261990068284</v>
      </c>
      <c r="IB19">
        <f t="shared" si="65"/>
        <v>-0.97563261990068284</v>
      </c>
    </row>
    <row r="20" spans="1:236">
      <c r="A20">
        <v>435</v>
      </c>
      <c r="B20" s="90">
        <f>'Color metric'!B14</f>
        <v>0.22511129351896264</v>
      </c>
      <c r="C20" s="82">
        <f>Reference!N20</f>
        <v>1.7614614507700854</v>
      </c>
      <c r="D20" s="82"/>
      <c r="E20" s="104" t="s">
        <v>29</v>
      </c>
      <c r="F20" s="105" t="s">
        <v>424</v>
      </c>
      <c r="G20" s="78" t="s">
        <v>325</v>
      </c>
      <c r="H20" s="78" t="s">
        <v>326</v>
      </c>
      <c r="I20" s="78" t="s">
        <v>327</v>
      </c>
      <c r="J20" s="78" t="s">
        <v>328</v>
      </c>
      <c r="K20" s="78" t="s">
        <v>329</v>
      </c>
      <c r="L20" s="78" t="s">
        <v>330</v>
      </c>
      <c r="M20" s="78" t="s">
        <v>331</v>
      </c>
      <c r="N20" s="78" t="s">
        <v>332</v>
      </c>
      <c r="O20" s="78" t="s">
        <v>333</v>
      </c>
      <c r="P20" s="78" t="s">
        <v>334</v>
      </c>
      <c r="Q20" s="78" t="s">
        <v>335</v>
      </c>
      <c r="R20" s="78" t="s">
        <v>336</v>
      </c>
      <c r="S20" s="78" t="s">
        <v>337</v>
      </c>
      <c r="T20" s="78" t="s">
        <v>338</v>
      </c>
      <c r="U20" s="78" t="s">
        <v>339</v>
      </c>
      <c r="V20" s="78" t="s">
        <v>340</v>
      </c>
      <c r="W20" s="78" t="s">
        <v>341</v>
      </c>
      <c r="X20" s="78" t="s">
        <v>342</v>
      </c>
      <c r="Y20" s="78" t="s">
        <v>343</v>
      </c>
      <c r="Z20" s="78" t="s">
        <v>344</v>
      </c>
      <c r="AA20" s="78" t="s">
        <v>345</v>
      </c>
      <c r="AB20" s="78" t="s">
        <v>346</v>
      </c>
      <c r="AC20" s="78" t="s">
        <v>347</v>
      </c>
      <c r="AD20" s="78" t="s">
        <v>348</v>
      </c>
      <c r="AE20" s="78" t="s">
        <v>349</v>
      </c>
      <c r="AF20" s="78" t="s">
        <v>350</v>
      </c>
      <c r="AG20" s="78" t="s">
        <v>351</v>
      </c>
      <c r="AH20" s="78" t="s">
        <v>352</v>
      </c>
      <c r="AI20" s="78" t="s">
        <v>353</v>
      </c>
      <c r="AJ20" s="78" t="s">
        <v>354</v>
      </c>
      <c r="AK20" s="78" t="s">
        <v>355</v>
      </c>
      <c r="AL20" s="78" t="s">
        <v>356</v>
      </c>
      <c r="AM20" s="78" t="s">
        <v>357</v>
      </c>
      <c r="AN20" s="78" t="s">
        <v>358</v>
      </c>
      <c r="AO20" s="78" t="s">
        <v>359</v>
      </c>
      <c r="AP20" s="78" t="s">
        <v>360</v>
      </c>
      <c r="AQ20" s="78" t="s">
        <v>361</v>
      </c>
      <c r="AR20" s="78" t="s">
        <v>362</v>
      </c>
      <c r="AS20" s="78" t="s">
        <v>363</v>
      </c>
      <c r="AT20" s="78" t="s">
        <v>364</v>
      </c>
      <c r="AU20" s="78" t="s">
        <v>365</v>
      </c>
      <c r="AV20" s="78" t="s">
        <v>366</v>
      </c>
      <c r="AW20" s="78" t="s">
        <v>367</v>
      </c>
      <c r="AX20" s="78" t="s">
        <v>368</v>
      </c>
      <c r="AY20" s="78" t="s">
        <v>369</v>
      </c>
      <c r="AZ20" s="78" t="s">
        <v>370</v>
      </c>
      <c r="BA20" s="78" t="s">
        <v>371</v>
      </c>
      <c r="BB20" s="78" t="s">
        <v>372</v>
      </c>
      <c r="BC20" s="78" t="s">
        <v>373</v>
      </c>
      <c r="BD20" s="78" t="s">
        <v>374</v>
      </c>
      <c r="BE20" s="78" t="s">
        <v>375</v>
      </c>
      <c r="BF20" s="78" t="s">
        <v>376</v>
      </c>
      <c r="BG20" s="78" t="s">
        <v>377</v>
      </c>
      <c r="BH20" s="78" t="s">
        <v>378</v>
      </c>
      <c r="BI20" s="78" t="s">
        <v>379</v>
      </c>
      <c r="BJ20" s="78" t="s">
        <v>380</v>
      </c>
      <c r="BK20" s="78" t="s">
        <v>381</v>
      </c>
      <c r="BL20" s="78" t="s">
        <v>382</v>
      </c>
      <c r="BM20" s="78" t="s">
        <v>383</v>
      </c>
      <c r="BN20" s="78" t="s">
        <v>384</v>
      </c>
      <c r="BO20" s="78" t="s">
        <v>385</v>
      </c>
      <c r="BP20" s="78" t="s">
        <v>386</v>
      </c>
      <c r="BQ20" s="78" t="s">
        <v>387</v>
      </c>
      <c r="BR20" s="78" t="s">
        <v>388</v>
      </c>
      <c r="BS20" s="78" t="s">
        <v>389</v>
      </c>
      <c r="BT20" s="78" t="s">
        <v>390</v>
      </c>
      <c r="BU20" s="78" t="s">
        <v>391</v>
      </c>
      <c r="BV20" s="78" t="s">
        <v>392</v>
      </c>
      <c r="BW20" s="78" t="s">
        <v>393</v>
      </c>
      <c r="BX20" s="78" t="s">
        <v>394</v>
      </c>
      <c r="BY20" s="78" t="s">
        <v>395</v>
      </c>
      <c r="BZ20" s="78" t="s">
        <v>396</v>
      </c>
      <c r="CA20" s="78" t="s">
        <v>397</v>
      </c>
      <c r="CB20" s="78" t="s">
        <v>398</v>
      </c>
      <c r="CC20" s="78" t="s">
        <v>399</v>
      </c>
      <c r="CD20" s="78" t="s">
        <v>400</v>
      </c>
      <c r="CE20" s="78" t="s">
        <v>401</v>
      </c>
      <c r="CF20" s="78" t="s">
        <v>402</v>
      </c>
      <c r="CG20" s="78" t="s">
        <v>403</v>
      </c>
      <c r="CH20" s="78" t="s">
        <v>404</v>
      </c>
      <c r="CI20" s="78" t="s">
        <v>405</v>
      </c>
      <c r="CJ20" s="78" t="s">
        <v>406</v>
      </c>
      <c r="CK20" s="78" t="s">
        <v>407</v>
      </c>
      <c r="CL20" s="78" t="s">
        <v>408</v>
      </c>
      <c r="CM20" s="78" t="s">
        <v>409</v>
      </c>
      <c r="CN20" s="78" t="s">
        <v>410</v>
      </c>
      <c r="CO20" s="78" t="s">
        <v>411</v>
      </c>
      <c r="CP20" s="78" t="s">
        <v>412</v>
      </c>
      <c r="CQ20" s="78" t="s">
        <v>413</v>
      </c>
      <c r="CR20" s="78" t="s">
        <v>414</v>
      </c>
      <c r="CS20" s="78" t="s">
        <v>415</v>
      </c>
      <c r="CT20" s="78" t="s">
        <v>416</v>
      </c>
      <c r="CU20" s="78" t="s">
        <v>417</v>
      </c>
      <c r="CV20" s="78" t="s">
        <v>418</v>
      </c>
      <c r="CW20" s="78" t="s">
        <v>419</v>
      </c>
      <c r="CX20" s="78" t="s">
        <v>420</v>
      </c>
      <c r="CY20" s="78" t="s">
        <v>421</v>
      </c>
      <c r="CZ20" s="78" t="s">
        <v>422</v>
      </c>
      <c r="DA20" s="78" t="s">
        <v>423</v>
      </c>
      <c r="DC20">
        <v>16</v>
      </c>
      <c r="DD20" s="84">
        <v>48.037963378482011</v>
      </c>
      <c r="DE20" s="84">
        <v>17.125411831906632</v>
      </c>
      <c r="DF20" s="84">
        <v>16.400926738979123</v>
      </c>
      <c r="DG20" s="84">
        <v>47.26596861449287</v>
      </c>
      <c r="DH20" s="84">
        <v>13.17699859353084</v>
      </c>
      <c r="DI20" s="84">
        <v>16.555120232474835</v>
      </c>
      <c r="DJ20" s="84">
        <v>4.0261294874909668</v>
      </c>
      <c r="DK20" s="84">
        <f t="shared" si="0"/>
        <v>16.209718650044273</v>
      </c>
      <c r="DL20" s="84">
        <f t="shared" si="1"/>
        <v>0.76379209530114167</v>
      </c>
      <c r="DM20" s="84">
        <f t="shared" si="2"/>
        <v>43.762063486209371</v>
      </c>
      <c r="DN20" s="85">
        <v>2</v>
      </c>
      <c r="DO20">
        <v>3</v>
      </c>
      <c r="DP20">
        <f t="shared" si="3"/>
        <v>67.5</v>
      </c>
      <c r="DQ20" s="270">
        <v>7.6536686473017967</v>
      </c>
      <c r="DR20" s="270">
        <v>18.477590650225736</v>
      </c>
      <c r="DT20" t="s">
        <v>92</v>
      </c>
      <c r="DU20" s="87">
        <f>DU18+DU16</f>
        <v>0.81297191612761144</v>
      </c>
      <c r="DV20" s="87">
        <f t="shared" ref="DV20:EC21" si="66">DV18+DV16</f>
        <v>0.26979151285115938</v>
      </c>
      <c r="DW20" s="87">
        <f t="shared" si="66"/>
        <v>-0.35520228932161751</v>
      </c>
      <c r="DX20" s="87">
        <f t="shared" si="66"/>
        <v>-0.88999639234799677</v>
      </c>
      <c r="DY20" s="87">
        <f t="shared" si="66"/>
        <v>-0.7235099090550644</v>
      </c>
      <c r="DZ20" s="87">
        <f t="shared" si="66"/>
        <v>-0.29665486534725782</v>
      </c>
      <c r="EA20" s="87">
        <f t="shared" si="66"/>
        <v>0.39256019519003399</v>
      </c>
      <c r="EB20" s="87">
        <f>EB18+EB16</f>
        <v>0.5576923851495772</v>
      </c>
      <c r="EC20" s="87">
        <f t="shared" si="66"/>
        <v>0.81297191612761144</v>
      </c>
      <c r="ED20">
        <f t="shared" si="5"/>
        <v>0.26979151285115938</v>
      </c>
      <c r="EF20" t="str">
        <f t="shared" si="17"/>
        <v>path_x test</v>
      </c>
      <c r="EH20">
        <f>EH22*EH16+EH18</f>
        <v>-0.96410868536000327</v>
      </c>
      <c r="EI20">
        <f t="shared" ref="EI20:GT20" si="67">EI22*EI16+EI18</f>
        <v>-0.96039273497709132</v>
      </c>
      <c r="EJ20">
        <f t="shared" si="67"/>
        <v>-0.98422540081039811</v>
      </c>
      <c r="EK20">
        <f t="shared" si="67"/>
        <v>-1.0105759321023025</v>
      </c>
      <c r="EL20">
        <f t="shared" si="67"/>
        <v>-1.009866655750614</v>
      </c>
      <c r="EM20">
        <f t="shared" si="67"/>
        <v>-1.0322941926397595</v>
      </c>
      <c r="EN20">
        <f t="shared" si="67"/>
        <v>-0.97710183288644059</v>
      </c>
      <c r="EO20">
        <f t="shared" si="67"/>
        <v>-1.0064401893356201</v>
      </c>
      <c r="EP20">
        <f t="shared" si="67"/>
        <v>-0.76601352350982688</v>
      </c>
      <c r="EQ20">
        <f t="shared" si="67"/>
        <v>-0.9729979016049084</v>
      </c>
      <c r="ER20">
        <f t="shared" si="67"/>
        <v>-0.99344141695185439</v>
      </c>
      <c r="ES20">
        <f t="shared" si="67"/>
        <v>-0.98639848990440238</v>
      </c>
      <c r="ET20">
        <f t="shared" si="67"/>
        <v>-0.97578840324135985</v>
      </c>
      <c r="EU20">
        <f t="shared" si="67"/>
        <v>-0.9927787397061909</v>
      </c>
      <c r="EV20">
        <f t="shared" si="67"/>
        <v>-0.13649638597775612</v>
      </c>
      <c r="EW20">
        <f t="shared" si="67"/>
        <v>-0.21074136764873241</v>
      </c>
      <c r="EX20">
        <f t="shared" si="67"/>
        <v>-0.20575790693077903</v>
      </c>
      <c r="EY20">
        <f t="shared" si="67"/>
        <v>-0.16229822781973771</v>
      </c>
      <c r="EZ20">
        <f t="shared" si="67"/>
        <v>-0.17164412069815629</v>
      </c>
      <c r="FA20">
        <f t="shared" si="67"/>
        <v>-0.17119193928077525</v>
      </c>
      <c r="FB20">
        <f t="shared" si="67"/>
        <v>-0.18065481317818308</v>
      </c>
      <c r="FC20">
        <f t="shared" si="67"/>
        <v>-0.16850021072716478</v>
      </c>
      <c r="FD20">
        <f t="shared" si="67"/>
        <v>-0.15849720586658711</v>
      </c>
      <c r="FE20">
        <f t="shared" si="67"/>
        <v>-0.16922989352668288</v>
      </c>
      <c r="FF20">
        <f t="shared" si="67"/>
        <v>-0.17716992065632695</v>
      </c>
      <c r="FG20">
        <f t="shared" si="67"/>
        <v>-0.15720554542202142</v>
      </c>
      <c r="FH20">
        <f t="shared" si="67"/>
        <v>-0.10716157685119151</v>
      </c>
      <c r="FI20">
        <f t="shared" si="67"/>
        <v>-0.15081485373310471</v>
      </c>
      <c r="FJ20">
        <f t="shared" si="67"/>
        <v>-0.13146866040813998</v>
      </c>
      <c r="FK20">
        <f t="shared" si="67"/>
        <v>-8.8026085811811039E-2</v>
      </c>
      <c r="FL20">
        <f t="shared" si="67"/>
        <v>0.75218897195846013</v>
      </c>
      <c r="FM20">
        <f t="shared" si="67"/>
        <v>0.71772180837644495</v>
      </c>
      <c r="FN20">
        <f t="shared" si="67"/>
        <v>0.76977936742673347</v>
      </c>
      <c r="FO20">
        <f t="shared" si="67"/>
        <v>0.73998683504537965</v>
      </c>
      <c r="FP20">
        <f t="shared" si="67"/>
        <v>0.74485454766405101</v>
      </c>
      <c r="FQ20">
        <f t="shared" si="67"/>
        <v>0.89131076594076741</v>
      </c>
      <c r="FR20">
        <f t="shared" si="67"/>
        <v>0.72386125113214139</v>
      </c>
      <c r="FS20">
        <f t="shared" si="67"/>
        <v>0.8315264642303517</v>
      </c>
      <c r="FT20">
        <f t="shared" si="67"/>
        <v>0.83163117307314949</v>
      </c>
      <c r="FU20">
        <f t="shared" si="67"/>
        <v>0.81112172223397694</v>
      </c>
      <c r="FV20">
        <f t="shared" si="67"/>
        <v>0.82516722404306186</v>
      </c>
      <c r="FW20">
        <f t="shared" si="67"/>
        <v>0.79198501428951851</v>
      </c>
      <c r="FX20">
        <f t="shared" si="67"/>
        <v>0.82611336120685797</v>
      </c>
      <c r="FY20">
        <f t="shared" si="67"/>
        <v>0.7919722932446519</v>
      </c>
      <c r="FZ20">
        <f t="shared" si="67"/>
        <v>0.84343415001088207</v>
      </c>
      <c r="GA20">
        <f t="shared" si="67"/>
        <v>0.87688752711041096</v>
      </c>
      <c r="GB20">
        <f t="shared" si="67"/>
        <v>0.84609425219212853</v>
      </c>
      <c r="GC20">
        <f t="shared" si="67"/>
        <v>0.99855660013837788</v>
      </c>
      <c r="GD20">
        <f t="shared" si="67"/>
        <v>0.97189161194936169</v>
      </c>
      <c r="GE20">
        <f t="shared" si="67"/>
        <v>0.98350500357581161</v>
      </c>
      <c r="GF20">
        <f t="shared" si="67"/>
        <v>0.99792261460484621</v>
      </c>
      <c r="GG20">
        <f t="shared" si="67"/>
        <v>0.98265781051174683</v>
      </c>
      <c r="GH20">
        <f t="shared" si="67"/>
        <v>0.98374536182075756</v>
      </c>
      <c r="GI20">
        <f t="shared" si="67"/>
        <v>1.007343141496331</v>
      </c>
      <c r="GJ20">
        <f t="shared" si="67"/>
        <v>1.0135474252198113</v>
      </c>
      <c r="GK20">
        <f t="shared" si="67"/>
        <v>1.0028023952513296</v>
      </c>
      <c r="GL20">
        <f t="shared" si="67"/>
        <v>1.0019528362128587</v>
      </c>
      <c r="GM20">
        <f t="shared" si="67"/>
        <v>0.21852193147778515</v>
      </c>
      <c r="GN20">
        <f t="shared" si="67"/>
        <v>0.23587825106927465</v>
      </c>
      <c r="GO20">
        <f t="shared" si="67"/>
        <v>0.27989665043289746</v>
      </c>
      <c r="GP20">
        <f t="shared" si="67"/>
        <v>0.25085004202420674</v>
      </c>
      <c r="GQ20">
        <f t="shared" si="67"/>
        <v>0.3328440526681325</v>
      </c>
      <c r="GR20">
        <f t="shared" si="67"/>
        <v>1.0448947046425336</v>
      </c>
      <c r="GS20">
        <f t="shared" si="67"/>
        <v>0.24558191169579785</v>
      </c>
      <c r="GT20">
        <f t="shared" si="67"/>
        <v>0.32423511387599901</v>
      </c>
      <c r="GU20">
        <f t="shared" ref="GU20:IB20" si="68">GU22*GU16+GU18</f>
        <v>0.27368130147883885</v>
      </c>
      <c r="GV20">
        <f t="shared" si="68"/>
        <v>0.27478734502223018</v>
      </c>
      <c r="GW20">
        <f t="shared" si="68"/>
        <v>0.28023101148192764</v>
      </c>
      <c r="GX20">
        <f t="shared" si="68"/>
        <v>0.32930883103291408</v>
      </c>
      <c r="GY20">
        <f t="shared" si="68"/>
        <v>-0.62644329166653634</v>
      </c>
      <c r="GZ20">
        <f t="shared" si="68"/>
        <v>-0.58678260796771253</v>
      </c>
      <c r="HA20">
        <f t="shared" si="68"/>
        <v>-0.61592515002750459</v>
      </c>
      <c r="HB20">
        <f t="shared" si="68"/>
        <v>-0.63786986208258667</v>
      </c>
      <c r="HC20">
        <f t="shared" si="68"/>
        <v>-0.76261184462581832</v>
      </c>
      <c r="HD20">
        <f t="shared" si="68"/>
        <v>-0.5988265091977959</v>
      </c>
      <c r="HE20">
        <f t="shared" si="68"/>
        <v>-0.65381406646330453</v>
      </c>
      <c r="HF20">
        <f t="shared" si="68"/>
        <v>-0.71579348058973957</v>
      </c>
      <c r="HG20">
        <f t="shared" si="68"/>
        <v>-0.66537164577061825</v>
      </c>
      <c r="HH20">
        <f t="shared" si="68"/>
        <v>-0.73330375263122538</v>
      </c>
      <c r="HI20">
        <f t="shared" si="68"/>
        <v>-0.73431849207657207</v>
      </c>
      <c r="HJ20">
        <f t="shared" si="68"/>
        <v>-0.99417204350212529</v>
      </c>
      <c r="HK20">
        <f t="shared" si="68"/>
        <v>-0.90405363005335371</v>
      </c>
      <c r="HL20">
        <f t="shared" si="68"/>
        <v>-0.93896845531017181</v>
      </c>
      <c r="HM20">
        <f t="shared" si="68"/>
        <v>-0.85611651210405793</v>
      </c>
      <c r="HN20">
        <f t="shared" si="68"/>
        <v>-1.0035930968076614</v>
      </c>
      <c r="HO20">
        <f t="shared" si="68"/>
        <v>-1.0447198396274693</v>
      </c>
      <c r="HP20">
        <f t="shared" si="68"/>
        <v>-0.95396400210688526</v>
      </c>
      <c r="HQ20">
        <f t="shared" si="68"/>
        <v>-0.97981904264692221</v>
      </c>
      <c r="HR20">
        <f t="shared" si="68"/>
        <v>-0.31555170692832096</v>
      </c>
      <c r="HS20">
        <f t="shared" si="68"/>
        <v>-0.26517560876173751</v>
      </c>
      <c r="HT20">
        <f t="shared" si="68"/>
        <v>-4.1641693015451176E-2</v>
      </c>
      <c r="HU20">
        <f t="shared" si="68"/>
        <v>-0.34075845760649226</v>
      </c>
      <c r="HV20">
        <f t="shared" si="68"/>
        <v>-0.31718169649794464</v>
      </c>
      <c r="HW20">
        <f t="shared" si="68"/>
        <v>-0.36365780454868635</v>
      </c>
      <c r="HX20">
        <f t="shared" si="68"/>
        <v>-0.29468973494159123</v>
      </c>
      <c r="HY20">
        <f t="shared" si="68"/>
        <v>-0.2986684066310567</v>
      </c>
      <c r="HZ20">
        <f t="shared" si="68"/>
        <v>-0.28165315737781549</v>
      </c>
      <c r="IA20">
        <f t="shared" si="68"/>
        <v>-0.28853932444315367</v>
      </c>
      <c r="IB20">
        <f t="shared" si="68"/>
        <v>-0.30108271718600083</v>
      </c>
    </row>
    <row r="21" spans="1:236">
      <c r="A21">
        <v>440</v>
      </c>
      <c r="B21" s="90">
        <f>'Color metric'!B15</f>
        <v>0.33740617451674543</v>
      </c>
      <c r="C21" s="82">
        <f>Reference!N21</f>
        <v>1.8651254718159076</v>
      </c>
      <c r="D21" s="82"/>
      <c r="E21" s="104" t="s">
        <v>93</v>
      </c>
      <c r="F21" s="105">
        <f t="shared" ref="F21:BQ21" si="69">F126</f>
        <v>100</v>
      </c>
      <c r="G21" s="105">
        <f t="shared" si="69"/>
        <v>85.937478178127435</v>
      </c>
      <c r="H21" s="105">
        <f t="shared" si="69"/>
        <v>62.757957047963032</v>
      </c>
      <c r="I21" s="105">
        <f t="shared" si="69"/>
        <v>31.822032915991539</v>
      </c>
      <c r="J21" s="105">
        <f t="shared" si="69"/>
        <v>69.679023897448232</v>
      </c>
      <c r="K21" s="105">
        <f t="shared" si="69"/>
        <v>50.81501288638448</v>
      </c>
      <c r="L21" s="105">
        <f t="shared" si="69"/>
        <v>51.185502306353548</v>
      </c>
      <c r="M21" s="105">
        <f t="shared" si="69"/>
        <v>43.310416625452994</v>
      </c>
      <c r="N21" s="105">
        <f t="shared" si="69"/>
        <v>42.449396644531888</v>
      </c>
      <c r="O21" s="105">
        <f t="shared" si="69"/>
        <v>29.032476996561218</v>
      </c>
      <c r="P21" s="105">
        <f t="shared" si="69"/>
        <v>75.226928809602541</v>
      </c>
      <c r="Q21" s="105">
        <f t="shared" si="69"/>
        <v>58.06412568352328</v>
      </c>
      <c r="R21" s="105">
        <f t="shared" si="69"/>
        <v>64.249219171244604</v>
      </c>
      <c r="S21" s="105">
        <f t="shared" si="69"/>
        <v>43.616401116794485</v>
      </c>
      <c r="T21" s="105">
        <f t="shared" si="69"/>
        <v>74.130334041920335</v>
      </c>
      <c r="U21" s="105">
        <f t="shared" si="69"/>
        <v>71.60526260569614</v>
      </c>
      <c r="V21" s="105">
        <f t="shared" si="69"/>
        <v>48.037963378482011</v>
      </c>
      <c r="W21" s="105">
        <f t="shared" si="69"/>
        <v>49.760147174571429</v>
      </c>
      <c r="X21" s="105">
        <f t="shared" si="69"/>
        <v>56.501070917098644</v>
      </c>
      <c r="Y21" s="105">
        <f t="shared" si="69"/>
        <v>71.224603670015583</v>
      </c>
      <c r="Z21" s="105">
        <f t="shared" si="69"/>
        <v>66.932841596611112</v>
      </c>
      <c r="AA21" s="105">
        <f t="shared" si="69"/>
        <v>85.750716060651854</v>
      </c>
      <c r="AB21" s="105">
        <f t="shared" si="69"/>
        <v>78.237700331948886</v>
      </c>
      <c r="AC21" s="105">
        <f t="shared" si="69"/>
        <v>91.408349960827891</v>
      </c>
      <c r="AD21" s="105">
        <f t="shared" si="69"/>
        <v>90.12634151366602</v>
      </c>
      <c r="AE21" s="105">
        <f t="shared" si="69"/>
        <v>71.118775510677807</v>
      </c>
      <c r="AF21" s="105">
        <f t="shared" si="69"/>
        <v>89.241662563073945</v>
      </c>
      <c r="AG21" s="105">
        <f t="shared" si="69"/>
        <v>73.298363425079927</v>
      </c>
      <c r="AH21" s="105">
        <f t="shared" si="69"/>
        <v>41.895964689762479</v>
      </c>
      <c r="AI21" s="105">
        <f t="shared" si="69"/>
        <v>86.449193813545108</v>
      </c>
      <c r="AJ21" s="105">
        <f t="shared" si="69"/>
        <v>64.427189156827154</v>
      </c>
      <c r="AK21" s="105">
        <f t="shared" si="69"/>
        <v>88.168397755622465</v>
      </c>
      <c r="AL21" s="105">
        <f t="shared" si="69"/>
        <v>74.983711284439408</v>
      </c>
      <c r="AM21" s="105">
        <f t="shared" si="69"/>
        <v>89.556662909113783</v>
      </c>
      <c r="AN21" s="105">
        <f t="shared" si="69"/>
        <v>61.927168097889258</v>
      </c>
      <c r="AO21" s="105">
        <f t="shared" si="69"/>
        <v>42.407420914159985</v>
      </c>
      <c r="AP21" s="105">
        <f t="shared" si="69"/>
        <v>80.723870978513489</v>
      </c>
      <c r="AQ21" s="105">
        <f t="shared" si="69"/>
        <v>47.964032476380432</v>
      </c>
      <c r="AR21" s="105">
        <f t="shared" si="69"/>
        <v>86.306482235348795</v>
      </c>
      <c r="AS21" s="105">
        <f t="shared" si="69"/>
        <v>35.445198444833046</v>
      </c>
      <c r="AT21" s="105">
        <f t="shared" si="69"/>
        <v>50.324797439332109</v>
      </c>
      <c r="AU21" s="105">
        <f t="shared" si="69"/>
        <v>88.284723581276054</v>
      </c>
      <c r="AV21" s="105">
        <f t="shared" si="69"/>
        <v>68.539763136454681</v>
      </c>
      <c r="AW21" s="105">
        <f t="shared" si="69"/>
        <v>72.318629817106597</v>
      </c>
      <c r="AX21" s="105">
        <f t="shared" si="69"/>
        <v>28.840005374702113</v>
      </c>
      <c r="AY21" s="105">
        <f t="shared" si="69"/>
        <v>58.431733715324668</v>
      </c>
      <c r="AZ21" s="105">
        <f t="shared" si="69"/>
        <v>66.671055663769891</v>
      </c>
      <c r="BA21" s="105">
        <f t="shared" si="69"/>
        <v>70.272039844022757</v>
      </c>
      <c r="BB21" s="105">
        <f t="shared" si="69"/>
        <v>77.581062703947211</v>
      </c>
      <c r="BC21" s="105">
        <f t="shared" si="69"/>
        <v>46.437341627509319</v>
      </c>
      <c r="BD21" s="105">
        <f t="shared" si="69"/>
        <v>54.893345558707672</v>
      </c>
      <c r="BE21" s="105">
        <f t="shared" si="69"/>
        <v>58.812247715158456</v>
      </c>
      <c r="BF21" s="105">
        <f t="shared" si="69"/>
        <v>41.448945897073578</v>
      </c>
      <c r="BG21" s="105">
        <f t="shared" si="69"/>
        <v>49.871617931903494</v>
      </c>
      <c r="BH21" s="105">
        <f t="shared" si="69"/>
        <v>87.16018301015761</v>
      </c>
      <c r="BI21" s="105">
        <f t="shared" si="69"/>
        <v>83.767421350539507</v>
      </c>
      <c r="BJ21" s="105">
        <f t="shared" si="69"/>
        <v>71.294857446490312</v>
      </c>
      <c r="BK21" s="105">
        <f t="shared" si="69"/>
        <v>57.843066492605203</v>
      </c>
      <c r="BL21" s="105">
        <f t="shared" si="69"/>
        <v>54.14256372994182</v>
      </c>
      <c r="BM21" s="105">
        <f t="shared" si="69"/>
        <v>87.011602249537845</v>
      </c>
      <c r="BN21" s="105">
        <f t="shared" si="69"/>
        <v>88.470635067075904</v>
      </c>
      <c r="BO21" s="105">
        <f t="shared" si="69"/>
        <v>77.076575358395232</v>
      </c>
      <c r="BP21" s="105">
        <f t="shared" si="69"/>
        <v>67.380060983030546</v>
      </c>
      <c r="BQ21" s="105">
        <f t="shared" si="69"/>
        <v>34.829484129015619</v>
      </c>
      <c r="BR21" s="105">
        <f t="shared" ref="BR21:DA21" si="70">BR126</f>
        <v>58.827980476313499</v>
      </c>
      <c r="BS21" s="105">
        <f t="shared" si="70"/>
        <v>40.306377935181608</v>
      </c>
      <c r="BT21" s="105">
        <f t="shared" si="70"/>
        <v>44.917153516653237</v>
      </c>
      <c r="BU21" s="105">
        <f t="shared" si="70"/>
        <v>48.166647096977165</v>
      </c>
      <c r="BV21" s="105">
        <f t="shared" si="70"/>
        <v>64.254095521930353</v>
      </c>
      <c r="BW21" s="105">
        <f t="shared" si="70"/>
        <v>53.715588317411253</v>
      </c>
      <c r="BX21" s="105">
        <f t="shared" si="70"/>
        <v>72.810008842669632</v>
      </c>
      <c r="BY21" s="105">
        <f t="shared" si="70"/>
        <v>35.490912482919299</v>
      </c>
      <c r="BZ21" s="105">
        <f t="shared" si="70"/>
        <v>76.959900579894153</v>
      </c>
      <c r="CA21" s="105">
        <f t="shared" si="70"/>
        <v>58.114651109346774</v>
      </c>
      <c r="CB21" s="105">
        <f t="shared" si="70"/>
        <v>28.498843798509444</v>
      </c>
      <c r="CC21" s="105">
        <f t="shared" si="70"/>
        <v>33.541731976245117</v>
      </c>
      <c r="CD21" s="105">
        <f t="shared" si="70"/>
        <v>48.740359888309655</v>
      </c>
      <c r="CE21" s="105">
        <f t="shared" si="70"/>
        <v>45.238496576982264</v>
      </c>
      <c r="CF21" s="105">
        <f t="shared" si="70"/>
        <v>44.904097888191664</v>
      </c>
      <c r="CG21" s="105">
        <f t="shared" si="70"/>
        <v>74.308775271117185</v>
      </c>
      <c r="CH21" s="105">
        <f t="shared" si="70"/>
        <v>66.528167165515285</v>
      </c>
      <c r="CI21" s="105">
        <f t="shared" si="70"/>
        <v>45.143651175723804</v>
      </c>
      <c r="CJ21" s="105">
        <f t="shared" si="70"/>
        <v>87.579391852526427</v>
      </c>
      <c r="CK21" s="105">
        <f t="shared" si="70"/>
        <v>73.490203525028392</v>
      </c>
      <c r="CL21" s="105">
        <f t="shared" si="70"/>
        <v>28.442837843051244</v>
      </c>
      <c r="CM21" s="105">
        <f t="shared" si="70"/>
        <v>41.9108165231237</v>
      </c>
      <c r="CN21" s="105">
        <f t="shared" si="70"/>
        <v>66.562195893728827</v>
      </c>
      <c r="CO21" s="105">
        <f t="shared" si="70"/>
        <v>40.500982801849794</v>
      </c>
      <c r="CP21" s="105">
        <f t="shared" si="70"/>
        <v>63.191470852439473</v>
      </c>
      <c r="CQ21" s="105">
        <f t="shared" si="70"/>
        <v>39.047918901869494</v>
      </c>
      <c r="CR21" s="105">
        <f t="shared" si="70"/>
        <v>44.650370705277233</v>
      </c>
      <c r="CS21" s="105">
        <f t="shared" si="70"/>
        <v>80.886790731561206</v>
      </c>
      <c r="CT21" s="105">
        <f t="shared" si="70"/>
        <v>57.294618060445956</v>
      </c>
      <c r="CU21" s="105">
        <f t="shared" si="70"/>
        <v>68.134180670252007</v>
      </c>
      <c r="CV21" s="105">
        <f t="shared" si="70"/>
        <v>40.513812927909846</v>
      </c>
      <c r="CW21" s="105">
        <f t="shared" si="70"/>
        <v>71.122574179994146</v>
      </c>
      <c r="CX21" s="105">
        <f t="shared" si="70"/>
        <v>79.03430449488782</v>
      </c>
      <c r="CY21" s="105">
        <f t="shared" si="70"/>
        <v>52.926072277780598</v>
      </c>
      <c r="CZ21" s="105">
        <f t="shared" si="70"/>
        <v>65.390243851062792</v>
      </c>
      <c r="DA21" s="105">
        <f t="shared" si="70"/>
        <v>53.823303561266364</v>
      </c>
      <c r="DC21">
        <v>17</v>
      </c>
      <c r="DD21" s="84">
        <v>49.760147174571429</v>
      </c>
      <c r="DE21" s="84">
        <v>14.747793001011109</v>
      </c>
      <c r="DF21" s="84">
        <v>17.074383636202757</v>
      </c>
      <c r="DG21" s="84">
        <v>49.781929020340989</v>
      </c>
      <c r="DH21" s="84">
        <v>11.103389170047141</v>
      </c>
      <c r="DI21" s="84">
        <v>17.696546006441206</v>
      </c>
      <c r="DJ21" s="84">
        <v>3.697193496003516</v>
      </c>
      <c r="DK21" s="84">
        <f t="shared" si="0"/>
        <v>13.669239746890701</v>
      </c>
      <c r="DL21" s="84">
        <f t="shared" si="1"/>
        <v>0.85838054885162363</v>
      </c>
      <c r="DM21" s="84">
        <f t="shared" si="2"/>
        <v>49.181582665321223</v>
      </c>
      <c r="DN21" s="85">
        <v>2</v>
      </c>
      <c r="DO21">
        <v>3</v>
      </c>
      <c r="DP21">
        <f t="shared" si="3"/>
        <v>67.5</v>
      </c>
      <c r="DQ21" s="270">
        <v>7.6536686473017967</v>
      </c>
      <c r="DR21" s="270">
        <v>18.477590650225736</v>
      </c>
      <c r="DT21" t="s">
        <v>94</v>
      </c>
      <c r="DU21" s="87">
        <f>DU19+DU17</f>
        <v>0.36031401785714168</v>
      </c>
      <c r="DV21" s="87">
        <f t="shared" si="66"/>
        <v>0.95532975854402269</v>
      </c>
      <c r="DW21" s="87">
        <f t="shared" si="66"/>
        <v>0.9831866341451192</v>
      </c>
      <c r="DX21" s="87">
        <f t="shared" si="66"/>
        <v>0.23484326771241099</v>
      </c>
      <c r="DY21" s="87">
        <f t="shared" si="66"/>
        <v>-0.561377454952667</v>
      </c>
      <c r="DZ21" s="87">
        <f t="shared" si="66"/>
        <v>-1.0018870454415001</v>
      </c>
      <c r="EA21" s="87">
        <f t="shared" si="66"/>
        <v>-1.0040218453415184</v>
      </c>
      <c r="EB21" s="87">
        <f>EB19+EB17</f>
        <v>-0.88364337799217008</v>
      </c>
      <c r="EC21" s="87">
        <f t="shared" si="66"/>
        <v>0.36031401785714168</v>
      </c>
      <c r="ED21">
        <f t="shared" si="5"/>
        <v>0.95532975854402269</v>
      </c>
      <c r="EF21" t="str">
        <f t="shared" si="17"/>
        <v>path_y test</v>
      </c>
      <c r="EH21">
        <f>EH22*EH17+EH19</f>
        <v>-0.50752622459924501</v>
      </c>
      <c r="EI21">
        <f t="shared" ref="EI21:GT21" si="71">EI22*EI17+EI19</f>
        <v>-0.51112909249714444</v>
      </c>
      <c r="EJ21">
        <f t="shared" si="71"/>
        <v>-0.62592567293597645</v>
      </c>
      <c r="EK21">
        <f t="shared" si="71"/>
        <v>-0.46493184297304896</v>
      </c>
      <c r="EL21">
        <f t="shared" si="71"/>
        <v>-0.49929039141618159</v>
      </c>
      <c r="EM21">
        <f t="shared" si="71"/>
        <v>-0.49768316915043903</v>
      </c>
      <c r="EN21">
        <f t="shared" si="71"/>
        <v>-0.51646874672819665</v>
      </c>
      <c r="EO21">
        <f t="shared" si="71"/>
        <v>-0.52150353408852002</v>
      </c>
      <c r="EP21">
        <f t="shared" si="71"/>
        <v>-0.62922259903457778</v>
      </c>
      <c r="EQ21">
        <f t="shared" si="71"/>
        <v>-0.46416190818424874</v>
      </c>
      <c r="ER21">
        <f t="shared" si="71"/>
        <v>-0.46792242076824836</v>
      </c>
      <c r="ES21">
        <f t="shared" si="71"/>
        <v>-0.47010084986808365</v>
      </c>
      <c r="ET21">
        <f t="shared" si="71"/>
        <v>-0.48390783815208144</v>
      </c>
      <c r="EU21">
        <f t="shared" si="71"/>
        <v>-0.47265191399523554</v>
      </c>
      <c r="EV21">
        <f t="shared" si="71"/>
        <v>-1.0242437577853101</v>
      </c>
      <c r="EW21">
        <f t="shared" si="71"/>
        <v>-0.99251878266916571</v>
      </c>
      <c r="EX21">
        <f t="shared" si="71"/>
        <v>-0.97144548395085395</v>
      </c>
      <c r="EY21">
        <f t="shared" si="71"/>
        <v>-0.99855818068503044</v>
      </c>
      <c r="EZ21">
        <f t="shared" si="71"/>
        <v>-0.9570775840918373</v>
      </c>
      <c r="FA21">
        <f t="shared" si="71"/>
        <v>-0.90594204639280751</v>
      </c>
      <c r="FB21">
        <f t="shared" si="71"/>
        <v>-0.95374032910113538</v>
      </c>
      <c r="FC21">
        <f t="shared" si="71"/>
        <v>-0.96159961710175779</v>
      </c>
      <c r="FD21">
        <f t="shared" si="71"/>
        <v>-0.96460850435742218</v>
      </c>
      <c r="FE21">
        <f t="shared" si="71"/>
        <v>-0.94752783016013054</v>
      </c>
      <c r="FF21">
        <f t="shared" si="71"/>
        <v>-0.9578560386448588</v>
      </c>
      <c r="FG21">
        <f t="shared" si="71"/>
        <v>-0.95237011079344736</v>
      </c>
      <c r="FH21">
        <f t="shared" si="71"/>
        <v>-1.0296014439250489</v>
      </c>
      <c r="FI21">
        <f t="shared" si="71"/>
        <v>-0.95287489456817465</v>
      </c>
      <c r="FJ21">
        <f t="shared" si="71"/>
        <v>-0.9573017634502704</v>
      </c>
      <c r="FK21">
        <f t="shared" si="71"/>
        <v>-1.0012183525111222</v>
      </c>
      <c r="FL21">
        <f t="shared" si="71"/>
        <v>-0.52003933973248684</v>
      </c>
      <c r="FM21">
        <f t="shared" si="71"/>
        <v>-0.51186632395003251</v>
      </c>
      <c r="FN21">
        <f t="shared" si="71"/>
        <v>-0.51575243103241797</v>
      </c>
      <c r="FO21">
        <f t="shared" si="71"/>
        <v>-0.51484526144314957</v>
      </c>
      <c r="FP21">
        <f t="shared" si="71"/>
        <v>-0.50013676972417387</v>
      </c>
      <c r="FQ21">
        <f t="shared" si="71"/>
        <v>-0.82795935657288378</v>
      </c>
      <c r="FR21">
        <f t="shared" si="71"/>
        <v>-0.52303278289676491</v>
      </c>
      <c r="FS21">
        <f t="shared" si="71"/>
        <v>-0.60075454408580908</v>
      </c>
      <c r="FT21">
        <f t="shared" si="71"/>
        <v>-0.55552752447428522</v>
      </c>
      <c r="FU21">
        <f t="shared" si="71"/>
        <v>-0.54275128738701484</v>
      </c>
      <c r="FV21">
        <f t="shared" si="71"/>
        <v>-0.5573221149456884</v>
      </c>
      <c r="FW21">
        <f t="shared" si="71"/>
        <v>-0.52599596123273884</v>
      </c>
      <c r="FX21">
        <f t="shared" si="71"/>
        <v>-0.49688413094492834</v>
      </c>
      <c r="FY21">
        <f t="shared" si="71"/>
        <v>-0.57610066456402698</v>
      </c>
      <c r="FZ21">
        <f t="shared" si="71"/>
        <v>-0.5124661247123149</v>
      </c>
      <c r="GA21">
        <f t="shared" si="71"/>
        <v>-0.5005421212832768</v>
      </c>
      <c r="GB21">
        <f t="shared" si="71"/>
        <v>-0.52840892540567841</v>
      </c>
      <c r="GC21">
        <f t="shared" si="71"/>
        <v>0.4308144007471606</v>
      </c>
      <c r="GD21">
        <f t="shared" si="71"/>
        <v>0.47786894567272953</v>
      </c>
      <c r="GE21">
        <f t="shared" si="71"/>
        <v>0.42323113241509414</v>
      </c>
      <c r="GF21">
        <f t="shared" si="71"/>
        <v>0.40820639084754107</v>
      </c>
      <c r="GG21">
        <f t="shared" si="71"/>
        <v>0.43028896925205556</v>
      </c>
      <c r="GH21">
        <f t="shared" si="71"/>
        <v>0.43213415103185349</v>
      </c>
      <c r="GI21">
        <f t="shared" si="71"/>
        <v>0.38515722109299111</v>
      </c>
      <c r="GJ21">
        <f t="shared" si="71"/>
        <v>0.36497784352702972</v>
      </c>
      <c r="GK21">
        <f t="shared" si="71"/>
        <v>0.40935010209283923</v>
      </c>
      <c r="GL21">
        <f t="shared" si="71"/>
        <v>0.40164603914811603</v>
      </c>
      <c r="GM21">
        <f t="shared" si="71"/>
        <v>0.97851232133719879</v>
      </c>
      <c r="GN21">
        <f t="shared" si="71"/>
        <v>0.97203438630617911</v>
      </c>
      <c r="GO21">
        <f t="shared" si="71"/>
        <v>0.84089322533290922</v>
      </c>
      <c r="GP21">
        <f t="shared" si="71"/>
        <v>0.8991130337304355</v>
      </c>
      <c r="GQ21">
        <f t="shared" si="71"/>
        <v>0.7553727771183788</v>
      </c>
      <c r="GR21">
        <f t="shared" si="71"/>
        <v>1.020416562147628</v>
      </c>
      <c r="GS21">
        <f t="shared" si="71"/>
        <v>0.93139267067273901</v>
      </c>
      <c r="GT21">
        <f t="shared" si="71"/>
        <v>0.9511461966957786</v>
      </c>
      <c r="GU21">
        <f t="shared" ref="GU21:IB21" si="72">GU22*GU17+GU19</f>
        <v>0.91328756671255462</v>
      </c>
      <c r="GV21">
        <f t="shared" si="72"/>
        <v>0.91023532311352673</v>
      </c>
      <c r="GW21">
        <f t="shared" si="72"/>
        <v>0.88551431368547984</v>
      </c>
      <c r="GX21">
        <f t="shared" si="72"/>
        <v>0.82376708929714371</v>
      </c>
      <c r="GY21">
        <f t="shared" si="72"/>
        <v>0.54195714480078527</v>
      </c>
      <c r="GZ21">
        <f t="shared" si="72"/>
        <v>0.52276877951101675</v>
      </c>
      <c r="HA21">
        <f t="shared" si="72"/>
        <v>0.52877736880009962</v>
      </c>
      <c r="HB21">
        <f t="shared" si="72"/>
        <v>0.5322628267602092</v>
      </c>
      <c r="HC21">
        <f t="shared" si="72"/>
        <v>0.35131831331774949</v>
      </c>
      <c r="HD21">
        <f t="shared" si="72"/>
        <v>0.54252434128131732</v>
      </c>
      <c r="HE21">
        <f t="shared" si="72"/>
        <v>0.56143054713168072</v>
      </c>
      <c r="HF21">
        <f t="shared" si="72"/>
        <v>0.53775154600102093</v>
      </c>
      <c r="HG21">
        <f t="shared" si="72"/>
        <v>0.55154282014270151</v>
      </c>
      <c r="HH21">
        <f t="shared" si="72"/>
        <v>0.5730036988364432</v>
      </c>
      <c r="HI21">
        <f t="shared" si="72"/>
        <v>0.56353019921954417</v>
      </c>
      <c r="HJ21">
        <f t="shared" si="72"/>
        <v>-0.39388457386009712</v>
      </c>
      <c r="HK21">
        <f t="shared" si="72"/>
        <v>-0.40473613675383535</v>
      </c>
      <c r="HL21">
        <f t="shared" si="72"/>
        <v>-0.37508368079164955</v>
      </c>
      <c r="HM21">
        <f t="shared" si="72"/>
        <v>-0.51048652136692074</v>
      </c>
      <c r="HN21">
        <f t="shared" si="72"/>
        <v>-0.54399947886529831</v>
      </c>
      <c r="HO21">
        <f t="shared" si="72"/>
        <v>-0.42752316556522324</v>
      </c>
      <c r="HP21">
        <f t="shared" si="72"/>
        <v>-0.4196441031366101</v>
      </c>
      <c r="HQ21">
        <f t="shared" si="72"/>
        <v>-0.38574798639828556</v>
      </c>
      <c r="HR21">
        <f t="shared" si="72"/>
        <v>-1.0958070597378329</v>
      </c>
      <c r="HS21">
        <f t="shared" si="72"/>
        <v>-1.0214544759284818</v>
      </c>
      <c r="HT21">
        <f t="shared" si="72"/>
        <v>-1.9121884167571763</v>
      </c>
      <c r="HU21">
        <f t="shared" si="72"/>
        <v>-1.2035191082959327</v>
      </c>
      <c r="HV21">
        <f t="shared" si="72"/>
        <v>-1.1453651177810529</v>
      </c>
      <c r="HW21">
        <f t="shared" si="72"/>
        <v>-1.1255998239897282</v>
      </c>
      <c r="HX21">
        <f t="shared" si="72"/>
        <v>-1.1558227672227963</v>
      </c>
      <c r="HY21">
        <f t="shared" si="72"/>
        <v>-1.0822134833542425</v>
      </c>
      <c r="HZ21">
        <f t="shared" si="72"/>
        <v>-1.0082020465406127</v>
      </c>
      <c r="IA21">
        <f t="shared" si="72"/>
        <v>-1.0111724558922379</v>
      </c>
      <c r="IB21">
        <f t="shared" si="72"/>
        <v>-1.0210834898405901</v>
      </c>
    </row>
    <row r="22" spans="1:236">
      <c r="A22">
        <v>445</v>
      </c>
      <c r="B22" s="90">
        <f>'Color metric'!B16</f>
        <v>0.47852976897591343</v>
      </c>
      <c r="C22" s="82">
        <f>Reference!N22</f>
        <v>1.9710964510148927</v>
      </c>
      <c r="D22" s="82"/>
      <c r="E22" s="104" t="s">
        <v>95</v>
      </c>
      <c r="F22" s="105">
        <f t="shared" ref="F22:BQ23" si="73">F128</f>
        <v>6.102648751210772E-3</v>
      </c>
      <c r="G22" s="105">
        <f t="shared" si="73"/>
        <v>16.763604554018801</v>
      </c>
      <c r="H22" s="105">
        <f t="shared" si="73"/>
        <v>31.100879263454328</v>
      </c>
      <c r="I22" s="105">
        <f t="shared" si="73"/>
        <v>14.654422365876453</v>
      </c>
      <c r="J22" s="105">
        <f t="shared" si="73"/>
        <v>20.785562506662941</v>
      </c>
      <c r="K22" s="105">
        <f t="shared" si="73"/>
        <v>33.61442714598067</v>
      </c>
      <c r="L22" s="105">
        <f t="shared" si="73"/>
        <v>17.972862692322831</v>
      </c>
      <c r="M22" s="105">
        <f t="shared" si="73"/>
        <v>31.554087921627399</v>
      </c>
      <c r="N22" s="105">
        <f t="shared" si="73"/>
        <v>29.300586159612159</v>
      </c>
      <c r="O22" s="105">
        <f t="shared" si="73"/>
        <v>2.98007388455123</v>
      </c>
      <c r="P22" s="105">
        <f t="shared" si="73"/>
        <v>29.443357034805736</v>
      </c>
      <c r="Q22" s="105">
        <f t="shared" si="73"/>
        <v>28.438900365418341</v>
      </c>
      <c r="R22" s="105">
        <f t="shared" si="73"/>
        <v>30.231242087795884</v>
      </c>
      <c r="S22" s="105">
        <f t="shared" si="73"/>
        <v>18.337406665102773</v>
      </c>
      <c r="T22" s="105">
        <f t="shared" si="73"/>
        <v>6.3574873778047278</v>
      </c>
      <c r="U22" s="105">
        <f t="shared" si="73"/>
        <v>12.510388769156039</v>
      </c>
      <c r="V22" s="105">
        <f t="shared" si="73"/>
        <v>17.125411831906632</v>
      </c>
      <c r="W22" s="105">
        <f t="shared" si="73"/>
        <v>14.747793001011109</v>
      </c>
      <c r="X22" s="105">
        <f t="shared" si="73"/>
        <v>11.580134410073564</v>
      </c>
      <c r="Y22" s="105">
        <f t="shared" si="73"/>
        <v>13.860411380364932</v>
      </c>
      <c r="Z22" s="105">
        <f t="shared" si="73"/>
        <v>19.010883226896489</v>
      </c>
      <c r="AA22" s="105">
        <f t="shared" si="73"/>
        <v>13.852493262781975</v>
      </c>
      <c r="AB22" s="105">
        <f t="shared" si="73"/>
        <v>14.957204661222505</v>
      </c>
      <c r="AC22" s="105">
        <f t="shared" si="73"/>
        <v>3.7263189756370823</v>
      </c>
      <c r="AD22" s="105">
        <f t="shared" si="73"/>
        <v>6.410101705118219</v>
      </c>
      <c r="AE22" s="105">
        <f t="shared" si="73"/>
        <v>8.1660322856434959</v>
      </c>
      <c r="AF22" s="105">
        <f t="shared" si="73"/>
        <v>6.5300954433660099</v>
      </c>
      <c r="AG22" s="105">
        <f t="shared" si="73"/>
        <v>1.286100014185388</v>
      </c>
      <c r="AH22" s="105">
        <f t="shared" si="73"/>
        <v>0.34939940849054085</v>
      </c>
      <c r="AI22" s="105">
        <f t="shared" si="73"/>
        <v>1.6752495247263397</v>
      </c>
      <c r="AJ22" s="105">
        <f t="shared" si="73"/>
        <v>1.5660197775884876</v>
      </c>
      <c r="AK22" s="105">
        <f t="shared" si="73"/>
        <v>0.13430938428798708</v>
      </c>
      <c r="AL22" s="105">
        <f t="shared" si="73"/>
        <v>-0.7497638664370706</v>
      </c>
      <c r="AM22" s="105">
        <f t="shared" si="73"/>
        <v>-0.11637697743702564</v>
      </c>
      <c r="AN22" s="105">
        <f t="shared" si="73"/>
        <v>-3.0535730271092358</v>
      </c>
      <c r="AO22" s="105">
        <f t="shared" si="73"/>
        <v>-2.435125042474954</v>
      </c>
      <c r="AP22" s="105">
        <f t="shared" si="73"/>
        <v>-0.22815939269962762</v>
      </c>
      <c r="AQ22" s="105">
        <f t="shared" si="73"/>
        <v>-4.7095116766844463</v>
      </c>
      <c r="AR22" s="105">
        <f t="shared" si="73"/>
        <v>-2.9287777870507186</v>
      </c>
      <c r="AS22" s="105">
        <f t="shared" si="73"/>
        <v>-2.1721896013829198</v>
      </c>
      <c r="AT22" s="105">
        <f t="shared" si="73"/>
        <v>-4.4654854501287717</v>
      </c>
      <c r="AU22" s="105">
        <f t="shared" si="73"/>
        <v>-3.3283606928323879</v>
      </c>
      <c r="AV22" s="105">
        <f t="shared" si="73"/>
        <v>-16.306385986749227</v>
      </c>
      <c r="AW22" s="105">
        <f t="shared" si="73"/>
        <v>-17.139047349507187</v>
      </c>
      <c r="AX22" s="105">
        <f t="shared" si="73"/>
        <v>-0.77511556563735418</v>
      </c>
      <c r="AY22" s="105">
        <f t="shared" si="73"/>
        <v>-17.850368291761654</v>
      </c>
      <c r="AZ22" s="105">
        <f t="shared" si="73"/>
        <v>-14.111160929982161</v>
      </c>
      <c r="BA22" s="105">
        <f t="shared" si="73"/>
        <v>-9.4370146115245177</v>
      </c>
      <c r="BB22" s="105">
        <f t="shared" si="73"/>
        <v>-19.363635029691679</v>
      </c>
      <c r="BC22" s="105">
        <f t="shared" si="73"/>
        <v>-17.329081248292034</v>
      </c>
      <c r="BD22" s="105">
        <f t="shared" si="73"/>
        <v>-18.085175206921971</v>
      </c>
      <c r="BE22" s="105">
        <f t="shared" si="73"/>
        <v>-16.017808981589852</v>
      </c>
      <c r="BF22" s="105">
        <f t="shared" si="73"/>
        <v>-21.218286152673926</v>
      </c>
      <c r="BG22" s="105">
        <f t="shared" si="73"/>
        <v>-30.57912914939282</v>
      </c>
      <c r="BH22" s="105">
        <f t="shared" si="73"/>
        <v>-15.907708248561086</v>
      </c>
      <c r="BI22" s="105">
        <f t="shared" si="73"/>
        <v>-17.867779352062637</v>
      </c>
      <c r="BJ22" s="105">
        <f t="shared" si="73"/>
        <v>-30.043134094407971</v>
      </c>
      <c r="BK22" s="105">
        <f t="shared" si="73"/>
        <v>-31.744832783869111</v>
      </c>
      <c r="BL22" s="105">
        <f t="shared" si="73"/>
        <v>-31.347115496415498</v>
      </c>
      <c r="BM22" s="105">
        <f t="shared" si="73"/>
        <v>-15.839994824588887</v>
      </c>
      <c r="BN22" s="105">
        <f t="shared" si="73"/>
        <v>-6.8059756926562622</v>
      </c>
      <c r="BO22" s="105">
        <f t="shared" si="73"/>
        <v>-14.604105825920827</v>
      </c>
      <c r="BP22" s="105">
        <f t="shared" si="73"/>
        <v>-6.5217975455952661</v>
      </c>
      <c r="BQ22" s="105">
        <f t="shared" si="73"/>
        <v>-2.3850160068910067</v>
      </c>
      <c r="BR22" s="105">
        <f t="shared" ref="BR22:DA23" si="74">BR128</f>
        <v>-28.856701551166868</v>
      </c>
      <c r="BS22" s="105">
        <f t="shared" si="74"/>
        <v>-18.040330506519219</v>
      </c>
      <c r="BT22" s="105">
        <f t="shared" si="74"/>
        <v>-25.460162142592861</v>
      </c>
      <c r="BU22" s="105">
        <f t="shared" si="74"/>
        <v>-25.747285136062612</v>
      </c>
      <c r="BV22" s="105">
        <f t="shared" si="74"/>
        <v>-17.2937471465942</v>
      </c>
      <c r="BW22" s="105">
        <f t="shared" si="74"/>
        <v>-7.705912454531898</v>
      </c>
      <c r="BX22" s="105">
        <f t="shared" si="74"/>
        <v>-17.469653892152092</v>
      </c>
      <c r="BY22" s="105">
        <f t="shared" si="74"/>
        <v>-14.681768210074937</v>
      </c>
      <c r="BZ22" s="105">
        <f t="shared" si="74"/>
        <v>-6.1268082856843806</v>
      </c>
      <c r="CA22" s="105">
        <f t="shared" si="74"/>
        <v>-20.122031369222924</v>
      </c>
      <c r="CB22" s="105">
        <f t="shared" si="74"/>
        <v>-1.2821297248246635</v>
      </c>
      <c r="CC22" s="105">
        <f t="shared" si="74"/>
        <v>-11.515706660194821</v>
      </c>
      <c r="CD22" s="105">
        <f t="shared" si="74"/>
        <v>-12.967776813173812</v>
      </c>
      <c r="CE22" s="105">
        <f t="shared" si="74"/>
        <v>-8.1048614374606114</v>
      </c>
      <c r="CF22" s="105">
        <f t="shared" si="74"/>
        <v>-10.857092891277329</v>
      </c>
      <c r="CG22" s="105">
        <f t="shared" si="74"/>
        <v>-3.2720997060974812</v>
      </c>
      <c r="CH22" s="105">
        <f t="shared" si="74"/>
        <v>1.1510588900755752</v>
      </c>
      <c r="CI22" s="105">
        <f t="shared" si="74"/>
        <v>4.520239695287092</v>
      </c>
      <c r="CJ22" s="105">
        <f t="shared" si="74"/>
        <v>1.238808340722044</v>
      </c>
      <c r="CK22" s="105">
        <f t="shared" si="74"/>
        <v>3.5677856750256813</v>
      </c>
      <c r="CL22" s="105">
        <f t="shared" si="74"/>
        <v>3.8951160693942106</v>
      </c>
      <c r="CM22" s="105">
        <f t="shared" si="74"/>
        <v>6.2332635408307917</v>
      </c>
      <c r="CN22" s="105">
        <f t="shared" si="74"/>
        <v>10.075987920046504</v>
      </c>
      <c r="CO22" s="105">
        <f t="shared" si="74"/>
        <v>13.428184559330223</v>
      </c>
      <c r="CP22" s="105">
        <f t="shared" si="74"/>
        <v>17.573053025165489</v>
      </c>
      <c r="CQ22" s="105">
        <f t="shared" si="74"/>
        <v>17.303925143618738</v>
      </c>
      <c r="CR22" s="105">
        <f t="shared" si="74"/>
        <v>19.961639018775287</v>
      </c>
      <c r="CS22" s="105">
        <f t="shared" si="74"/>
        <v>3.449012422433567</v>
      </c>
      <c r="CT22" s="105">
        <f t="shared" si="74"/>
        <v>15.80116790943732</v>
      </c>
      <c r="CU22" s="105">
        <f t="shared" si="74"/>
        <v>13.535976180101475</v>
      </c>
      <c r="CV22" s="105">
        <f t="shared" si="74"/>
        <v>22.764817874585958</v>
      </c>
      <c r="CW22" s="105">
        <f t="shared" si="74"/>
        <v>17.847096691087479</v>
      </c>
      <c r="CX22" s="105">
        <f t="shared" si="74"/>
        <v>17.122825005011254</v>
      </c>
      <c r="CY22" s="105">
        <f t="shared" si="74"/>
        <v>23.331667482620489</v>
      </c>
      <c r="CZ22" s="105">
        <f t="shared" si="74"/>
        <v>29.873054181060056</v>
      </c>
      <c r="DA22" s="105">
        <f t="shared" si="74"/>
        <v>32.040788321801898</v>
      </c>
      <c r="DC22">
        <v>18</v>
      </c>
      <c r="DD22" s="84">
        <v>56.501070917098644</v>
      </c>
      <c r="DE22" s="84">
        <v>11.580134410073564</v>
      </c>
      <c r="DF22" s="84">
        <v>13.375752610563671</v>
      </c>
      <c r="DG22" s="84">
        <v>56.259353889962163</v>
      </c>
      <c r="DH22" s="84">
        <v>9.4912178601524353</v>
      </c>
      <c r="DI22" s="84">
        <v>13.383949347264299</v>
      </c>
      <c r="DJ22" s="84">
        <v>2.102871051737274</v>
      </c>
      <c r="DK22" s="84">
        <f t="shared" si="0"/>
        <v>4.4220666602346288</v>
      </c>
      <c r="DL22" s="84">
        <f t="shared" si="1"/>
        <v>0.85722607009747187</v>
      </c>
      <c r="DM22" s="84">
        <f t="shared" si="2"/>
        <v>49.115435905170798</v>
      </c>
      <c r="DN22" s="85">
        <v>2</v>
      </c>
      <c r="DO22">
        <v>2</v>
      </c>
      <c r="DP22">
        <f t="shared" si="3"/>
        <v>67.5</v>
      </c>
      <c r="DQ22" s="270">
        <v>7.6536686473017967</v>
      </c>
      <c r="DR22" s="270">
        <v>18.477590650225736</v>
      </c>
      <c r="DT22" t="s">
        <v>96</v>
      </c>
      <c r="DU22" s="87">
        <f>10*LN(EXP((100-$G$33*DU10)/10)+1)</f>
        <v>79.299603291907758</v>
      </c>
      <c r="DV22" s="87">
        <f t="shared" ref="DV22:EC22" si="75">10*LN(EXP((100-$G$33*DV10)/10)+1)</f>
        <v>79.281627307512451</v>
      </c>
      <c r="DW22" s="87">
        <f t="shared" si="75"/>
        <v>89.711054238203459</v>
      </c>
      <c r="DX22" s="87">
        <f t="shared" si="75"/>
        <v>86.044921189152305</v>
      </c>
      <c r="DY22" s="87">
        <f t="shared" si="75"/>
        <v>77.461821257872103</v>
      </c>
      <c r="DZ22" s="87">
        <f t="shared" si="75"/>
        <v>75.869446221545715</v>
      </c>
      <c r="EA22" s="87">
        <f t="shared" si="75"/>
        <v>85.841359206439876</v>
      </c>
      <c r="EB22" s="87">
        <f>10*LN(EXP((100-$G$33*EB10)/10)+1)</f>
        <v>78.582890085536988</v>
      </c>
      <c r="EC22" s="87">
        <f t="shared" si="75"/>
        <v>79.299603291907758</v>
      </c>
      <c r="ED22">
        <f t="shared" si="5"/>
        <v>79.281627307512451</v>
      </c>
      <c r="EF22" t="s">
        <v>437</v>
      </c>
      <c r="EH22">
        <v>1</v>
      </c>
      <c r="EI22">
        <f>EH22</f>
        <v>1</v>
      </c>
      <c r="EJ22">
        <f t="shared" ref="EJ22:GU22" si="76">EI22</f>
        <v>1</v>
      </c>
      <c r="EK22">
        <f t="shared" si="76"/>
        <v>1</v>
      </c>
      <c r="EL22">
        <f t="shared" si="76"/>
        <v>1</v>
      </c>
      <c r="EM22">
        <f t="shared" si="76"/>
        <v>1</v>
      </c>
      <c r="EN22">
        <f t="shared" si="76"/>
        <v>1</v>
      </c>
      <c r="EO22">
        <f t="shared" si="76"/>
        <v>1</v>
      </c>
      <c r="EP22">
        <f t="shared" si="76"/>
        <v>1</v>
      </c>
      <c r="EQ22">
        <f t="shared" si="76"/>
        <v>1</v>
      </c>
      <c r="ER22">
        <f t="shared" si="76"/>
        <v>1</v>
      </c>
      <c r="ES22">
        <f t="shared" si="76"/>
        <v>1</v>
      </c>
      <c r="ET22">
        <f t="shared" si="76"/>
        <v>1</v>
      </c>
      <c r="EU22">
        <f t="shared" si="76"/>
        <v>1</v>
      </c>
      <c r="EV22">
        <f t="shared" si="76"/>
        <v>1</v>
      </c>
      <c r="EW22">
        <f t="shared" si="76"/>
        <v>1</v>
      </c>
      <c r="EX22">
        <f t="shared" si="76"/>
        <v>1</v>
      </c>
      <c r="EY22">
        <f t="shared" si="76"/>
        <v>1</v>
      </c>
      <c r="EZ22">
        <f t="shared" si="76"/>
        <v>1</v>
      </c>
      <c r="FA22">
        <f t="shared" si="76"/>
        <v>1</v>
      </c>
      <c r="FB22">
        <f t="shared" si="76"/>
        <v>1</v>
      </c>
      <c r="FC22">
        <f t="shared" si="76"/>
        <v>1</v>
      </c>
      <c r="FD22">
        <f t="shared" si="76"/>
        <v>1</v>
      </c>
      <c r="FE22">
        <f t="shared" si="76"/>
        <v>1</v>
      </c>
      <c r="FF22">
        <f t="shared" si="76"/>
        <v>1</v>
      </c>
      <c r="FG22">
        <f t="shared" si="76"/>
        <v>1</v>
      </c>
      <c r="FH22">
        <f t="shared" si="76"/>
        <v>1</v>
      </c>
      <c r="FI22">
        <f t="shared" si="76"/>
        <v>1</v>
      </c>
      <c r="FJ22">
        <f t="shared" si="76"/>
        <v>1</v>
      </c>
      <c r="FK22">
        <f t="shared" si="76"/>
        <v>1</v>
      </c>
      <c r="FL22">
        <f t="shared" si="76"/>
        <v>1</v>
      </c>
      <c r="FM22">
        <f t="shared" si="76"/>
        <v>1</v>
      </c>
      <c r="FN22">
        <f t="shared" si="76"/>
        <v>1</v>
      </c>
      <c r="FO22">
        <f t="shared" si="76"/>
        <v>1</v>
      </c>
      <c r="FP22">
        <f t="shared" si="76"/>
        <v>1</v>
      </c>
      <c r="FQ22">
        <f t="shared" si="76"/>
        <v>1</v>
      </c>
      <c r="FR22">
        <f t="shared" si="76"/>
        <v>1</v>
      </c>
      <c r="FS22">
        <f t="shared" si="76"/>
        <v>1</v>
      </c>
      <c r="FT22">
        <f t="shared" si="76"/>
        <v>1</v>
      </c>
      <c r="FU22">
        <f t="shared" si="76"/>
        <v>1</v>
      </c>
      <c r="FV22">
        <f t="shared" si="76"/>
        <v>1</v>
      </c>
      <c r="FW22">
        <f t="shared" si="76"/>
        <v>1</v>
      </c>
      <c r="FX22">
        <f t="shared" si="76"/>
        <v>1</v>
      </c>
      <c r="FY22">
        <f t="shared" si="76"/>
        <v>1</v>
      </c>
      <c r="FZ22">
        <f t="shared" si="76"/>
        <v>1</v>
      </c>
      <c r="GA22">
        <f t="shared" si="76"/>
        <v>1</v>
      </c>
      <c r="GB22">
        <f t="shared" si="76"/>
        <v>1</v>
      </c>
      <c r="GC22">
        <f t="shared" si="76"/>
        <v>1</v>
      </c>
      <c r="GD22">
        <f t="shared" si="76"/>
        <v>1</v>
      </c>
      <c r="GE22">
        <f t="shared" si="76"/>
        <v>1</v>
      </c>
      <c r="GF22">
        <f t="shared" si="76"/>
        <v>1</v>
      </c>
      <c r="GG22">
        <f t="shared" si="76"/>
        <v>1</v>
      </c>
      <c r="GH22">
        <f t="shared" si="76"/>
        <v>1</v>
      </c>
      <c r="GI22">
        <f t="shared" si="76"/>
        <v>1</v>
      </c>
      <c r="GJ22">
        <f t="shared" si="76"/>
        <v>1</v>
      </c>
      <c r="GK22">
        <f t="shared" si="76"/>
        <v>1</v>
      </c>
      <c r="GL22">
        <f t="shared" si="76"/>
        <v>1</v>
      </c>
      <c r="GM22">
        <f t="shared" si="76"/>
        <v>1</v>
      </c>
      <c r="GN22">
        <f t="shared" si="76"/>
        <v>1</v>
      </c>
      <c r="GO22">
        <f t="shared" si="76"/>
        <v>1</v>
      </c>
      <c r="GP22">
        <f t="shared" si="76"/>
        <v>1</v>
      </c>
      <c r="GQ22">
        <f t="shared" si="76"/>
        <v>1</v>
      </c>
      <c r="GR22">
        <f t="shared" si="76"/>
        <v>1</v>
      </c>
      <c r="GS22">
        <f t="shared" si="76"/>
        <v>1</v>
      </c>
      <c r="GT22">
        <f t="shared" si="76"/>
        <v>1</v>
      </c>
      <c r="GU22">
        <f t="shared" si="76"/>
        <v>1</v>
      </c>
      <c r="GV22">
        <f t="shared" ref="GV22:IB22" si="77">GU22</f>
        <v>1</v>
      </c>
      <c r="GW22">
        <f t="shared" si="77"/>
        <v>1</v>
      </c>
      <c r="GX22">
        <f t="shared" si="77"/>
        <v>1</v>
      </c>
      <c r="GY22">
        <f t="shared" si="77"/>
        <v>1</v>
      </c>
      <c r="GZ22">
        <f t="shared" si="77"/>
        <v>1</v>
      </c>
      <c r="HA22">
        <f t="shared" si="77"/>
        <v>1</v>
      </c>
      <c r="HB22">
        <f t="shared" si="77"/>
        <v>1</v>
      </c>
      <c r="HC22">
        <f t="shared" si="77"/>
        <v>1</v>
      </c>
      <c r="HD22">
        <f t="shared" si="77"/>
        <v>1</v>
      </c>
      <c r="HE22">
        <f t="shared" si="77"/>
        <v>1</v>
      </c>
      <c r="HF22">
        <f t="shared" si="77"/>
        <v>1</v>
      </c>
      <c r="HG22">
        <f t="shared" si="77"/>
        <v>1</v>
      </c>
      <c r="HH22">
        <f t="shared" si="77"/>
        <v>1</v>
      </c>
      <c r="HI22">
        <f t="shared" si="77"/>
        <v>1</v>
      </c>
      <c r="HJ22">
        <f t="shared" si="77"/>
        <v>1</v>
      </c>
      <c r="HK22">
        <f t="shared" si="77"/>
        <v>1</v>
      </c>
      <c r="HL22">
        <f t="shared" si="77"/>
        <v>1</v>
      </c>
      <c r="HM22">
        <f t="shared" si="77"/>
        <v>1</v>
      </c>
      <c r="HN22">
        <f t="shared" si="77"/>
        <v>1</v>
      </c>
      <c r="HO22">
        <f t="shared" si="77"/>
        <v>1</v>
      </c>
      <c r="HP22">
        <f t="shared" si="77"/>
        <v>1</v>
      </c>
      <c r="HQ22">
        <f t="shared" si="77"/>
        <v>1</v>
      </c>
      <c r="HR22">
        <f t="shared" si="77"/>
        <v>1</v>
      </c>
      <c r="HS22">
        <f t="shared" si="77"/>
        <v>1</v>
      </c>
      <c r="HT22">
        <f t="shared" si="77"/>
        <v>1</v>
      </c>
      <c r="HU22">
        <f t="shared" si="77"/>
        <v>1</v>
      </c>
      <c r="HV22">
        <f t="shared" si="77"/>
        <v>1</v>
      </c>
      <c r="HW22">
        <f t="shared" si="77"/>
        <v>1</v>
      </c>
      <c r="HX22">
        <f t="shared" si="77"/>
        <v>1</v>
      </c>
      <c r="HY22">
        <f t="shared" si="77"/>
        <v>1</v>
      </c>
      <c r="HZ22">
        <f t="shared" si="77"/>
        <v>1</v>
      </c>
      <c r="IA22">
        <f t="shared" si="77"/>
        <v>1</v>
      </c>
      <c r="IB22">
        <f t="shared" si="77"/>
        <v>1</v>
      </c>
    </row>
    <row r="23" spans="1:236">
      <c r="A23">
        <v>450</v>
      </c>
      <c r="B23" s="90">
        <f>'Color metric'!B17</f>
        <v>0.60427348282747406</v>
      </c>
      <c r="C23" s="82">
        <f>Reference!N23</f>
        <v>2.079234868112124</v>
      </c>
      <c r="D23" s="82"/>
      <c r="E23" s="104" t="s">
        <v>97</v>
      </c>
      <c r="F23" s="105">
        <f t="shared" si="73"/>
        <v>6.7807208355656764E-4</v>
      </c>
      <c r="G23" s="105">
        <f t="shared" si="73"/>
        <v>1.3236098082810404</v>
      </c>
      <c r="H23" s="105">
        <f t="shared" si="73"/>
        <v>4.2116484955200821</v>
      </c>
      <c r="I23" s="105">
        <f t="shared" si="73"/>
        <v>2.4198522716792024</v>
      </c>
      <c r="J23" s="105">
        <f t="shared" si="73"/>
        <v>6.054091372142425</v>
      </c>
      <c r="K23" s="105">
        <f t="shared" si="73"/>
        <v>9.3077520069596744</v>
      </c>
      <c r="L23" s="105">
        <f t="shared" si="73"/>
        <v>6.7025420475344939</v>
      </c>
      <c r="M23" s="105">
        <f t="shared" si="73"/>
        <v>10.661684253628348</v>
      </c>
      <c r="N23" s="105">
        <f t="shared" si="73"/>
        <v>9.8364010757010512</v>
      </c>
      <c r="O23" s="105">
        <f t="shared" si="73"/>
        <v>0.69644708244344833</v>
      </c>
      <c r="P23" s="105">
        <f t="shared" si="73"/>
        <v>17.889137503952359</v>
      </c>
      <c r="Q23" s="105">
        <f t="shared" si="73"/>
        <v>19.054169386509649</v>
      </c>
      <c r="R23" s="105">
        <f t="shared" si="73"/>
        <v>20.599389440571311</v>
      </c>
      <c r="S23" s="105">
        <f t="shared" si="73"/>
        <v>14.494496103843849</v>
      </c>
      <c r="T23" s="105">
        <f t="shared" si="73"/>
        <v>5.8751426690589774</v>
      </c>
      <c r="U23" s="105">
        <f t="shared" si="73"/>
        <v>10.58864365912685</v>
      </c>
      <c r="V23" s="105">
        <f t="shared" si="73"/>
        <v>16.400926738979123</v>
      </c>
      <c r="W23" s="105">
        <f t="shared" si="73"/>
        <v>17.074383636202757</v>
      </c>
      <c r="X23" s="105">
        <f t="shared" si="73"/>
        <v>13.375752610563671</v>
      </c>
      <c r="Y23" s="105">
        <f t="shared" si="73"/>
        <v>23.196431150544598</v>
      </c>
      <c r="Z23" s="105">
        <f t="shared" si="73"/>
        <v>28.071837611834198</v>
      </c>
      <c r="AA23" s="105">
        <f t="shared" si="73"/>
        <v>27.967394336254106</v>
      </c>
      <c r="AB23" s="105">
        <f t="shared" si="73"/>
        <v>28.87164064128871</v>
      </c>
      <c r="AC23" s="105">
        <f t="shared" si="73"/>
        <v>12.179178928349755</v>
      </c>
      <c r="AD23" s="105">
        <f t="shared" si="73"/>
        <v>24.146596446337337</v>
      </c>
      <c r="AE23" s="105">
        <f t="shared" si="73"/>
        <v>32.737674602333506</v>
      </c>
      <c r="AF23" s="105">
        <f t="shared" si="73"/>
        <v>28.666809636376154</v>
      </c>
      <c r="AG23" s="105">
        <f t="shared" si="73"/>
        <v>14.92950294388792</v>
      </c>
      <c r="AH23" s="105">
        <f t="shared" si="73"/>
        <v>15.387921884467582</v>
      </c>
      <c r="AI23" s="105">
        <f t="shared" si="73"/>
        <v>28.788126371699931</v>
      </c>
      <c r="AJ23" s="105">
        <f t="shared" si="73"/>
        <v>16.829857004999493</v>
      </c>
      <c r="AK23" s="105">
        <f t="shared" si="73"/>
        <v>28.739795081307356</v>
      </c>
      <c r="AL23" s="105">
        <f t="shared" si="73"/>
        <v>31.428613769215698</v>
      </c>
      <c r="AM23" s="105">
        <f t="shared" si="73"/>
        <v>19.284695677529804</v>
      </c>
      <c r="AN23" s="105">
        <f t="shared" si="73"/>
        <v>28.199707081793431</v>
      </c>
      <c r="AO23" s="105">
        <f t="shared" si="73"/>
        <v>15.085303043201918</v>
      </c>
      <c r="AP23" s="105">
        <f t="shared" si="73"/>
        <v>7.1163115924459612</v>
      </c>
      <c r="AQ23" s="105">
        <f t="shared" si="73"/>
        <v>18.58253975031435</v>
      </c>
      <c r="AR23" s="105">
        <f t="shared" si="73"/>
        <v>16.238805920114018</v>
      </c>
      <c r="AS23" s="105">
        <f t="shared" si="73"/>
        <v>6.8597942863378405</v>
      </c>
      <c r="AT23" s="105">
        <f t="shared" si="73"/>
        <v>13.006468229461776</v>
      </c>
      <c r="AU23" s="105">
        <f t="shared" si="73"/>
        <v>8.2807785856475267</v>
      </c>
      <c r="AV23" s="105">
        <f t="shared" si="73"/>
        <v>27.984677967216257</v>
      </c>
      <c r="AW23" s="105">
        <f t="shared" si="73"/>
        <v>28.559640310867394</v>
      </c>
      <c r="AX23" s="105">
        <f t="shared" si="73"/>
        <v>1.316081764270516</v>
      </c>
      <c r="AY23" s="105">
        <f t="shared" si="73"/>
        <v>20.081299495816243</v>
      </c>
      <c r="AZ23" s="105">
        <f t="shared" si="73"/>
        <v>15.907483431404783</v>
      </c>
      <c r="BA23" s="105">
        <f t="shared" si="73"/>
        <v>11.387055579182617</v>
      </c>
      <c r="BB23" s="105">
        <f t="shared" si="73"/>
        <v>14.542216386130406</v>
      </c>
      <c r="BC23" s="105">
        <f t="shared" si="73"/>
        <v>13.486106258210597</v>
      </c>
      <c r="BD23" s="105">
        <f t="shared" si="73"/>
        <v>7.4965768108545596</v>
      </c>
      <c r="BE23" s="105">
        <f t="shared" si="73"/>
        <v>6.2454788847322931</v>
      </c>
      <c r="BF23" s="105">
        <f t="shared" si="73"/>
        <v>7.9255569155457657</v>
      </c>
      <c r="BG23" s="105">
        <f t="shared" si="73"/>
        <v>4.4474296278289698</v>
      </c>
      <c r="BH23" s="105">
        <f t="shared" si="73"/>
        <v>-0.21969015388302601</v>
      </c>
      <c r="BI23" s="105">
        <f t="shared" si="73"/>
        <v>-1.7140835915601682</v>
      </c>
      <c r="BJ23" s="105">
        <f t="shared" si="73"/>
        <v>-2.9510177242368796</v>
      </c>
      <c r="BK23" s="105">
        <f t="shared" si="73"/>
        <v>-3.2187263909015416</v>
      </c>
      <c r="BL23" s="105">
        <f t="shared" si="73"/>
        <v>-5.3819120377214169</v>
      </c>
      <c r="BM23" s="105">
        <f t="shared" si="73"/>
        <v>-2.8567934913142987</v>
      </c>
      <c r="BN23" s="105">
        <f t="shared" si="73"/>
        <v>-2.480659395405902</v>
      </c>
      <c r="BO23" s="105">
        <f t="shared" si="73"/>
        <v>-5.1551462820375384</v>
      </c>
      <c r="BP23" s="105">
        <f t="shared" si="73"/>
        <v>-3.7022317974116681</v>
      </c>
      <c r="BQ23" s="105">
        <f t="shared" si="73"/>
        <v>-2.3538661159930196</v>
      </c>
      <c r="BR23" s="105">
        <f t="shared" si="74"/>
        <v>-14.080386344220853</v>
      </c>
      <c r="BS23" s="105">
        <f t="shared" si="74"/>
        <v>-9.9212998394925282</v>
      </c>
      <c r="BT23" s="105">
        <f t="shared" si="74"/>
        <v>-16.331724608246098</v>
      </c>
      <c r="BU23" s="105">
        <f t="shared" si="74"/>
        <v>-17.757470684511411</v>
      </c>
      <c r="BV23" s="105">
        <f t="shared" si="74"/>
        <v>-14.777924941007766</v>
      </c>
      <c r="BW23" s="105">
        <f t="shared" si="74"/>
        <v>-10.11080744458946</v>
      </c>
      <c r="BX23" s="105">
        <f t="shared" si="74"/>
        <v>-20.681052266185389</v>
      </c>
      <c r="BY23" s="105">
        <f t="shared" si="74"/>
        <v>-19.950051817553565</v>
      </c>
      <c r="BZ23" s="105">
        <f t="shared" si="74"/>
        <v>-7.9792257253594787</v>
      </c>
      <c r="CA23" s="105">
        <f t="shared" si="74"/>
        <v>-25.404497347154958</v>
      </c>
      <c r="CB23" s="105">
        <f t="shared" si="74"/>
        <v>-3.5487063346524814</v>
      </c>
      <c r="CC23" s="105">
        <f t="shared" si="74"/>
        <v>-21.41837819428342</v>
      </c>
      <c r="CD23" s="105">
        <f t="shared" si="74"/>
        <v>-30.049964954387075</v>
      </c>
      <c r="CE23" s="105">
        <f t="shared" si="74"/>
        <v>-22.764935406535358</v>
      </c>
      <c r="CF23" s="105">
        <f t="shared" si="74"/>
        <v>-29.710178342906602</v>
      </c>
      <c r="CG23" s="105">
        <f t="shared" si="74"/>
        <v>-19.23775433880439</v>
      </c>
      <c r="CH23" s="105">
        <f t="shared" si="74"/>
        <v>-22.115953053179396</v>
      </c>
      <c r="CI23" s="105">
        <f t="shared" si="74"/>
        <v>-26.117308196575092</v>
      </c>
      <c r="CJ23" s="105">
        <f t="shared" si="74"/>
        <v>-9.3492584073241201</v>
      </c>
      <c r="CK23" s="105">
        <f t="shared" si="74"/>
        <v>-15.712967557230355</v>
      </c>
      <c r="CL23" s="105">
        <f t="shared" si="74"/>
        <v>-6.1783307958391456</v>
      </c>
      <c r="CM23" s="105">
        <f t="shared" si="74"/>
        <v>-11.742701216227527</v>
      </c>
      <c r="CN23" s="105">
        <f t="shared" si="74"/>
        <v>-20.232863114813679</v>
      </c>
      <c r="CO23" s="105">
        <f t="shared" si="74"/>
        <v>-19.543829672040587</v>
      </c>
      <c r="CP23" s="105">
        <f t="shared" si="74"/>
        <v>-15.419664954129745</v>
      </c>
      <c r="CQ23" s="105">
        <f t="shared" si="74"/>
        <v>-13.494275846090988</v>
      </c>
      <c r="CR23" s="105">
        <f t="shared" si="74"/>
        <v>-13.849456716244452</v>
      </c>
      <c r="CS23" s="105">
        <f t="shared" si="74"/>
        <v>-1.3433629791518389</v>
      </c>
      <c r="CT23" s="105">
        <f t="shared" si="74"/>
        <v>-7.2907036708492479</v>
      </c>
      <c r="CU23" s="105">
        <f t="shared" si="74"/>
        <v>-5.6631938110525271</v>
      </c>
      <c r="CV23" s="105">
        <f t="shared" si="74"/>
        <v>-6.3729905416258887</v>
      </c>
      <c r="CW23" s="105">
        <f t="shared" si="74"/>
        <v>-4.6234962871174394</v>
      </c>
      <c r="CX23" s="105">
        <f t="shared" si="74"/>
        <v>-3.7914086599046413</v>
      </c>
      <c r="CY23" s="105">
        <f t="shared" si="74"/>
        <v>-2.9536761090157944</v>
      </c>
      <c r="CZ23" s="105">
        <f t="shared" si="74"/>
        <v>-0.11167546075726474</v>
      </c>
      <c r="DA23" s="105">
        <f t="shared" si="74"/>
        <v>7.4330013133782374E-2</v>
      </c>
      <c r="DC23">
        <v>19</v>
      </c>
      <c r="DD23" s="84">
        <v>71.224603670015583</v>
      </c>
      <c r="DE23" s="84">
        <v>13.860411380364932</v>
      </c>
      <c r="DF23" s="84">
        <v>23.196431150544598</v>
      </c>
      <c r="DG23" s="84">
        <v>71.981333250449779</v>
      </c>
      <c r="DH23" s="84">
        <v>10.417369936074209</v>
      </c>
      <c r="DI23" s="84">
        <v>24.329836730080274</v>
      </c>
      <c r="DJ23" s="84">
        <v>3.7029423777221084</v>
      </c>
      <c r="DK23" s="84">
        <f t="shared" si="0"/>
        <v>13.711782252730263</v>
      </c>
      <c r="DL23" s="84">
        <f t="shared" si="1"/>
        <v>1.0321998149216352</v>
      </c>
      <c r="DM23" s="84">
        <f t="shared" si="2"/>
        <v>59.140693009194386</v>
      </c>
      <c r="DN23" s="85">
        <v>2</v>
      </c>
      <c r="DO23">
        <v>5</v>
      </c>
      <c r="DP23">
        <f t="shared" si="3"/>
        <v>67.5</v>
      </c>
      <c r="DQ23" s="270">
        <v>7.6536686473017967</v>
      </c>
      <c r="DR23" s="270">
        <v>18.477590650225736</v>
      </c>
    </row>
    <row r="24" spans="1:236">
      <c r="A24">
        <v>455</v>
      </c>
      <c r="B24" s="90">
        <f>'Color metric'!B18</f>
        <v>0.63265966426374187</v>
      </c>
      <c r="C24" s="82">
        <f>Reference!N24</f>
        <v>2.1893973365615178</v>
      </c>
      <c r="D24" s="82"/>
      <c r="E24" s="106" t="s">
        <v>81</v>
      </c>
      <c r="F24" s="107" t="s">
        <v>424</v>
      </c>
      <c r="G24" s="93" t="s">
        <v>325</v>
      </c>
      <c r="H24" s="93" t="s">
        <v>326</v>
      </c>
      <c r="I24" s="93" t="s">
        <v>327</v>
      </c>
      <c r="J24" s="93" t="s">
        <v>328</v>
      </c>
      <c r="K24" s="93" t="s">
        <v>329</v>
      </c>
      <c r="L24" s="93" t="s">
        <v>330</v>
      </c>
      <c r="M24" s="93" t="s">
        <v>331</v>
      </c>
      <c r="N24" s="93" t="s">
        <v>332</v>
      </c>
      <c r="O24" s="93" t="s">
        <v>333</v>
      </c>
      <c r="P24" s="93" t="s">
        <v>334</v>
      </c>
      <c r="Q24" s="93" t="s">
        <v>335</v>
      </c>
      <c r="R24" s="93" t="s">
        <v>336</v>
      </c>
      <c r="S24" s="93" t="s">
        <v>337</v>
      </c>
      <c r="T24" s="93" t="s">
        <v>338</v>
      </c>
      <c r="U24" s="93" t="s">
        <v>339</v>
      </c>
      <c r="V24" s="93" t="s">
        <v>340</v>
      </c>
      <c r="W24" s="93" t="s">
        <v>341</v>
      </c>
      <c r="X24" s="93" t="s">
        <v>342</v>
      </c>
      <c r="Y24" s="93" t="s">
        <v>343</v>
      </c>
      <c r="Z24" s="93" t="s">
        <v>344</v>
      </c>
      <c r="AA24" s="93" t="s">
        <v>345</v>
      </c>
      <c r="AB24" s="93" t="s">
        <v>346</v>
      </c>
      <c r="AC24" s="93" t="s">
        <v>347</v>
      </c>
      <c r="AD24" s="93" t="s">
        <v>348</v>
      </c>
      <c r="AE24" s="93" t="s">
        <v>349</v>
      </c>
      <c r="AF24" s="93" t="s">
        <v>350</v>
      </c>
      <c r="AG24" s="93" t="s">
        <v>351</v>
      </c>
      <c r="AH24" s="93" t="s">
        <v>352</v>
      </c>
      <c r="AI24" s="93" t="s">
        <v>353</v>
      </c>
      <c r="AJ24" s="93" t="s">
        <v>354</v>
      </c>
      <c r="AK24" s="93" t="s">
        <v>355</v>
      </c>
      <c r="AL24" s="93" t="s">
        <v>356</v>
      </c>
      <c r="AM24" s="93" t="s">
        <v>357</v>
      </c>
      <c r="AN24" s="93" t="s">
        <v>358</v>
      </c>
      <c r="AO24" s="93" t="s">
        <v>359</v>
      </c>
      <c r="AP24" s="93" t="s">
        <v>360</v>
      </c>
      <c r="AQ24" s="93" t="s">
        <v>361</v>
      </c>
      <c r="AR24" s="93" t="s">
        <v>362</v>
      </c>
      <c r="AS24" s="93" t="s">
        <v>363</v>
      </c>
      <c r="AT24" s="93" t="s">
        <v>364</v>
      </c>
      <c r="AU24" s="93" t="s">
        <v>365</v>
      </c>
      <c r="AV24" s="93" t="s">
        <v>366</v>
      </c>
      <c r="AW24" s="93" t="s">
        <v>367</v>
      </c>
      <c r="AX24" s="93" t="s">
        <v>368</v>
      </c>
      <c r="AY24" s="93" t="s">
        <v>369</v>
      </c>
      <c r="AZ24" s="93" t="s">
        <v>370</v>
      </c>
      <c r="BA24" s="93" t="s">
        <v>371</v>
      </c>
      <c r="BB24" s="93" t="s">
        <v>372</v>
      </c>
      <c r="BC24" s="93" t="s">
        <v>373</v>
      </c>
      <c r="BD24" s="93" t="s">
        <v>374</v>
      </c>
      <c r="BE24" s="93" t="s">
        <v>375</v>
      </c>
      <c r="BF24" s="93" t="s">
        <v>376</v>
      </c>
      <c r="BG24" s="93" t="s">
        <v>377</v>
      </c>
      <c r="BH24" s="93" t="s">
        <v>378</v>
      </c>
      <c r="BI24" s="93" t="s">
        <v>379</v>
      </c>
      <c r="BJ24" s="93" t="s">
        <v>380</v>
      </c>
      <c r="BK24" s="93" t="s">
        <v>381</v>
      </c>
      <c r="BL24" s="93" t="s">
        <v>382</v>
      </c>
      <c r="BM24" s="93" t="s">
        <v>383</v>
      </c>
      <c r="BN24" s="93" t="s">
        <v>384</v>
      </c>
      <c r="BO24" s="93" t="s">
        <v>385</v>
      </c>
      <c r="BP24" s="93" t="s">
        <v>386</v>
      </c>
      <c r="BQ24" s="93" t="s">
        <v>387</v>
      </c>
      <c r="BR24" s="93" t="s">
        <v>388</v>
      </c>
      <c r="BS24" s="93" t="s">
        <v>389</v>
      </c>
      <c r="BT24" s="93" t="s">
        <v>390</v>
      </c>
      <c r="BU24" s="93" t="s">
        <v>391</v>
      </c>
      <c r="BV24" s="93" t="s">
        <v>392</v>
      </c>
      <c r="BW24" s="93" t="s">
        <v>393</v>
      </c>
      <c r="BX24" s="93" t="s">
        <v>394</v>
      </c>
      <c r="BY24" s="93" t="s">
        <v>395</v>
      </c>
      <c r="BZ24" s="93" t="s">
        <v>396</v>
      </c>
      <c r="CA24" s="93" t="s">
        <v>397</v>
      </c>
      <c r="CB24" s="93" t="s">
        <v>398</v>
      </c>
      <c r="CC24" s="93" t="s">
        <v>399</v>
      </c>
      <c r="CD24" s="93" t="s">
        <v>400</v>
      </c>
      <c r="CE24" s="93" t="s">
        <v>401</v>
      </c>
      <c r="CF24" s="93" t="s">
        <v>402</v>
      </c>
      <c r="CG24" s="93" t="s">
        <v>403</v>
      </c>
      <c r="CH24" s="93" t="s">
        <v>404</v>
      </c>
      <c r="CI24" s="93" t="s">
        <v>405</v>
      </c>
      <c r="CJ24" s="93" t="s">
        <v>406</v>
      </c>
      <c r="CK24" s="93" t="s">
        <v>407</v>
      </c>
      <c r="CL24" s="93" t="s">
        <v>408</v>
      </c>
      <c r="CM24" s="93" t="s">
        <v>409</v>
      </c>
      <c r="CN24" s="93" t="s">
        <v>410</v>
      </c>
      <c r="CO24" s="93" t="s">
        <v>411</v>
      </c>
      <c r="CP24" s="93" t="s">
        <v>412</v>
      </c>
      <c r="CQ24" s="93" t="s">
        <v>413</v>
      </c>
      <c r="CR24" s="93" t="s">
        <v>414</v>
      </c>
      <c r="CS24" s="93" t="s">
        <v>415</v>
      </c>
      <c r="CT24" s="93" t="s">
        <v>416</v>
      </c>
      <c r="CU24" s="93" t="s">
        <v>417</v>
      </c>
      <c r="CV24" s="93" t="s">
        <v>418</v>
      </c>
      <c r="CW24" s="93" t="s">
        <v>419</v>
      </c>
      <c r="CX24" s="93" t="s">
        <v>420</v>
      </c>
      <c r="CY24" s="93" t="s">
        <v>421</v>
      </c>
      <c r="CZ24" s="93" t="s">
        <v>422</v>
      </c>
      <c r="DA24" s="93" t="s">
        <v>423</v>
      </c>
      <c r="DC24">
        <v>20</v>
      </c>
      <c r="DD24" s="84">
        <v>66.932841596611112</v>
      </c>
      <c r="DE24" s="84">
        <v>19.010883226896489</v>
      </c>
      <c r="DF24" s="84">
        <v>28.071837611834198</v>
      </c>
      <c r="DG24" s="84">
        <v>65.909241920178928</v>
      </c>
      <c r="DH24" s="84">
        <v>14.706358869370815</v>
      </c>
      <c r="DI24" s="84">
        <v>31.227548552153326</v>
      </c>
      <c r="DJ24" s="84">
        <v>5.4346294980406649</v>
      </c>
      <c r="DK24" s="84">
        <f t="shared" si="0"/>
        <v>29.535197780973728</v>
      </c>
      <c r="DL24" s="84">
        <f t="shared" si="1"/>
        <v>0.97552132001525349</v>
      </c>
      <c r="DM24" s="84">
        <f t="shared" si="2"/>
        <v>55.893254461904981</v>
      </c>
      <c r="DN24" s="85">
        <v>2</v>
      </c>
      <c r="DO24">
        <v>6</v>
      </c>
      <c r="DP24">
        <f t="shared" si="3"/>
        <v>67.5</v>
      </c>
      <c r="DQ24" s="270">
        <v>7.6536686473017967</v>
      </c>
      <c r="DR24" s="270">
        <v>18.477590650225736</v>
      </c>
      <c r="DT24" t="s">
        <v>98</v>
      </c>
      <c r="DU24" s="84">
        <f>SUMPRODUCT(DU12:EB12,DU13:EB13)</f>
        <v>-1205.8237218003737</v>
      </c>
    </row>
    <row r="25" spans="1:236">
      <c r="A25">
        <v>460</v>
      </c>
      <c r="B25" s="90">
        <f>'Color metric'!B19</f>
        <v>0.55097702240760138</v>
      </c>
      <c r="C25" s="82">
        <f>Reference!N25</f>
        <v>2.3014373043622776</v>
      </c>
      <c r="D25" s="82"/>
      <c r="E25" s="106" t="s">
        <v>93</v>
      </c>
      <c r="F25" s="107">
        <f t="shared" ref="F25:BQ25" si="78">F208</f>
        <v>100</v>
      </c>
      <c r="G25" s="107">
        <f t="shared" si="78"/>
        <v>85.881677333829131</v>
      </c>
      <c r="H25" s="107">
        <f t="shared" si="78"/>
        <v>62.125680237671439</v>
      </c>
      <c r="I25" s="107">
        <f t="shared" si="78"/>
        <v>31.066972922702774</v>
      </c>
      <c r="J25" s="107">
        <f t="shared" si="78"/>
        <v>70.224497886188502</v>
      </c>
      <c r="K25" s="107">
        <f t="shared" si="78"/>
        <v>49.136915127845555</v>
      </c>
      <c r="L25" s="107">
        <f t="shared" si="78"/>
        <v>50.995052651873777</v>
      </c>
      <c r="M25" s="107">
        <f t="shared" si="78"/>
        <v>41.60615998667955</v>
      </c>
      <c r="N25" s="107">
        <f t="shared" si="78"/>
        <v>40.490588205115095</v>
      </c>
      <c r="O25" s="107">
        <f t="shared" si="78"/>
        <v>28.772239027005011</v>
      </c>
      <c r="P25" s="107">
        <f t="shared" si="78"/>
        <v>75.24787244729275</v>
      </c>
      <c r="Q25" s="107">
        <f t="shared" si="78"/>
        <v>58.253567284468794</v>
      </c>
      <c r="R25" s="107">
        <f t="shared" si="78"/>
        <v>64.311364089042272</v>
      </c>
      <c r="S25" s="107">
        <f t="shared" si="78"/>
        <v>42.96284815399121</v>
      </c>
      <c r="T25" s="107">
        <f t="shared" si="78"/>
        <v>74.178147997829996</v>
      </c>
      <c r="U25" s="107">
        <f t="shared" si="78"/>
        <v>71.23648202688085</v>
      </c>
      <c r="V25" s="107">
        <f t="shared" si="78"/>
        <v>47.26596861449287</v>
      </c>
      <c r="W25" s="107">
        <f t="shared" si="78"/>
        <v>49.781929020340989</v>
      </c>
      <c r="X25" s="107">
        <f t="shared" si="78"/>
        <v>56.259353889962163</v>
      </c>
      <c r="Y25" s="107">
        <f t="shared" si="78"/>
        <v>71.981333250449779</v>
      </c>
      <c r="Z25" s="107">
        <f t="shared" si="78"/>
        <v>65.909241920178928</v>
      </c>
      <c r="AA25" s="107">
        <f t="shared" si="78"/>
        <v>86.531887613941862</v>
      </c>
      <c r="AB25" s="107">
        <f t="shared" si="78"/>
        <v>78.691766239298218</v>
      </c>
      <c r="AC25" s="107">
        <f t="shared" si="78"/>
        <v>91.639421917134442</v>
      </c>
      <c r="AD25" s="107">
        <f t="shared" si="78"/>
        <v>90.821516469092998</v>
      </c>
      <c r="AE25" s="107">
        <f t="shared" si="78"/>
        <v>72.160512863264813</v>
      </c>
      <c r="AF25" s="107">
        <f t="shared" si="78"/>
        <v>89.81108089767325</v>
      </c>
      <c r="AG25" s="107">
        <f t="shared" si="78"/>
        <v>73.566540488978546</v>
      </c>
      <c r="AH25" s="107">
        <f t="shared" si="78"/>
        <v>42.260488724150946</v>
      </c>
      <c r="AI25" s="107">
        <f t="shared" si="78"/>
        <v>86.794427126581269</v>
      </c>
      <c r="AJ25" s="107">
        <f t="shared" si="78"/>
        <v>64.439592161341025</v>
      </c>
      <c r="AK25" s="107">
        <f t="shared" si="78"/>
        <v>88.464313103950886</v>
      </c>
      <c r="AL25" s="107">
        <f t="shared" si="78"/>
        <v>75.396855861984264</v>
      </c>
      <c r="AM25" s="107">
        <f t="shared" si="78"/>
        <v>89.622095119029296</v>
      </c>
      <c r="AN25" s="107">
        <f t="shared" si="78"/>
        <v>62.685953412788528</v>
      </c>
      <c r="AO25" s="107">
        <f t="shared" si="78"/>
        <v>42.836052966217274</v>
      </c>
      <c r="AP25" s="107">
        <f t="shared" si="78"/>
        <v>80.777265254766888</v>
      </c>
      <c r="AQ25" s="107">
        <f t="shared" si="78"/>
        <v>48.655331037169496</v>
      </c>
      <c r="AR25" s="107">
        <f t="shared" si="78"/>
        <v>86.360581316240626</v>
      </c>
      <c r="AS25" s="107">
        <f t="shared" si="78"/>
        <v>35.231155749096239</v>
      </c>
      <c r="AT25" s="107">
        <f t="shared" si="78"/>
        <v>49.900227233477104</v>
      </c>
      <c r="AU25" s="107">
        <f t="shared" si="78"/>
        <v>88.095475481684417</v>
      </c>
      <c r="AV25" s="107">
        <f t="shared" si="78"/>
        <v>69.07939252677555</v>
      </c>
      <c r="AW25" s="107">
        <f t="shared" si="78"/>
        <v>72.587867420850316</v>
      </c>
      <c r="AX25" s="107">
        <f t="shared" si="78"/>
        <v>28.809454386983962</v>
      </c>
      <c r="AY25" s="107">
        <f t="shared" si="78"/>
        <v>58.621206086806247</v>
      </c>
      <c r="AZ25" s="107">
        <f t="shared" si="78"/>
        <v>66.837841403383067</v>
      </c>
      <c r="BA25" s="107">
        <f t="shared" si="78"/>
        <v>69.645917677459821</v>
      </c>
      <c r="BB25" s="107">
        <f t="shared" si="78"/>
        <v>78.0069924781683</v>
      </c>
      <c r="BC25" s="107">
        <f t="shared" si="78"/>
        <v>46.240264334239605</v>
      </c>
      <c r="BD25" s="107">
        <f t="shared" si="78"/>
        <v>54.410339169644125</v>
      </c>
      <c r="BE25" s="107">
        <f t="shared" si="78"/>
        <v>58.181566044800562</v>
      </c>
      <c r="BF25" s="107">
        <f t="shared" si="78"/>
        <v>40.792572485481038</v>
      </c>
      <c r="BG25" s="107">
        <f t="shared" si="78"/>
        <v>49.081381317528717</v>
      </c>
      <c r="BH25" s="107">
        <f t="shared" si="78"/>
        <v>87.174628453502166</v>
      </c>
      <c r="BI25" s="107">
        <f t="shared" si="78"/>
        <v>83.561240995634918</v>
      </c>
      <c r="BJ25" s="107">
        <f t="shared" si="78"/>
        <v>70.744054864760585</v>
      </c>
      <c r="BK25" s="107">
        <f t="shared" si="78"/>
        <v>57.122874946077296</v>
      </c>
      <c r="BL25" s="107">
        <f t="shared" si="78"/>
        <v>53.351043306035457</v>
      </c>
      <c r="BM25" s="107">
        <f t="shared" si="78"/>
        <v>86.814172587531218</v>
      </c>
      <c r="BN25" s="107">
        <f t="shared" si="78"/>
        <v>88.302410998309057</v>
      </c>
      <c r="BO25" s="107">
        <f t="shared" si="78"/>
        <v>76.718512188429514</v>
      </c>
      <c r="BP25" s="107">
        <f t="shared" si="78"/>
        <v>66.999373844118011</v>
      </c>
      <c r="BQ25" s="107">
        <f t="shared" si="78"/>
        <v>34.604818846250431</v>
      </c>
      <c r="BR25" s="107">
        <f t="shared" ref="BR25:DA25" si="79">BR208</f>
        <v>57.672530139596525</v>
      </c>
      <c r="BS25" s="107">
        <f t="shared" si="79"/>
        <v>40.171216615332121</v>
      </c>
      <c r="BT25" s="107">
        <f t="shared" si="79"/>
        <v>43.474827870529488</v>
      </c>
      <c r="BU25" s="107">
        <f t="shared" si="79"/>
        <v>46.703539757790004</v>
      </c>
      <c r="BV25" s="107">
        <f t="shared" si="79"/>
        <v>63.469093459264528</v>
      </c>
      <c r="BW25" s="107">
        <f t="shared" si="79"/>
        <v>53.012829440880033</v>
      </c>
      <c r="BX25" s="107">
        <f t="shared" si="79"/>
        <v>72.017147526664004</v>
      </c>
      <c r="BY25" s="107">
        <f t="shared" si="79"/>
        <v>34.486137853607474</v>
      </c>
      <c r="BZ25" s="107">
        <f t="shared" si="79"/>
        <v>76.73671253896562</v>
      </c>
      <c r="CA25" s="107">
        <f t="shared" si="79"/>
        <v>57.070194617908918</v>
      </c>
      <c r="CB25" s="107">
        <f t="shared" si="79"/>
        <v>28.290155056398604</v>
      </c>
      <c r="CC25" s="107">
        <f t="shared" si="79"/>
        <v>32.75243419956108</v>
      </c>
      <c r="CD25" s="107">
        <f t="shared" si="79"/>
        <v>47.262208331639435</v>
      </c>
      <c r="CE25" s="107">
        <f t="shared" si="79"/>
        <v>44.006771231701222</v>
      </c>
      <c r="CF25" s="107">
        <f t="shared" si="79"/>
        <v>43.99970994299143</v>
      </c>
      <c r="CG25" s="107">
        <f t="shared" si="79"/>
        <v>73.482084642038416</v>
      </c>
      <c r="CH25" s="107">
        <f t="shared" si="79"/>
        <v>65.751325176012756</v>
      </c>
      <c r="CI25" s="107">
        <f t="shared" si="79"/>
        <v>43.525908838650963</v>
      </c>
      <c r="CJ25" s="107">
        <f t="shared" si="79"/>
        <v>87.394543670023623</v>
      </c>
      <c r="CK25" s="107">
        <f t="shared" si="79"/>
        <v>73.221872382240491</v>
      </c>
      <c r="CL25" s="107">
        <f t="shared" si="79"/>
        <v>27.979294175669402</v>
      </c>
      <c r="CM25" s="107">
        <f t="shared" si="79"/>
        <v>41.209010208214288</v>
      </c>
      <c r="CN25" s="107">
        <f t="shared" si="79"/>
        <v>65.223493098757601</v>
      </c>
      <c r="CO25" s="107">
        <f t="shared" si="79"/>
        <v>39.565428547756397</v>
      </c>
      <c r="CP25" s="107">
        <f t="shared" si="79"/>
        <v>62.33401054253163</v>
      </c>
      <c r="CQ25" s="107">
        <f t="shared" si="79"/>
        <v>38.305201411845403</v>
      </c>
      <c r="CR25" s="107">
        <f t="shared" si="79"/>
        <v>44.021768018107792</v>
      </c>
      <c r="CS25" s="107">
        <f t="shared" si="79"/>
        <v>80.695454405516628</v>
      </c>
      <c r="CT25" s="107">
        <f t="shared" si="79"/>
        <v>55.959276849212486</v>
      </c>
      <c r="CU25" s="107">
        <f t="shared" si="79"/>
        <v>67.408901027559494</v>
      </c>
      <c r="CV25" s="107">
        <f t="shared" si="79"/>
        <v>38.960649596996738</v>
      </c>
      <c r="CW25" s="107">
        <f t="shared" si="79"/>
        <v>70.163130319082342</v>
      </c>
      <c r="CX25" s="107">
        <f t="shared" si="79"/>
        <v>78.481134349245693</v>
      </c>
      <c r="CY25" s="107">
        <f t="shared" si="79"/>
        <v>53.312756571108203</v>
      </c>
      <c r="CZ25" s="107">
        <f t="shared" si="79"/>
        <v>65.086044143270669</v>
      </c>
      <c r="DA25" s="107">
        <f t="shared" si="79"/>
        <v>52.304768653740389</v>
      </c>
      <c r="DC25">
        <v>21</v>
      </c>
      <c r="DD25" s="84">
        <v>85.750716060651854</v>
      </c>
      <c r="DE25" s="84">
        <v>13.852493262781975</v>
      </c>
      <c r="DF25" s="84">
        <v>27.967394336254106</v>
      </c>
      <c r="DG25" s="84">
        <v>86.531887613941862</v>
      </c>
      <c r="DH25" s="84">
        <v>9.5945948677082917</v>
      </c>
      <c r="DI25" s="84">
        <v>29.38062095428144</v>
      </c>
      <c r="DJ25" s="84">
        <v>4.5538046963326773</v>
      </c>
      <c r="DK25" s="84">
        <f t="shared" si="0"/>
        <v>20.737137212341548</v>
      </c>
      <c r="DL25" s="84">
        <f t="shared" si="1"/>
        <v>1.1109088094146022</v>
      </c>
      <c r="DM25" s="84">
        <f t="shared" si="2"/>
        <v>63.650386203359837</v>
      </c>
      <c r="DN25" s="85">
        <v>2</v>
      </c>
      <c r="DO25">
        <v>4</v>
      </c>
      <c r="DP25">
        <f t="shared" si="3"/>
        <v>67.5</v>
      </c>
      <c r="DQ25" s="270">
        <v>7.6536686473017967</v>
      </c>
      <c r="DR25" s="270">
        <v>18.477590650225736</v>
      </c>
      <c r="DT25" t="s">
        <v>99</v>
      </c>
      <c r="DU25" s="84">
        <f>SUMPRODUCT(DU14:EB14,DU15:EB15)</f>
        <v>-1153.730208133416</v>
      </c>
    </row>
    <row r="26" spans="1:236">
      <c r="A26">
        <v>465</v>
      </c>
      <c r="B26" s="90">
        <f>'Color metric'!B20</f>
        <v>0.43601979858474216</v>
      </c>
      <c r="C26" s="82">
        <f>Reference!N26</f>
        <v>2.4152057321560179</v>
      </c>
      <c r="D26" s="82"/>
      <c r="E26" s="106" t="s">
        <v>95</v>
      </c>
      <c r="F26" s="107">
        <f t="shared" ref="F26:BQ27" si="80">F210</f>
        <v>6.102648751210772E-3</v>
      </c>
      <c r="G26" s="107">
        <f t="shared" si="80"/>
        <v>15.236663912093682</v>
      </c>
      <c r="H26" s="107">
        <f t="shared" si="80"/>
        <v>28.367640981309265</v>
      </c>
      <c r="I26" s="107">
        <f t="shared" si="80"/>
        <v>13.006930604705465</v>
      </c>
      <c r="J26" s="107">
        <f t="shared" si="80"/>
        <v>17.813736898159021</v>
      </c>
      <c r="K26" s="107">
        <f t="shared" si="80"/>
        <v>28.851242782552081</v>
      </c>
      <c r="L26" s="107">
        <f t="shared" si="80"/>
        <v>14.923130320208402</v>
      </c>
      <c r="M26" s="107">
        <f t="shared" si="80"/>
        <v>28.096952643881828</v>
      </c>
      <c r="N26" s="107">
        <f t="shared" si="80"/>
        <v>25.18568715515957</v>
      </c>
      <c r="O26" s="107">
        <f t="shared" si="80"/>
        <v>3.3084246507130763</v>
      </c>
      <c r="P26" s="107">
        <f t="shared" si="80"/>
        <v>26.008736059974265</v>
      </c>
      <c r="Q26" s="107">
        <f t="shared" si="80"/>
        <v>24.32637365591069</v>
      </c>
      <c r="R26" s="107">
        <f t="shared" si="80"/>
        <v>26.094011774257027</v>
      </c>
      <c r="S26" s="107">
        <f t="shared" si="80"/>
        <v>15.941935785792795</v>
      </c>
      <c r="T26" s="107">
        <f t="shared" si="80"/>
        <v>5.3232601457990363</v>
      </c>
      <c r="U26" s="107">
        <f t="shared" si="80"/>
        <v>10.998111863764487</v>
      </c>
      <c r="V26" s="107">
        <f t="shared" si="80"/>
        <v>13.17699859353084</v>
      </c>
      <c r="W26" s="107">
        <f t="shared" si="80"/>
        <v>11.103389170047141</v>
      </c>
      <c r="X26" s="107">
        <f t="shared" si="80"/>
        <v>9.4912178601524353</v>
      </c>
      <c r="Y26" s="107">
        <f t="shared" si="80"/>
        <v>10.417369936074209</v>
      </c>
      <c r="Z26" s="107">
        <f t="shared" si="80"/>
        <v>14.706358869370815</v>
      </c>
      <c r="AA26" s="107">
        <f t="shared" si="80"/>
        <v>9.5945948677082917</v>
      </c>
      <c r="AB26" s="107">
        <f t="shared" si="80"/>
        <v>10.916358367453231</v>
      </c>
      <c r="AC26" s="107">
        <f t="shared" si="80"/>
        <v>2.2709270044888408</v>
      </c>
      <c r="AD26" s="107">
        <f t="shared" si="80"/>
        <v>3.2871768399427088</v>
      </c>
      <c r="AE26" s="107">
        <f t="shared" si="80"/>
        <v>3.6804569911788869</v>
      </c>
      <c r="AF26" s="107">
        <f t="shared" si="80"/>
        <v>3.2084135703263912</v>
      </c>
      <c r="AG26" s="107">
        <f t="shared" si="80"/>
        <v>0.34304751871851696</v>
      </c>
      <c r="AH26" s="107">
        <f t="shared" si="80"/>
        <v>-1.2911793578607174</v>
      </c>
      <c r="AI26" s="107">
        <f t="shared" si="80"/>
        <v>-0.84050538117471318</v>
      </c>
      <c r="AJ26" s="107">
        <f t="shared" si="80"/>
        <v>0.82571363109393014</v>
      </c>
      <c r="AK26" s="107">
        <f t="shared" si="80"/>
        <v>-2.0110875782095743</v>
      </c>
      <c r="AL26" s="107">
        <f t="shared" si="80"/>
        <v>-4.1800837118232312</v>
      </c>
      <c r="AM26" s="107">
        <f t="shared" si="80"/>
        <v>-1.2167391171330635</v>
      </c>
      <c r="AN26" s="107">
        <f t="shared" si="80"/>
        <v>-5.5170434603957919</v>
      </c>
      <c r="AO26" s="107">
        <f t="shared" si="80"/>
        <v>-3.6878670658500483</v>
      </c>
      <c r="AP26" s="107">
        <f t="shared" si="80"/>
        <v>0.23089065511900425</v>
      </c>
      <c r="AQ26" s="107">
        <f t="shared" si="80"/>
        <v>-6.6835635050412359</v>
      </c>
      <c r="AR26" s="107">
        <f t="shared" si="80"/>
        <v>-2.8514004407811422</v>
      </c>
      <c r="AS26" s="107">
        <f t="shared" si="80"/>
        <v>-2.1376942689272194</v>
      </c>
      <c r="AT26" s="107">
        <f t="shared" si="80"/>
        <v>-4.6815991192179576</v>
      </c>
      <c r="AU26" s="107">
        <f t="shared" si="80"/>
        <v>-3.3432642489741604</v>
      </c>
      <c r="AV26" s="107">
        <f t="shared" si="80"/>
        <v>-17.435208320233535</v>
      </c>
      <c r="AW26" s="107">
        <f t="shared" si="80"/>
        <v>-17.163155284687093</v>
      </c>
      <c r="AX26" s="107">
        <f t="shared" si="80"/>
        <v>-0.82836729756374383</v>
      </c>
      <c r="AY26" s="107">
        <f t="shared" si="80"/>
        <v>-17.404438791440043</v>
      </c>
      <c r="AZ26" s="107">
        <f t="shared" si="80"/>
        <v>-13.046871972080478</v>
      </c>
      <c r="BA26" s="107">
        <f t="shared" si="80"/>
        <v>-9.1522163765280098</v>
      </c>
      <c r="BB26" s="107">
        <f t="shared" si="80"/>
        <v>-17.290300850507471</v>
      </c>
      <c r="BC26" s="107">
        <f t="shared" si="80"/>
        <v>-16.034577350297841</v>
      </c>
      <c r="BD26" s="107">
        <f t="shared" si="80"/>
        <v>-16.703682546644099</v>
      </c>
      <c r="BE26" s="107">
        <f t="shared" si="80"/>
        <v>-14.556744352297962</v>
      </c>
      <c r="BF26" s="107">
        <f t="shared" si="80"/>
        <v>-19.63914563122152</v>
      </c>
      <c r="BG26" s="107">
        <f t="shared" si="80"/>
        <v>-28.391155197978385</v>
      </c>
      <c r="BH26" s="107">
        <f t="shared" si="80"/>
        <v>-14.405813094540694</v>
      </c>
      <c r="BI26" s="107">
        <f t="shared" si="80"/>
        <v>-16.06187919000606</v>
      </c>
      <c r="BJ26" s="107">
        <f t="shared" si="80"/>
        <v>-27.330366137391781</v>
      </c>
      <c r="BK26" s="107">
        <f t="shared" si="80"/>
        <v>-28.904618552231504</v>
      </c>
      <c r="BL26" s="107">
        <f t="shared" si="80"/>
        <v>-28.605931873500445</v>
      </c>
      <c r="BM26" s="107">
        <f t="shared" si="80"/>
        <v>-14.173438470285973</v>
      </c>
      <c r="BN26" s="107">
        <f t="shared" si="80"/>
        <v>-5.7370579140911291</v>
      </c>
      <c r="BO26" s="107">
        <f t="shared" si="80"/>
        <v>-12.768659762295957</v>
      </c>
      <c r="BP26" s="107">
        <f t="shared" si="80"/>
        <v>-5.0181220472785872</v>
      </c>
      <c r="BQ26" s="107">
        <f t="shared" si="80"/>
        <v>0.67293636371955767</v>
      </c>
      <c r="BR26" s="107">
        <f t="shared" ref="BR26:DA27" si="81">BR210</f>
        <v>-25.220552294228408</v>
      </c>
      <c r="BS26" s="107">
        <f t="shared" si="81"/>
        <v>-14.089435162677129</v>
      </c>
      <c r="BT26" s="107">
        <f t="shared" si="81"/>
        <v>-21.184765612676856</v>
      </c>
      <c r="BU26" s="107">
        <f t="shared" si="81"/>
        <v>-21.29186038720896</v>
      </c>
      <c r="BV26" s="107">
        <f t="shared" si="81"/>
        <v>-13.929484801639115</v>
      </c>
      <c r="BW26" s="107">
        <f t="shared" si="81"/>
        <v>-5.2018912516890001</v>
      </c>
      <c r="BX26" s="107">
        <f t="shared" si="81"/>
        <v>-13.4776955293796</v>
      </c>
      <c r="BY26" s="107">
        <f t="shared" si="81"/>
        <v>-10.046842180393153</v>
      </c>
      <c r="BZ26" s="107">
        <f t="shared" si="81"/>
        <v>-4.5375615579708972</v>
      </c>
      <c r="CA26" s="107">
        <f t="shared" si="81"/>
        <v>-15.71354635936682</v>
      </c>
      <c r="CB26" s="107">
        <f t="shared" si="81"/>
        <v>-1.2395361985654936</v>
      </c>
      <c r="CC26" s="107">
        <f t="shared" si="81"/>
        <v>-7.2582881080321151</v>
      </c>
      <c r="CD26" s="107">
        <f t="shared" si="81"/>
        <v>-9.0375205501677769</v>
      </c>
      <c r="CE26" s="107">
        <f t="shared" si="81"/>
        <v>-6.700731342796038</v>
      </c>
      <c r="CF26" s="107">
        <f t="shared" si="81"/>
        <v>-7.4241378440932175</v>
      </c>
      <c r="CG26" s="107">
        <f t="shared" si="81"/>
        <v>-2.4798984077797739</v>
      </c>
      <c r="CH26" s="107">
        <f t="shared" si="81"/>
        <v>2.0276315227354349</v>
      </c>
      <c r="CI26" s="107">
        <f t="shared" si="81"/>
        <v>3.2283142442523274</v>
      </c>
      <c r="CJ26" s="107">
        <f t="shared" si="81"/>
        <v>1.6290318197755642</v>
      </c>
      <c r="CK26" s="107">
        <f t="shared" si="81"/>
        <v>3.6719068983163203</v>
      </c>
      <c r="CL26" s="107">
        <f t="shared" si="81"/>
        <v>4.5474360457535932</v>
      </c>
      <c r="CM26" s="107">
        <f t="shared" si="81"/>
        <v>5.4600179611139215</v>
      </c>
      <c r="CN26" s="107">
        <f t="shared" si="81"/>
        <v>7.8317521555093323</v>
      </c>
      <c r="CO26" s="107">
        <f t="shared" si="81"/>
        <v>13.225833013210414</v>
      </c>
      <c r="CP26" s="107">
        <f t="shared" si="81"/>
        <v>16.769081037195857</v>
      </c>
      <c r="CQ26" s="107">
        <f t="shared" si="81"/>
        <v>15.194242731545653</v>
      </c>
      <c r="CR26" s="107">
        <f t="shared" si="81"/>
        <v>18.849751139163001</v>
      </c>
      <c r="CS26" s="107">
        <f t="shared" si="81"/>
        <v>4.107004853687501</v>
      </c>
      <c r="CT26" s="107">
        <f t="shared" si="81"/>
        <v>13.689465882787646</v>
      </c>
      <c r="CU26" s="107">
        <f t="shared" si="81"/>
        <v>12.101388573717667</v>
      </c>
      <c r="CV26" s="107">
        <f t="shared" si="81"/>
        <v>19.354805716597266</v>
      </c>
      <c r="CW26" s="107">
        <f t="shared" si="81"/>
        <v>16.459230342872324</v>
      </c>
      <c r="CX26" s="107">
        <f t="shared" si="81"/>
        <v>15.7328358648075</v>
      </c>
      <c r="CY26" s="107">
        <f t="shared" si="81"/>
        <v>21.867853088791406</v>
      </c>
      <c r="CZ26" s="107">
        <f t="shared" si="81"/>
        <v>27.807952231210621</v>
      </c>
      <c r="DA26" s="107">
        <f t="shared" si="81"/>
        <v>29.423940771692422</v>
      </c>
      <c r="DC26">
        <v>22</v>
      </c>
      <c r="DD26" s="84">
        <v>78.237700331948886</v>
      </c>
      <c r="DE26" s="84">
        <v>14.957204661222505</v>
      </c>
      <c r="DF26" s="84">
        <v>28.87164064128871</v>
      </c>
      <c r="DG26" s="84">
        <v>78.691766239298218</v>
      </c>
      <c r="DH26" s="84">
        <v>10.916358367453231</v>
      </c>
      <c r="DI26" s="84">
        <v>30.088449561572496</v>
      </c>
      <c r="DJ26" s="84">
        <v>4.244436189480064</v>
      </c>
      <c r="DK26" s="84">
        <f t="shared" si="0"/>
        <v>18.015238566568044</v>
      </c>
      <c r="DL26" s="84">
        <f t="shared" si="1"/>
        <v>1.0928063490157305</v>
      </c>
      <c r="DM26" s="84">
        <f t="shared" si="2"/>
        <v>62.61319162370178</v>
      </c>
      <c r="DN26" s="85">
        <v>2</v>
      </c>
      <c r="DO26">
        <v>4</v>
      </c>
      <c r="DP26">
        <f t="shared" si="3"/>
        <v>67.5</v>
      </c>
      <c r="DQ26" s="270">
        <v>7.6536686473017967</v>
      </c>
      <c r="DR26" s="270">
        <v>18.477590650225736</v>
      </c>
      <c r="DT26" t="s">
        <v>100</v>
      </c>
      <c r="DU26" s="84">
        <f>DU25/DU24*100</f>
        <v>95.679840035890265</v>
      </c>
    </row>
    <row r="27" spans="1:236">
      <c r="A27">
        <v>470</v>
      </c>
      <c r="B27" s="90">
        <f>'Color metric'!B21</f>
        <v>0.34580834841474994</v>
      </c>
      <c r="C27" s="82">
        <f>Reference!N27</f>
        <v>2.5305517455725504</v>
      </c>
      <c r="D27" s="82"/>
      <c r="E27" s="106" t="s">
        <v>97</v>
      </c>
      <c r="F27" s="107">
        <f t="shared" si="80"/>
        <v>6.7807208355656764E-4</v>
      </c>
      <c r="G27" s="107">
        <f t="shared" si="80"/>
        <v>0.98137994058961742</v>
      </c>
      <c r="H27" s="107">
        <f t="shared" si="80"/>
        <v>3.4598399357351064</v>
      </c>
      <c r="I27" s="107">
        <f t="shared" si="80"/>
        <v>0.35899917025025579</v>
      </c>
      <c r="J27" s="107">
        <f t="shared" si="80"/>
        <v>6.5356293092960493</v>
      </c>
      <c r="K27" s="107">
        <f t="shared" si="80"/>
        <v>8.8851589095074619</v>
      </c>
      <c r="L27" s="107">
        <f t="shared" si="80"/>
        <v>6.5009653402512075</v>
      </c>
      <c r="M27" s="107">
        <f t="shared" si="80"/>
        <v>9.6859918673862069</v>
      </c>
      <c r="N27" s="107">
        <f t="shared" si="80"/>
        <v>8.7753737413408484</v>
      </c>
      <c r="O27" s="107">
        <f t="shared" si="80"/>
        <v>0.26172704649304929</v>
      </c>
      <c r="P27" s="107">
        <f t="shared" si="80"/>
        <v>18.681965144802579</v>
      </c>
      <c r="Q27" s="107">
        <f t="shared" si="80"/>
        <v>19.713207720721616</v>
      </c>
      <c r="R27" s="107">
        <f t="shared" si="80"/>
        <v>21.223982860625874</v>
      </c>
      <c r="S27" s="107">
        <f t="shared" si="80"/>
        <v>14.570851839988517</v>
      </c>
      <c r="T27" s="107">
        <f t="shared" si="80"/>
        <v>6.000857504834789</v>
      </c>
      <c r="U27" s="107">
        <f t="shared" si="80"/>
        <v>10.175252756873853</v>
      </c>
      <c r="V27" s="107">
        <f t="shared" si="80"/>
        <v>16.555120232474835</v>
      </c>
      <c r="W27" s="107">
        <f t="shared" si="80"/>
        <v>17.696546006441206</v>
      </c>
      <c r="X27" s="107">
        <f t="shared" si="80"/>
        <v>13.383949347264299</v>
      </c>
      <c r="Y27" s="107">
        <f t="shared" si="80"/>
        <v>24.329836730080274</v>
      </c>
      <c r="Z27" s="107">
        <f t="shared" si="80"/>
        <v>31.227548552153326</v>
      </c>
      <c r="AA27" s="107">
        <f t="shared" si="80"/>
        <v>29.38062095428144</v>
      </c>
      <c r="AB27" s="107">
        <f t="shared" si="80"/>
        <v>30.088449561572496</v>
      </c>
      <c r="AC27" s="107">
        <f t="shared" si="80"/>
        <v>12.617479009812325</v>
      </c>
      <c r="AD27" s="107">
        <f t="shared" si="80"/>
        <v>25.433059451418892</v>
      </c>
      <c r="AE27" s="107">
        <f t="shared" si="80"/>
        <v>34.126628207704911</v>
      </c>
      <c r="AF27" s="107">
        <f t="shared" si="80"/>
        <v>30.038413937746228</v>
      </c>
      <c r="AG27" s="107">
        <f t="shared" si="80"/>
        <v>14.471268423061455</v>
      </c>
      <c r="AH27" s="107">
        <f t="shared" si="80"/>
        <v>16.098204965043184</v>
      </c>
      <c r="AI27" s="107">
        <f t="shared" si="80"/>
        <v>29.991190686099817</v>
      </c>
      <c r="AJ27" s="107">
        <f t="shared" si="80"/>
        <v>16.792724238089981</v>
      </c>
      <c r="AK27" s="107">
        <f t="shared" si="80"/>
        <v>29.958434597293198</v>
      </c>
      <c r="AL27" s="107">
        <f t="shared" si="80"/>
        <v>33.018570196580335</v>
      </c>
      <c r="AM27" s="107">
        <f t="shared" si="80"/>
        <v>20.185094419343855</v>
      </c>
      <c r="AN27" s="107">
        <f t="shared" si="80"/>
        <v>29.549749899941318</v>
      </c>
      <c r="AO27" s="107">
        <f t="shared" si="80"/>
        <v>16.03735391988096</v>
      </c>
      <c r="AP27" s="107">
        <f t="shared" si="80"/>
        <v>5.2258321031640378</v>
      </c>
      <c r="AQ27" s="107">
        <f t="shared" si="80"/>
        <v>19.338004152957843</v>
      </c>
      <c r="AR27" s="107">
        <f t="shared" si="80"/>
        <v>15.606608030199929</v>
      </c>
      <c r="AS27" s="107">
        <f t="shared" si="80"/>
        <v>6.9095429822262862</v>
      </c>
      <c r="AT27" s="107">
        <f t="shared" si="80"/>
        <v>13.277240259390643</v>
      </c>
      <c r="AU27" s="107">
        <f t="shared" si="80"/>
        <v>8.3264662871102963</v>
      </c>
      <c r="AV27" s="107">
        <f t="shared" si="80"/>
        <v>29.165105049412993</v>
      </c>
      <c r="AW27" s="107">
        <f t="shared" si="80"/>
        <v>30.743198962396697</v>
      </c>
      <c r="AX27" s="107">
        <f t="shared" si="80"/>
        <v>1.2952189240658938</v>
      </c>
      <c r="AY27" s="107">
        <f t="shared" si="80"/>
        <v>21.424039375183813</v>
      </c>
      <c r="AZ27" s="107">
        <f t="shared" si="80"/>
        <v>17.223731578923985</v>
      </c>
      <c r="BA27" s="107">
        <f t="shared" si="80"/>
        <v>11.890370611163316</v>
      </c>
      <c r="BB27" s="107">
        <f t="shared" si="80"/>
        <v>15.092375010742897</v>
      </c>
      <c r="BC27" s="107">
        <f t="shared" si="80"/>
        <v>15.018213673105901</v>
      </c>
      <c r="BD27" s="107">
        <f t="shared" si="80"/>
        <v>7.7928859260795891</v>
      </c>
      <c r="BE27" s="107">
        <f t="shared" si="80"/>
        <v>6.247379823612941</v>
      </c>
      <c r="BF27" s="107">
        <f t="shared" si="80"/>
        <v>8.4282354374283521</v>
      </c>
      <c r="BG27" s="107">
        <f t="shared" si="80"/>
        <v>5.1902345254659465</v>
      </c>
      <c r="BH27" s="107">
        <f t="shared" si="80"/>
        <v>-0.5846255182207325</v>
      </c>
      <c r="BI27" s="107">
        <f t="shared" si="80"/>
        <v>-2.4880430407815513</v>
      </c>
      <c r="BJ27" s="107">
        <f t="shared" si="80"/>
        <v>-2.9131538636976591</v>
      </c>
      <c r="BK27" s="107">
        <f t="shared" si="80"/>
        <v>-3.4245234437711192</v>
      </c>
      <c r="BL27" s="107">
        <f t="shared" si="80"/>
        <v>-5.7856062286217318</v>
      </c>
      <c r="BM27" s="107">
        <f t="shared" si="80"/>
        <v>-3.1653519346363868</v>
      </c>
      <c r="BN27" s="107">
        <f t="shared" si="80"/>
        <v>-3.5695106817103914</v>
      </c>
      <c r="BO27" s="107">
        <f t="shared" si="80"/>
        <v>-6.5813961597358057</v>
      </c>
      <c r="BP27" s="107">
        <f t="shared" si="80"/>
        <v>-5.470820505644399</v>
      </c>
      <c r="BQ27" s="107">
        <f t="shared" si="80"/>
        <v>-2.2559784556468157</v>
      </c>
      <c r="BR27" s="107">
        <f t="shared" si="81"/>
        <v>-16.000874305605343</v>
      </c>
      <c r="BS27" s="107">
        <f t="shared" si="81"/>
        <v>-10.746045928887044</v>
      </c>
      <c r="BT27" s="107">
        <f t="shared" si="81"/>
        <v>-18.688569891988958</v>
      </c>
      <c r="BU27" s="107">
        <f t="shared" si="81"/>
        <v>-20.289952866798306</v>
      </c>
      <c r="BV27" s="107">
        <f t="shared" si="81"/>
        <v>-17.182147304702148</v>
      </c>
      <c r="BW27" s="107">
        <f t="shared" si="81"/>
        <v>-12.239371659418964</v>
      </c>
      <c r="BX27" s="107">
        <f t="shared" si="81"/>
        <v>-23.154092740742126</v>
      </c>
      <c r="BY27" s="107">
        <f t="shared" si="81"/>
        <v>-22.688110240054904</v>
      </c>
      <c r="BZ27" s="107">
        <f t="shared" si="81"/>
        <v>-9.0308107844189411</v>
      </c>
      <c r="CA27" s="107">
        <f t="shared" si="81"/>
        <v>-28.679163990245275</v>
      </c>
      <c r="CB27" s="107">
        <f t="shared" si="81"/>
        <v>-4.6127131263443371</v>
      </c>
      <c r="CC27" s="107">
        <f t="shared" si="81"/>
        <v>-23.626031485992268</v>
      </c>
      <c r="CD27" s="107">
        <f t="shared" si="81"/>
        <v>-32.402400867654222</v>
      </c>
      <c r="CE27" s="107">
        <f t="shared" si="81"/>
        <v>-25.07401401739477</v>
      </c>
      <c r="CF27" s="107">
        <f t="shared" si="81"/>
        <v>-32.296544077053298</v>
      </c>
      <c r="CG27" s="107">
        <f t="shared" si="81"/>
        <v>-20.414525994223002</v>
      </c>
      <c r="CH27" s="107">
        <f t="shared" si="81"/>
        <v>-23.661234138508849</v>
      </c>
      <c r="CI27" s="107">
        <f t="shared" si="81"/>
        <v>-27.921292474118776</v>
      </c>
      <c r="CJ27" s="107">
        <f t="shared" si="81"/>
        <v>-10.093476233743713</v>
      </c>
      <c r="CK27" s="107">
        <f t="shared" si="81"/>
        <v>-16.506684354585431</v>
      </c>
      <c r="CL27" s="107">
        <f t="shared" si="81"/>
        <v>-7.5270458411791079</v>
      </c>
      <c r="CM27" s="107">
        <f t="shared" si="81"/>
        <v>-14.64324157721909</v>
      </c>
      <c r="CN27" s="107">
        <f t="shared" si="81"/>
        <v>-22.531565127561684</v>
      </c>
      <c r="CO27" s="107">
        <f t="shared" si="81"/>
        <v>-21.768527203471773</v>
      </c>
      <c r="CP27" s="107">
        <f t="shared" si="81"/>
        <v>-16.82062734062411</v>
      </c>
      <c r="CQ27" s="107">
        <f t="shared" si="81"/>
        <v>-16.131334931152814</v>
      </c>
      <c r="CR27" s="107">
        <f t="shared" si="81"/>
        <v>-14.962724602486363</v>
      </c>
      <c r="CS27" s="107">
        <f t="shared" si="81"/>
        <v>-4.8099241311459515</v>
      </c>
      <c r="CT27" s="107">
        <f t="shared" si="81"/>
        <v>-11.256395232814233</v>
      </c>
      <c r="CU27" s="107">
        <f t="shared" si="81"/>
        <v>-8.1536642135173221</v>
      </c>
      <c r="CV27" s="107">
        <f t="shared" si="81"/>
        <v>-9.9182226726626475</v>
      </c>
      <c r="CW27" s="107">
        <f t="shared" si="81"/>
        <v>-7.9455281815712375</v>
      </c>
      <c r="CX27" s="107">
        <f t="shared" si="81"/>
        <v>-5.6605766589779662</v>
      </c>
      <c r="CY27" s="107">
        <f t="shared" si="81"/>
        <v>-3.7196401359281861</v>
      </c>
      <c r="CZ27" s="107">
        <f t="shared" si="81"/>
        <v>-1.1733663254819162</v>
      </c>
      <c r="DA27" s="107">
        <f t="shared" si="81"/>
        <v>-1.3819556083058784</v>
      </c>
      <c r="DC27">
        <v>23</v>
      </c>
      <c r="DD27" s="84">
        <v>91.408349960827891</v>
      </c>
      <c r="DE27" s="84">
        <v>3.7263189756370823</v>
      </c>
      <c r="DF27" s="84">
        <v>12.179178928349755</v>
      </c>
      <c r="DG27" s="84">
        <v>91.639421917134442</v>
      </c>
      <c r="DH27" s="84">
        <v>2.2709270044888408</v>
      </c>
      <c r="DI27" s="84">
        <v>12.617479009812325</v>
      </c>
      <c r="DJ27" s="84">
        <v>1.5374221931805836</v>
      </c>
      <c r="DK27" s="84">
        <f t="shared" si="0"/>
        <v>2.3636670000841957</v>
      </c>
      <c r="DL27" s="84">
        <f t="shared" si="1"/>
        <v>1.2738823487750366</v>
      </c>
      <c r="DM27" s="84">
        <f t="shared" si="2"/>
        <v>72.988082181021937</v>
      </c>
      <c r="DN27" s="85">
        <v>2</v>
      </c>
      <c r="DO27">
        <v>7</v>
      </c>
      <c r="DP27">
        <f t="shared" si="3"/>
        <v>67.5</v>
      </c>
      <c r="DQ27" s="270">
        <v>7.6536686473017967</v>
      </c>
      <c r="DR27" s="270">
        <v>18.477590650225736</v>
      </c>
    </row>
    <row r="28" spans="1:236">
      <c r="A28">
        <v>475</v>
      </c>
      <c r="B28" s="90">
        <f>'Color metric'!B22</f>
        <v>0.28159764333004855</v>
      </c>
      <c r="C28" s="82">
        <f>Reference!N28</f>
        <v>2.647323259334001</v>
      </c>
      <c r="D28" s="82"/>
      <c r="E28" s="106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C28">
        <v>24</v>
      </c>
      <c r="DD28" s="84">
        <v>90.12634151366602</v>
      </c>
      <c r="DE28" s="84">
        <v>6.410101705118219</v>
      </c>
      <c r="DF28" s="84">
        <v>24.146596446337337</v>
      </c>
      <c r="DG28" s="84">
        <v>90.821516469092998</v>
      </c>
      <c r="DH28" s="84">
        <v>3.2871768399427088</v>
      </c>
      <c r="DI28" s="84">
        <v>25.433059451418892</v>
      </c>
      <c r="DJ28" s="84">
        <v>3.4483206051102386</v>
      </c>
      <c r="DK28" s="84">
        <f t="shared" si="0"/>
        <v>11.890914995627842</v>
      </c>
      <c r="DL28" s="84">
        <f t="shared" si="1"/>
        <v>1.3113151725455112</v>
      </c>
      <c r="DM28" s="84">
        <f t="shared" si="2"/>
        <v>75.132824998327123</v>
      </c>
      <c r="DN28" s="85">
        <v>2</v>
      </c>
      <c r="DO28">
        <v>5</v>
      </c>
      <c r="DP28">
        <f t="shared" si="3"/>
        <v>67.5</v>
      </c>
      <c r="DQ28" s="270">
        <v>7.6536686473017967</v>
      </c>
      <c r="DR28" s="270">
        <v>18.477590650225736</v>
      </c>
    </row>
    <row r="29" spans="1:236">
      <c r="A29">
        <v>480</v>
      </c>
      <c r="B29" s="90">
        <f>'Color metric'!B23</f>
        <v>0.23681945074928368</v>
      </c>
      <c r="C29" s="82">
        <f>Reference!N29</f>
        <v>2.7653675711141243</v>
      </c>
      <c r="D29" s="82"/>
      <c r="E29" s="106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C29">
        <v>25</v>
      </c>
      <c r="DD29" s="84">
        <v>71.118775510677807</v>
      </c>
      <c r="DE29" s="84">
        <v>8.1660322856434959</v>
      </c>
      <c r="DF29" s="84">
        <v>32.737674602333506</v>
      </c>
      <c r="DG29" s="84">
        <v>72.160512863264813</v>
      </c>
      <c r="DH29" s="84">
        <v>3.6804569911788869</v>
      </c>
      <c r="DI29" s="84">
        <v>34.126628207704911</v>
      </c>
      <c r="DJ29" s="84">
        <v>4.8098642966263059</v>
      </c>
      <c r="DK29" s="84">
        <f t="shared" si="0"/>
        <v>23.134794551960468</v>
      </c>
      <c r="DL29" s="84">
        <f t="shared" si="1"/>
        <v>1.3263463236828315</v>
      </c>
      <c r="DM29" s="84">
        <f t="shared" si="2"/>
        <v>75.994046519718836</v>
      </c>
      <c r="DN29" s="85">
        <v>2</v>
      </c>
      <c r="DO29">
        <v>1</v>
      </c>
      <c r="DP29">
        <f t="shared" si="3"/>
        <v>67.5</v>
      </c>
      <c r="DQ29" s="270">
        <v>7.6536686473017967</v>
      </c>
      <c r="DR29" s="270">
        <v>18.477590650225736</v>
      </c>
      <c r="DU29" s="108" t="s">
        <v>101</v>
      </c>
    </row>
    <row r="30" spans="1:236">
      <c r="A30">
        <v>485</v>
      </c>
      <c r="B30" s="90">
        <f>'Color metric'!B24</f>
        <v>0.21285578658667853</v>
      </c>
      <c r="C30" s="82">
        <f>Reference!N30</f>
        <v>2.8845319236015028</v>
      </c>
      <c r="D30" s="82"/>
      <c r="E30" s="109" t="s">
        <v>73</v>
      </c>
      <c r="F30" s="110"/>
      <c r="G30" s="111">
        <f t="shared" ref="G30:BR30" si="82">POWER(POWER(G21-G25,2)+POWER(G22-G26,2)+POWER(G23-G27,2),1/2)</f>
        <v>1.5658169562650632</v>
      </c>
      <c r="H30" s="111">
        <f t="shared" si="82"/>
        <v>2.9044072686835372</v>
      </c>
      <c r="I30" s="111">
        <f t="shared" si="82"/>
        <v>2.7443505975477733</v>
      </c>
      <c r="J30" s="111">
        <f t="shared" si="82"/>
        <v>3.0596026056777506</v>
      </c>
      <c r="K30" s="111">
        <f t="shared" si="82"/>
        <v>5.0677926450515161</v>
      </c>
      <c r="L30" s="111">
        <f t="shared" si="82"/>
        <v>3.0623147750244972</v>
      </c>
      <c r="M30" s="111">
        <f t="shared" si="82"/>
        <v>3.9759590858064913</v>
      </c>
      <c r="N30" s="111">
        <f t="shared" si="82"/>
        <v>4.6792203756004991</v>
      </c>
      <c r="O30" s="111">
        <f t="shared" si="82"/>
        <v>0.60375453298051973</v>
      </c>
      <c r="P30" s="111">
        <f t="shared" si="82"/>
        <v>3.5250014957171452</v>
      </c>
      <c r="Q30" s="111">
        <f t="shared" si="82"/>
        <v>4.1693039685951803</v>
      </c>
      <c r="R30" s="111">
        <f t="shared" si="82"/>
        <v>4.1845732874987824</v>
      </c>
      <c r="S30" s="111">
        <f t="shared" si="82"/>
        <v>2.4841985442498853</v>
      </c>
      <c r="T30" s="111">
        <f t="shared" si="82"/>
        <v>1.0429364130837626</v>
      </c>
      <c r="U30" s="111">
        <f t="shared" si="82"/>
        <v>1.6105504003158475</v>
      </c>
      <c r="V30" s="111">
        <f t="shared" si="82"/>
        <v>4.0261294874909668</v>
      </c>
      <c r="W30" s="111">
        <f t="shared" si="82"/>
        <v>3.697193496003516</v>
      </c>
      <c r="X30" s="111">
        <f t="shared" si="82"/>
        <v>2.102871051737274</v>
      </c>
      <c r="Y30" s="111">
        <f t="shared" si="82"/>
        <v>3.7029423777221084</v>
      </c>
      <c r="Z30" s="111">
        <f t="shared" si="82"/>
        <v>5.4346294980406649</v>
      </c>
      <c r="AA30" s="111">
        <f t="shared" si="82"/>
        <v>4.5538046963326773</v>
      </c>
      <c r="AB30" s="111">
        <f t="shared" si="82"/>
        <v>4.244436189480064</v>
      </c>
      <c r="AC30" s="111">
        <f t="shared" si="82"/>
        <v>1.5374221931805836</v>
      </c>
      <c r="AD30" s="111">
        <f t="shared" si="82"/>
        <v>3.4483206051102386</v>
      </c>
      <c r="AE30" s="111">
        <f t="shared" si="82"/>
        <v>4.8098642966263059</v>
      </c>
      <c r="AF30" s="111">
        <f t="shared" si="82"/>
        <v>3.6385582398794609</v>
      </c>
      <c r="AG30" s="111">
        <f t="shared" si="82"/>
        <v>1.0822411112523114</v>
      </c>
      <c r="AH30" s="111">
        <f t="shared" si="82"/>
        <v>1.8245214481615246</v>
      </c>
      <c r="AI30" s="111">
        <f t="shared" si="82"/>
        <v>2.8099061428413594</v>
      </c>
      <c r="AJ30" s="111">
        <f t="shared" si="82"/>
        <v>0.74134058801400349</v>
      </c>
      <c r="AK30" s="111">
        <f t="shared" si="82"/>
        <v>2.4850304404558714</v>
      </c>
      <c r="AL30" s="111">
        <f t="shared" si="82"/>
        <v>3.8033858763637132</v>
      </c>
      <c r="AM30" s="111">
        <f t="shared" si="82"/>
        <v>1.4233046430161032</v>
      </c>
      <c r="AN30" s="111">
        <f t="shared" si="82"/>
        <v>2.9098208433882191</v>
      </c>
      <c r="AO30" s="111">
        <f t="shared" si="82"/>
        <v>1.6307939431350915</v>
      </c>
      <c r="AP30" s="111">
        <f t="shared" si="82"/>
        <v>1.9461476291727087</v>
      </c>
      <c r="AQ30" s="111">
        <f t="shared" si="82"/>
        <v>2.2238481928515954</v>
      </c>
      <c r="AR30" s="111">
        <f t="shared" si="82"/>
        <v>0.63920899264707554</v>
      </c>
      <c r="AS30" s="111">
        <f t="shared" si="82"/>
        <v>0.22243906199701083</v>
      </c>
      <c r="AT30" s="111">
        <f t="shared" si="82"/>
        <v>0.54798035535842982</v>
      </c>
      <c r="AU30" s="111">
        <f t="shared" si="82"/>
        <v>0.19525451403147734</v>
      </c>
      <c r="AV30" s="111">
        <f t="shared" si="82"/>
        <v>1.7201301799150353</v>
      </c>
      <c r="AW30" s="111">
        <f t="shared" si="82"/>
        <v>2.2002269120426572</v>
      </c>
      <c r="AX30" s="111">
        <f t="shared" si="82"/>
        <v>6.4841097346654025E-2</v>
      </c>
      <c r="AY30" s="111">
        <f t="shared" si="82"/>
        <v>1.4274814473246136</v>
      </c>
      <c r="AZ30" s="111">
        <f t="shared" si="82"/>
        <v>1.7008931932068794</v>
      </c>
      <c r="BA30" s="111">
        <f t="shared" si="82"/>
        <v>0.85232917557497956</v>
      </c>
      <c r="BB30" s="111">
        <f t="shared" si="82"/>
        <v>2.1869625747545358</v>
      </c>
      <c r="BC30" s="111">
        <f t="shared" si="82"/>
        <v>2.0154237599626161</v>
      </c>
      <c r="BD30" s="111">
        <f t="shared" si="82"/>
        <v>1.4931899524317982</v>
      </c>
      <c r="BE30" s="111">
        <f t="shared" si="82"/>
        <v>1.5913745108747659</v>
      </c>
      <c r="BF30" s="111">
        <f t="shared" si="82"/>
        <v>1.782469225064115</v>
      </c>
      <c r="BG30" s="111">
        <f t="shared" si="82"/>
        <v>2.4420202772950277</v>
      </c>
      <c r="BH30" s="111">
        <f t="shared" si="82"/>
        <v>1.5456634642274665</v>
      </c>
      <c r="BI30" s="111">
        <f t="shared" si="82"/>
        <v>1.9755502937418781</v>
      </c>
      <c r="BJ30" s="111">
        <f t="shared" si="82"/>
        <v>2.7683798772185981</v>
      </c>
      <c r="BK30" s="111">
        <f t="shared" si="82"/>
        <v>2.9373193854698303</v>
      </c>
      <c r="BL30" s="111">
        <f t="shared" si="82"/>
        <v>2.8815900533846346</v>
      </c>
      <c r="BM30" s="111">
        <f t="shared" si="82"/>
        <v>1.706340196576527</v>
      </c>
      <c r="BN30" s="111">
        <f t="shared" si="82"/>
        <v>1.5350836063003321</v>
      </c>
      <c r="BO30" s="111">
        <f t="shared" si="82"/>
        <v>2.351863133729565</v>
      </c>
      <c r="BP30" s="111">
        <f t="shared" si="82"/>
        <v>2.3524176331722315</v>
      </c>
      <c r="BQ30" s="111">
        <f t="shared" si="82"/>
        <v>3.067756376287202</v>
      </c>
      <c r="BR30" s="111">
        <f t="shared" si="82"/>
        <v>4.2714073686756029</v>
      </c>
      <c r="BS30" s="111">
        <f t="shared" ref="BS30:DA30" si="83">POWER(POWER(BS21-BS25,2)+POWER(BS22-BS26,2)+POWER(BS23-BS27,2),1/2)</f>
        <v>4.0383225121760784</v>
      </c>
      <c r="BT30" s="111">
        <f t="shared" si="83"/>
        <v>5.0905833112704348</v>
      </c>
      <c r="BU30" s="111">
        <f t="shared" si="83"/>
        <v>5.3296302669398701</v>
      </c>
      <c r="BV30" s="111">
        <f t="shared" si="83"/>
        <v>4.208892317244584</v>
      </c>
      <c r="BW30" s="111">
        <f t="shared" si="83"/>
        <v>3.3607704235015756</v>
      </c>
      <c r="BX30" s="111">
        <f t="shared" si="83"/>
        <v>4.7623827886178169</v>
      </c>
      <c r="BY30" s="111">
        <f t="shared" si="83"/>
        <v>5.476228198437405</v>
      </c>
      <c r="BZ30" s="111">
        <f t="shared" si="83"/>
        <v>1.9186842365534316</v>
      </c>
      <c r="CA30" s="111">
        <f t="shared" si="83"/>
        <v>5.5900868569281688</v>
      </c>
      <c r="CB30" s="111">
        <f t="shared" si="83"/>
        <v>1.0851155018381184</v>
      </c>
      <c r="CC30" s="111">
        <f t="shared" si="83"/>
        <v>4.8602815520266383</v>
      </c>
      <c r="CD30" s="111">
        <f t="shared" si="83"/>
        <v>4.8130864363123367</v>
      </c>
      <c r="CE30" s="111">
        <f t="shared" si="83"/>
        <v>2.9699448951249718</v>
      </c>
      <c r="CF30" s="111">
        <f t="shared" si="83"/>
        <v>4.3923098276622685</v>
      </c>
      <c r="CG30" s="111">
        <f t="shared" si="83"/>
        <v>1.6418866654734647</v>
      </c>
      <c r="CH30" s="111">
        <f t="shared" si="83"/>
        <v>1.9390092030878701</v>
      </c>
      <c r="CI30" s="111">
        <f t="shared" si="83"/>
        <v>2.7460008947220107</v>
      </c>
      <c r="CJ30" s="111">
        <f t="shared" si="83"/>
        <v>0.8604088489432955</v>
      </c>
      <c r="CK30" s="111">
        <f t="shared" si="83"/>
        <v>0.8442921210890213</v>
      </c>
      <c r="CL30" s="111">
        <f t="shared" si="83"/>
        <v>1.5682558326541272</v>
      </c>
      <c r="CM30" s="111">
        <f t="shared" si="83"/>
        <v>3.0827869235384195</v>
      </c>
      <c r="CN30" s="111">
        <f t="shared" si="83"/>
        <v>3.4803376680292457</v>
      </c>
      <c r="CO30" s="111">
        <f t="shared" si="83"/>
        <v>2.4218767551065317</v>
      </c>
      <c r="CP30" s="111">
        <f t="shared" si="83"/>
        <v>1.828744035910735</v>
      </c>
      <c r="CQ30" s="111">
        <f t="shared" si="83"/>
        <v>3.4578128590057204</v>
      </c>
      <c r="CR30" s="111">
        <f t="shared" si="83"/>
        <v>1.6943439384265755</v>
      </c>
      <c r="CS30" s="111">
        <f t="shared" si="83"/>
        <v>3.5336397453286676</v>
      </c>
      <c r="CT30" s="111">
        <f t="shared" si="83"/>
        <v>4.6871239757888947</v>
      </c>
      <c r="CU30" s="111">
        <f t="shared" si="83"/>
        <v>2.9642056247918025</v>
      </c>
      <c r="CV30" s="111">
        <f t="shared" si="83"/>
        <v>5.1584077110150215</v>
      </c>
      <c r="CW30" s="111">
        <f t="shared" si="83"/>
        <v>3.725936315950356</v>
      </c>
      <c r="CX30" s="111">
        <f t="shared" si="83"/>
        <v>2.3941294928791721</v>
      </c>
      <c r="CY30" s="111">
        <f t="shared" si="83"/>
        <v>1.6967552012035561</v>
      </c>
      <c r="CZ30" s="111">
        <f t="shared" si="83"/>
        <v>2.341873399168394</v>
      </c>
      <c r="DA30" s="111">
        <f t="shared" si="83"/>
        <v>3.3577681839431364</v>
      </c>
      <c r="DC30">
        <v>26</v>
      </c>
      <c r="DD30" s="84">
        <v>89.241662563073945</v>
      </c>
      <c r="DE30" s="84">
        <v>6.5300954433660099</v>
      </c>
      <c r="DF30" s="84">
        <v>28.666809636376154</v>
      </c>
      <c r="DG30" s="84">
        <v>89.81108089767325</v>
      </c>
      <c r="DH30" s="84">
        <v>3.2084135703263912</v>
      </c>
      <c r="DI30" s="84">
        <v>30.038413937746228</v>
      </c>
      <c r="DJ30" s="84">
        <v>3.6385582398794609</v>
      </c>
      <c r="DK30" s="84">
        <f t="shared" si="0"/>
        <v>13.23910606499472</v>
      </c>
      <c r="DL30" s="84">
        <f t="shared" si="1"/>
        <v>1.3468251658605135</v>
      </c>
      <c r="DM30" s="84">
        <f t="shared" si="2"/>
        <v>77.167397745814512</v>
      </c>
      <c r="DN30" s="85">
        <v>2</v>
      </c>
      <c r="DO30">
        <v>3</v>
      </c>
      <c r="DP30">
        <f t="shared" si="3"/>
        <v>67.5</v>
      </c>
      <c r="DQ30" s="270">
        <v>7.6536686473017967</v>
      </c>
      <c r="DR30" s="270">
        <v>18.477590650225736</v>
      </c>
      <c r="DU30" t="s">
        <v>102</v>
      </c>
      <c r="DV30" t="s">
        <v>103</v>
      </c>
      <c r="DW30" t="s">
        <v>104</v>
      </c>
      <c r="DX30" t="s">
        <v>105</v>
      </c>
      <c r="DY30" t="s">
        <v>106</v>
      </c>
      <c r="DZ30" t="s">
        <v>107</v>
      </c>
      <c r="EA30" t="s">
        <v>108</v>
      </c>
    </row>
    <row r="31" spans="1:236">
      <c r="A31">
        <v>490</v>
      </c>
      <c r="B31" s="90">
        <f>'Color metric'!B25</f>
        <v>0.20993174034645679</v>
      </c>
      <c r="C31" s="82">
        <f>Reference!N31</f>
        <v>3.004664033629699</v>
      </c>
      <c r="D31" s="82"/>
      <c r="E31" s="109"/>
      <c r="F31" s="110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  <c r="AW31" s="111"/>
      <c r="AX31" s="111"/>
      <c r="AY31" s="111"/>
      <c r="AZ31" s="111"/>
      <c r="BA31" s="111"/>
      <c r="BB31" s="111"/>
      <c r="BC31" s="111"/>
      <c r="BD31" s="111"/>
      <c r="BE31" s="111"/>
      <c r="BF31" s="111"/>
      <c r="BG31" s="111"/>
      <c r="BH31" s="111"/>
      <c r="BI31" s="111"/>
      <c r="BJ31" s="111"/>
      <c r="BK31" s="111"/>
      <c r="BL31" s="111"/>
      <c r="BM31" s="111"/>
      <c r="BN31" s="111"/>
      <c r="BO31" s="111"/>
      <c r="BP31" s="111"/>
      <c r="BQ31" s="111"/>
      <c r="BR31" s="111"/>
      <c r="BS31" s="111"/>
      <c r="BT31" s="111"/>
      <c r="BU31" s="111"/>
      <c r="BV31" s="111"/>
      <c r="BW31" s="111"/>
      <c r="BX31" s="111"/>
      <c r="BY31" s="111"/>
      <c r="BZ31" s="111"/>
      <c r="CA31" s="111"/>
      <c r="CB31" s="111"/>
      <c r="CC31" s="111"/>
      <c r="CD31" s="111"/>
      <c r="CE31" s="111"/>
      <c r="CF31" s="111"/>
      <c r="CG31" s="111"/>
      <c r="CH31" s="111"/>
      <c r="CI31" s="111"/>
      <c r="CJ31" s="111"/>
      <c r="CK31" s="111"/>
      <c r="CL31" s="111"/>
      <c r="CM31" s="111"/>
      <c r="CN31" s="111"/>
      <c r="CO31" s="111"/>
      <c r="CP31" s="111"/>
      <c r="CQ31" s="111"/>
      <c r="CR31" s="111"/>
      <c r="CS31" s="111"/>
      <c r="CT31" s="111"/>
      <c r="CU31" s="111"/>
      <c r="CV31" s="111"/>
      <c r="CW31" s="111"/>
      <c r="CX31" s="111"/>
      <c r="CY31" s="111"/>
      <c r="CZ31" s="111"/>
      <c r="DA31" s="111"/>
      <c r="DC31">
        <v>27</v>
      </c>
      <c r="DD31" s="84">
        <v>73.298363425079927</v>
      </c>
      <c r="DE31" s="84">
        <v>1.286100014185388</v>
      </c>
      <c r="DF31" s="84">
        <v>14.92950294388792</v>
      </c>
      <c r="DG31" s="84">
        <v>73.566540488978546</v>
      </c>
      <c r="DH31" s="84">
        <v>0.34304751871851696</v>
      </c>
      <c r="DI31" s="84">
        <v>14.471268423061455</v>
      </c>
      <c r="DJ31" s="84">
        <v>1.0822411112523114</v>
      </c>
      <c r="DK31" s="84">
        <f t="shared" si="0"/>
        <v>1.1712458228846379</v>
      </c>
      <c r="DL31" s="84">
        <f t="shared" si="1"/>
        <v>1.4848636099796133</v>
      </c>
      <c r="DM31" s="84">
        <f t="shared" si="2"/>
        <v>85.0764180043914</v>
      </c>
      <c r="DN31" s="85">
        <v>2</v>
      </c>
      <c r="DO31">
        <v>1</v>
      </c>
      <c r="DP31">
        <f t="shared" si="3"/>
        <v>67.5</v>
      </c>
      <c r="DQ31" s="270">
        <v>7.6536686473017967</v>
      </c>
      <c r="DR31" s="270">
        <v>18.477590650225736</v>
      </c>
      <c r="DU31" t="s">
        <v>78</v>
      </c>
      <c r="DV31" t="s">
        <v>78</v>
      </c>
      <c r="DW31" t="s">
        <v>78</v>
      </c>
      <c r="DX31" t="s">
        <v>78</v>
      </c>
      <c r="DY31" t="s">
        <v>78</v>
      </c>
      <c r="DZ31" t="s">
        <v>78</v>
      </c>
      <c r="EA31" t="s">
        <v>78</v>
      </c>
    </row>
    <row r="32" spans="1:236">
      <c r="A32">
        <v>495</v>
      </c>
      <c r="B32" s="90">
        <f>'Color metric'!B26</f>
        <v>0.22565961653611735</v>
      </c>
      <c r="C32" s="82">
        <f>Reference!N32</f>
        <v>3.1256125876157883</v>
      </c>
      <c r="D32" s="82"/>
      <c r="E32" s="109" t="s">
        <v>109</v>
      </c>
      <c r="F32" s="110"/>
      <c r="G32" s="111">
        <f>AVERAGE(G30:DA30)</f>
        <v>2.7328667381985436</v>
      </c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  <c r="AW32" s="111"/>
      <c r="AX32" s="111"/>
      <c r="AY32" s="111"/>
      <c r="AZ32" s="111"/>
      <c r="BA32" s="111"/>
      <c r="BB32" s="111"/>
      <c r="BC32" s="111"/>
      <c r="BD32" s="111"/>
      <c r="BE32" s="111"/>
      <c r="BF32" s="111"/>
      <c r="BG32" s="111"/>
      <c r="BH32" s="111"/>
      <c r="BI32" s="111"/>
      <c r="BJ32" s="111"/>
      <c r="BK32" s="111"/>
      <c r="BL32" s="111"/>
      <c r="BM32" s="111"/>
      <c r="BN32" s="111"/>
      <c r="BO32" s="111"/>
      <c r="BP32" s="111"/>
      <c r="BQ32" s="111"/>
      <c r="BR32" s="111"/>
      <c r="BS32" s="111"/>
      <c r="BT32" s="111"/>
      <c r="BU32" s="111"/>
      <c r="BV32" s="111"/>
      <c r="BW32" s="111"/>
      <c r="BX32" s="111"/>
      <c r="BY32" s="111"/>
      <c r="BZ32" s="111"/>
      <c r="CA32" s="111"/>
      <c r="CB32" s="111"/>
      <c r="CC32" s="111"/>
      <c r="CD32" s="111"/>
      <c r="CE32" s="111"/>
      <c r="CF32" s="111"/>
      <c r="CG32" s="111"/>
      <c r="CH32" s="111"/>
      <c r="CI32" s="111"/>
      <c r="CJ32" s="111"/>
      <c r="CK32" s="111"/>
      <c r="CL32" s="111"/>
      <c r="CM32" s="111"/>
      <c r="CN32" s="111"/>
      <c r="CO32" s="111"/>
      <c r="CP32" s="111"/>
      <c r="CQ32" s="111"/>
      <c r="CR32" s="111"/>
      <c r="CS32" s="111"/>
      <c r="CT32" s="111"/>
      <c r="CU32" s="111"/>
      <c r="CV32" s="111"/>
      <c r="CW32" s="111"/>
      <c r="CX32" s="111"/>
      <c r="CY32" s="111"/>
      <c r="CZ32" s="111"/>
      <c r="DA32" s="111"/>
      <c r="DC32">
        <v>28</v>
      </c>
      <c r="DD32" s="84">
        <v>41.895964689762479</v>
      </c>
      <c r="DE32" s="84">
        <v>0.34939940849054085</v>
      </c>
      <c r="DF32" s="84">
        <v>15.387921884467582</v>
      </c>
      <c r="DG32" s="84">
        <v>42.260488724150946</v>
      </c>
      <c r="DH32" s="84">
        <v>-1.2911793578607174</v>
      </c>
      <c r="DI32" s="84">
        <v>16.098204965043184</v>
      </c>
      <c r="DJ32" s="84">
        <v>1.8245214481615246</v>
      </c>
      <c r="DK32" s="84">
        <f t="shared" si="0"/>
        <v>3.3288785148014268</v>
      </c>
      <c r="DL32" s="84">
        <f t="shared" si="1"/>
        <v>1.5480941462461908</v>
      </c>
      <c r="DM32" s="84">
        <f t="shared" si="2"/>
        <v>88.699260868815159</v>
      </c>
      <c r="DN32" s="85">
        <v>2</v>
      </c>
      <c r="DO32">
        <v>7</v>
      </c>
      <c r="DP32">
        <f t="shared" si="3"/>
        <v>67.5</v>
      </c>
      <c r="DQ32" s="270">
        <v>7.6536686473017967</v>
      </c>
      <c r="DR32" s="270">
        <v>18.477590650225736</v>
      </c>
      <c r="DU32">
        <v>7</v>
      </c>
      <c r="DV32">
        <v>6</v>
      </c>
      <c r="DW32">
        <v>5</v>
      </c>
      <c r="DX32">
        <v>4</v>
      </c>
      <c r="DY32">
        <v>3</v>
      </c>
      <c r="DZ32">
        <v>2</v>
      </c>
      <c r="EA32">
        <v>1</v>
      </c>
    </row>
    <row r="33" spans="1:197">
      <c r="A33">
        <v>500</v>
      </c>
      <c r="B33" s="90">
        <f>'Color metric'!B27</f>
        <v>0.25998835803395759</v>
      </c>
      <c r="C33" s="82">
        <f>Reference!N33</f>
        <v>3.2472277028900742</v>
      </c>
      <c r="D33" s="82"/>
      <c r="E33" s="109" t="s">
        <v>110</v>
      </c>
      <c r="F33" s="110"/>
      <c r="G33" s="210">
        <v>6.73</v>
      </c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  <c r="AZ33" s="111"/>
      <c r="BA33" s="111"/>
      <c r="BB33" s="111"/>
      <c r="BC33" s="111"/>
      <c r="BD33" s="111"/>
      <c r="BE33" s="111"/>
      <c r="BF33" s="111"/>
      <c r="BG33" s="111"/>
      <c r="BH33" s="111"/>
      <c r="BI33" s="111"/>
      <c r="BJ33" s="111"/>
      <c r="BK33" s="111"/>
      <c r="BL33" s="111"/>
      <c r="BM33" s="111"/>
      <c r="BN33" s="111"/>
      <c r="BO33" s="111"/>
      <c r="BP33" s="111"/>
      <c r="BQ33" s="111"/>
      <c r="BR33" s="111"/>
      <c r="BS33" s="111"/>
      <c r="BT33" s="111"/>
      <c r="BU33" s="111"/>
      <c r="BV33" s="111"/>
      <c r="BW33" s="111"/>
      <c r="BX33" s="111"/>
      <c r="BY33" s="111"/>
      <c r="BZ33" s="111"/>
      <c r="CA33" s="111"/>
      <c r="CB33" s="111"/>
      <c r="CC33" s="111"/>
      <c r="CD33" s="111"/>
      <c r="CE33" s="111"/>
      <c r="CF33" s="111"/>
      <c r="CG33" s="111"/>
      <c r="CH33" s="111"/>
      <c r="CI33" s="111"/>
      <c r="CJ33" s="111"/>
      <c r="CK33" s="111"/>
      <c r="CL33" s="111"/>
      <c r="CM33" s="111"/>
      <c r="CN33" s="111"/>
      <c r="CO33" s="111"/>
      <c r="CP33" s="111"/>
      <c r="CQ33" s="111"/>
      <c r="CR33" s="111"/>
      <c r="CS33" s="111"/>
      <c r="CT33" s="111"/>
      <c r="CU33" s="111"/>
      <c r="CV33" s="111"/>
      <c r="CW33" s="111"/>
      <c r="CX33" s="111"/>
      <c r="CY33" s="111"/>
      <c r="CZ33" s="111"/>
      <c r="DA33" s="111"/>
      <c r="DC33">
        <v>29</v>
      </c>
      <c r="DD33" s="84">
        <v>86.449193813545108</v>
      </c>
      <c r="DE33" s="84">
        <v>1.6752495247263397</v>
      </c>
      <c r="DF33" s="84">
        <v>28.788126371699931</v>
      </c>
      <c r="DG33" s="84">
        <v>86.794427126581269</v>
      </c>
      <c r="DH33" s="84">
        <v>-0.84050538117471318</v>
      </c>
      <c r="DI33" s="84">
        <v>29.991190686099817</v>
      </c>
      <c r="DJ33" s="84">
        <v>2.8099061428413594</v>
      </c>
      <c r="DK33" s="84">
        <f t="shared" si="0"/>
        <v>7.8955725315776064</v>
      </c>
      <c r="DL33" s="84">
        <f t="shared" si="1"/>
        <v>1.5126695025384123</v>
      </c>
      <c r="DM33" s="84">
        <f t="shared" si="2"/>
        <v>86.669578293604786</v>
      </c>
      <c r="DN33" s="85">
        <v>2</v>
      </c>
      <c r="DO33">
        <v>3</v>
      </c>
      <c r="DP33">
        <f t="shared" si="3"/>
        <v>67.5</v>
      </c>
      <c r="DQ33" s="270">
        <v>7.6536686473017967</v>
      </c>
      <c r="DR33" s="270">
        <v>18.477590650225736</v>
      </c>
      <c r="DT33" t="s">
        <v>73</v>
      </c>
      <c r="DU33" s="87">
        <f t="shared" ref="DU33:EA33" si="84">DAVERAGE($DE$4:$DO$103,"dE",DU31:DU32)</f>
        <v>2.1073064351255857</v>
      </c>
      <c r="DV33" s="87">
        <f t="shared" si="84"/>
        <v>2.7350728484014213</v>
      </c>
      <c r="DW33" s="87">
        <f t="shared" si="84"/>
        <v>3.1469287681713882</v>
      </c>
      <c r="DX33" s="87">
        <f t="shared" si="84"/>
        <v>3.2501771002830324</v>
      </c>
      <c r="DY33" s="87">
        <f t="shared" si="84"/>
        <v>2.5536612260473821</v>
      </c>
      <c r="DZ33" s="87">
        <f t="shared" si="84"/>
        <v>1.8567107260265607</v>
      </c>
      <c r="EA33" s="87">
        <f t="shared" si="84"/>
        <v>2.8252089649192076</v>
      </c>
    </row>
    <row r="34" spans="1:197">
      <c r="A34">
        <v>505</v>
      </c>
      <c r="B34" s="90">
        <f>'Color metric'!B28</f>
        <v>0.31084166626295961</v>
      </c>
      <c r="C34" s="82">
        <f>Reference!N34</f>
        <v>3.3693613548057182</v>
      </c>
      <c r="D34" s="82"/>
      <c r="E34" s="109" t="s">
        <v>96</v>
      </c>
      <c r="F34" s="110"/>
      <c r="G34" s="111">
        <f>10*LN(EXP((100-$G$33*G30)/10)+1)</f>
        <v>89.463354103778187</v>
      </c>
      <c r="H34" s="111">
        <f t="shared" ref="H34:BS34" si="85">10*LN(EXP((100-$G$33*H30)/10)+1)</f>
        <v>80.456544511571607</v>
      </c>
      <c r="I34" s="111">
        <f t="shared" si="85"/>
        <v>81.533398618968235</v>
      </c>
      <c r="J34" s="111">
        <f t="shared" si="85"/>
        <v>79.412432735692533</v>
      </c>
      <c r="K34" s="111">
        <f t="shared" si="85"/>
        <v>65.907495038241734</v>
      </c>
      <c r="L34" s="111">
        <f t="shared" si="85"/>
        <v>79.394186335639517</v>
      </c>
      <c r="M34" s="111">
        <f t="shared" si="85"/>
        <v>73.248387183996286</v>
      </c>
      <c r="N34" s="111">
        <f t="shared" si="85"/>
        <v>68.519426462053232</v>
      </c>
      <c r="O34" s="111">
        <f t="shared" si="85"/>
        <v>95.937413555825259</v>
      </c>
      <c r="P34" s="111">
        <f t="shared" si="85"/>
        <v>76.281606667611769</v>
      </c>
      <c r="Q34" s="111">
        <f t="shared" si="85"/>
        <v>71.94809182154944</v>
      </c>
      <c r="R34" s="111">
        <f t="shared" si="85"/>
        <v>71.845406822959035</v>
      </c>
      <c r="S34" s="111">
        <f t="shared" si="85"/>
        <v>83.283759729341384</v>
      </c>
      <c r="T34" s="111">
        <f t="shared" si="85"/>
        <v>92.981953875549294</v>
      </c>
      <c r="U34" s="111">
        <f t="shared" si="85"/>
        <v>89.162337822852436</v>
      </c>
      <c r="V34" s="111">
        <f t="shared" si="85"/>
        <v>72.910966674758782</v>
      </c>
      <c r="W34" s="111">
        <f t="shared" si="85"/>
        <v>75.123352303206062</v>
      </c>
      <c r="X34" s="111">
        <f t="shared" si="85"/>
        <v>85.849546963115131</v>
      </c>
      <c r="Y34" s="111">
        <f t="shared" si="85"/>
        <v>75.08468350664063</v>
      </c>
      <c r="Z34" s="111">
        <f t="shared" si="85"/>
        <v>63.442527079343733</v>
      </c>
      <c r="AA34" s="111">
        <f t="shared" si="85"/>
        <v>69.36261807913894</v>
      </c>
      <c r="AB34" s="111">
        <f t="shared" si="85"/>
        <v>71.442841193075125</v>
      </c>
      <c r="AC34" s="111">
        <f t="shared" si="85"/>
        <v>89.654426212184802</v>
      </c>
      <c r="AD34" s="111">
        <f t="shared" si="85"/>
        <v>76.797424334624807</v>
      </c>
      <c r="AE34" s="111">
        <f t="shared" si="85"/>
        <v>67.64116462339851</v>
      </c>
      <c r="AF34" s="111">
        <f t="shared" si="85"/>
        <v>75.517756192994483</v>
      </c>
      <c r="AG34" s="111">
        <f t="shared" si="85"/>
        <v>92.717457807395348</v>
      </c>
      <c r="AH34" s="111">
        <f t="shared" si="85"/>
        <v>87.722520515745529</v>
      </c>
      <c r="AI34" s="111">
        <f t="shared" si="85"/>
        <v>81.092339602726497</v>
      </c>
      <c r="AJ34" s="111">
        <f t="shared" si="85"/>
        <v>95.011525526705725</v>
      </c>
      <c r="AK34" s="111">
        <f t="shared" si="85"/>
        <v>83.278162420688915</v>
      </c>
      <c r="AL34" s="111">
        <f t="shared" si="85"/>
        <v>74.409082294635425</v>
      </c>
      <c r="AM34" s="111">
        <f t="shared" si="85"/>
        <v>90.422342884596318</v>
      </c>
      <c r="AN34" s="111">
        <f t="shared" si="85"/>
        <v>80.420122851684553</v>
      </c>
      <c r="AO34" s="111">
        <f t="shared" si="85"/>
        <v>89.026117187051611</v>
      </c>
      <c r="AP34" s="111">
        <f t="shared" si="85"/>
        <v>86.904108506231267</v>
      </c>
      <c r="AQ34" s="111">
        <f t="shared" si="85"/>
        <v>85.035529335089052</v>
      </c>
      <c r="AR34" s="111">
        <f t="shared" si="85"/>
        <v>95.698821499936187</v>
      </c>
      <c r="AS34" s="111">
        <f t="shared" si="85"/>
        <v>98.503512413354912</v>
      </c>
      <c r="AT34" s="111">
        <f t="shared" si="85"/>
        <v>96.312748663084008</v>
      </c>
      <c r="AU34" s="111">
        <f t="shared" si="85"/>
        <v>98.686454862051974</v>
      </c>
      <c r="AV34" s="111">
        <f t="shared" si="85"/>
        <v>88.424968609482448</v>
      </c>
      <c r="AW34" s="111">
        <f t="shared" si="85"/>
        <v>85.194468578822239</v>
      </c>
      <c r="AX34" s="111">
        <f t="shared" si="85"/>
        <v>99.564093653185225</v>
      </c>
      <c r="AY34" s="111">
        <f t="shared" si="85"/>
        <v>90.394236321852887</v>
      </c>
      <c r="AZ34" s="111">
        <f t="shared" si="85"/>
        <v>88.554414947848542</v>
      </c>
      <c r="BA34" s="111">
        <f t="shared" si="85"/>
        <v>94.264630317311287</v>
      </c>
      <c r="BB34" s="111">
        <f t="shared" si="85"/>
        <v>85.283719834422854</v>
      </c>
      <c r="BC34" s="111">
        <f t="shared" si="85"/>
        <v>86.437960417781724</v>
      </c>
      <c r="BD34" s="111">
        <f t="shared" si="85"/>
        <v>89.952071724080739</v>
      </c>
      <c r="BE34" s="111">
        <f t="shared" si="85"/>
        <v>89.2913743519766</v>
      </c>
      <c r="BF34" s="111">
        <f t="shared" si="85"/>
        <v>88.005488732452022</v>
      </c>
      <c r="BG34" s="111">
        <f t="shared" si="85"/>
        <v>83.567551859490067</v>
      </c>
      <c r="BH34" s="111">
        <f t="shared" si="85"/>
        <v>89.598969563165326</v>
      </c>
      <c r="BI34" s="111">
        <f t="shared" si="85"/>
        <v>86.70626218670121</v>
      </c>
      <c r="BJ34" s="111">
        <f t="shared" si="85"/>
        <v>81.371728482749276</v>
      </c>
      <c r="BK34" s="111">
        <f t="shared" si="85"/>
        <v>80.235117745797083</v>
      </c>
      <c r="BL34" s="111">
        <f t="shared" si="85"/>
        <v>80.610055531710017</v>
      </c>
      <c r="BM34" s="111">
        <f t="shared" si="85"/>
        <v>88.517761852374761</v>
      </c>
      <c r="BN34" s="111">
        <f t="shared" si="85"/>
        <v>89.670162892867154</v>
      </c>
      <c r="BO34" s="111">
        <f t="shared" si="85"/>
        <v>84.174171201139785</v>
      </c>
      <c r="BP34" s="111">
        <f t="shared" si="85"/>
        <v>84.170440244711031</v>
      </c>
      <c r="BQ34" s="111">
        <f t="shared" si="85"/>
        <v>79.357577435634113</v>
      </c>
      <c r="BR34" s="111">
        <f t="shared" si="85"/>
        <v>71.261469746411251</v>
      </c>
      <c r="BS34" s="111">
        <f t="shared" si="85"/>
        <v>72.82896377840261</v>
      </c>
      <c r="BT34" s="111">
        <f t="shared" ref="BT34:DA34" si="86">10*LN(EXP((100-$G$33*BT30)/10)+1)</f>
        <v>65.754326069659214</v>
      </c>
      <c r="BU34" s="111">
        <f t="shared" si="86"/>
        <v>64.147973236332263</v>
      </c>
      <c r="BV34" s="111">
        <f t="shared" si="86"/>
        <v>71.681864868250969</v>
      </c>
      <c r="BW34" s="111">
        <f t="shared" si="86"/>
        <v>77.38637264779544</v>
      </c>
      <c r="BX34" s="111">
        <f t="shared" si="86"/>
        <v>67.96035208711514</v>
      </c>
      <c r="BY34" s="111">
        <f t="shared" si="86"/>
        <v>63.163066599291881</v>
      </c>
      <c r="BZ34" s="111">
        <f t="shared" si="86"/>
        <v>87.088906337537537</v>
      </c>
      <c r="CA34" s="111">
        <f t="shared" si="86"/>
        <v>62.398236488147212</v>
      </c>
      <c r="CB34" s="111">
        <f t="shared" si="86"/>
        <v>92.698114979765307</v>
      </c>
      <c r="CC34" s="111">
        <f t="shared" si="86"/>
        <v>67.302254928170768</v>
      </c>
      <c r="CD34" s="111">
        <f t="shared" si="86"/>
        <v>67.619504685061798</v>
      </c>
      <c r="CE34" s="111">
        <f t="shared" si="86"/>
        <v>80.015620807027673</v>
      </c>
      <c r="CF34" s="111">
        <f t="shared" si="86"/>
        <v>70.448477558928516</v>
      </c>
      <c r="CG34" s="111">
        <f t="shared" si="86"/>
        <v>88.951473359134894</v>
      </c>
      <c r="CH34" s="111">
        <f t="shared" si="86"/>
        <v>86.952142052995441</v>
      </c>
      <c r="CI34" s="111">
        <f t="shared" si="86"/>
        <v>81.522295316907417</v>
      </c>
      <c r="CJ34" s="111">
        <f t="shared" si="86"/>
        <v>94.210258508218743</v>
      </c>
      <c r="CK34" s="111">
        <f t="shared" si="86"/>
        <v>94.318715348127228</v>
      </c>
      <c r="CL34" s="111">
        <f t="shared" si="86"/>
        <v>89.446942604711225</v>
      </c>
      <c r="CM34" s="111">
        <f t="shared" si="86"/>
        <v>79.256458221660822</v>
      </c>
      <c r="CN34" s="111">
        <f t="shared" si="86"/>
        <v>76.582050150764061</v>
      </c>
      <c r="CO34" s="111">
        <f t="shared" si="86"/>
        <v>83.703086147008761</v>
      </c>
      <c r="CP34" s="111">
        <f t="shared" si="86"/>
        <v>87.694106910514606</v>
      </c>
      <c r="CQ34" s="111">
        <f t="shared" si="86"/>
        <v>76.733571080240381</v>
      </c>
      <c r="CR34" s="111">
        <f t="shared" si="86"/>
        <v>88.598485160882419</v>
      </c>
      <c r="CS34" s="111">
        <f t="shared" si="86"/>
        <v>76.223499616144309</v>
      </c>
      <c r="CT34" s="111">
        <f t="shared" si="86"/>
        <v>68.466291626858805</v>
      </c>
      <c r="CU34" s="111">
        <f t="shared" si="86"/>
        <v>80.054233184197983</v>
      </c>
      <c r="CV34" s="111">
        <f t="shared" si="86"/>
        <v>65.298518981353666</v>
      </c>
      <c r="CW34" s="111">
        <f t="shared" si="86"/>
        <v>74.930019829684767</v>
      </c>
      <c r="CX34" s="111">
        <f t="shared" si="86"/>
        <v>83.889782366096966</v>
      </c>
      <c r="CY34" s="111">
        <f t="shared" si="86"/>
        <v>88.582259668230677</v>
      </c>
      <c r="CZ34" s="111">
        <f t="shared" si="86"/>
        <v>84.241387307553438</v>
      </c>
      <c r="DA34" s="111">
        <f t="shared" si="86"/>
        <v>77.406568926266701</v>
      </c>
      <c r="DC34">
        <v>30</v>
      </c>
      <c r="DD34" s="84">
        <v>64.427189156827154</v>
      </c>
      <c r="DE34" s="84">
        <v>1.5660197775884876</v>
      </c>
      <c r="DF34" s="84">
        <v>16.829857004999493</v>
      </c>
      <c r="DG34" s="84">
        <v>64.439592161341025</v>
      </c>
      <c r="DH34" s="84">
        <v>0.82571363109393014</v>
      </c>
      <c r="DI34" s="84">
        <v>16.792724238089981</v>
      </c>
      <c r="DJ34" s="84">
        <v>0.74134058801400349</v>
      </c>
      <c r="DK34" s="84">
        <f t="shared" si="0"/>
        <v>0.54958586743694848</v>
      </c>
      <c r="DL34" s="84">
        <f t="shared" si="1"/>
        <v>1.4780133986591233</v>
      </c>
      <c r="DM34" s="84">
        <f t="shared" si="2"/>
        <v>84.683929806954566</v>
      </c>
      <c r="DN34" s="85">
        <v>2</v>
      </c>
      <c r="DO34">
        <v>1</v>
      </c>
      <c r="DP34">
        <f t="shared" si="3"/>
        <v>67.5</v>
      </c>
      <c r="DQ34" s="270">
        <v>7.6536686473017967</v>
      </c>
      <c r="DR34" s="270">
        <v>18.477590650225736</v>
      </c>
      <c r="DT34" t="s">
        <v>111</v>
      </c>
      <c r="DU34" s="87">
        <f t="shared" ref="DU34:EA34" si="87">10*LN(EXP((100-$G$33*DU33)/10)+1)</f>
        <v>85.81970242013476</v>
      </c>
      <c r="DV34" s="87">
        <f t="shared" si="87"/>
        <v>81.595819958379138</v>
      </c>
      <c r="DW34" s="87">
        <f t="shared" si="87"/>
        <v>78.824943010180419</v>
      </c>
      <c r="DX34" s="87">
        <f t="shared" si="87"/>
        <v>78.130353219246899</v>
      </c>
      <c r="DY34" s="87">
        <f t="shared" si="87"/>
        <v>82.816391488661182</v>
      </c>
      <c r="DZ34" s="87">
        <f t="shared" si="87"/>
        <v>87.505920614596278</v>
      </c>
      <c r="EA34" s="87">
        <f t="shared" si="87"/>
        <v>80.989382743691635</v>
      </c>
    </row>
    <row r="35" spans="1:197">
      <c r="A35">
        <v>510</v>
      </c>
      <c r="B35" s="90">
        <f>'Color metric'!B29</f>
        <v>0.37161414710047769</v>
      </c>
      <c r="C35" s="82">
        <f>Reference!N35</f>
        <v>3.4918677697889313</v>
      </c>
      <c r="D35" s="82"/>
      <c r="E35" s="109" t="s">
        <v>112</v>
      </c>
      <c r="F35" s="110"/>
      <c r="G35" s="111">
        <f>10*LN(EXP((100-$G$33*G32)/10)+1)</f>
        <v>81.610662837185856</v>
      </c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  <c r="AZ35" s="112"/>
      <c r="BA35" s="112"/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  <c r="BL35" s="112"/>
      <c r="BM35" s="112"/>
      <c r="BN35" s="112"/>
      <c r="BO35" s="112"/>
      <c r="BP35" s="112"/>
      <c r="BQ35" s="112"/>
      <c r="BR35" s="112"/>
      <c r="BS35" s="112"/>
      <c r="BT35" s="112"/>
      <c r="BU35" s="112"/>
      <c r="BV35" s="112"/>
      <c r="BW35" s="112"/>
      <c r="BX35" s="112"/>
      <c r="BY35" s="112"/>
      <c r="BZ35" s="112"/>
      <c r="CA35" s="112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  <c r="CL35" s="112"/>
      <c r="CM35" s="112"/>
      <c r="CN35" s="112"/>
      <c r="CO35" s="112"/>
      <c r="CP35" s="112"/>
      <c r="CQ35" s="112"/>
      <c r="CR35" s="112"/>
      <c r="CS35" s="112"/>
      <c r="CT35" s="112"/>
      <c r="CU35" s="112"/>
      <c r="CV35" s="112"/>
      <c r="CW35" s="112"/>
      <c r="CX35" s="112"/>
      <c r="CY35" s="112"/>
      <c r="CZ35" s="112"/>
      <c r="DA35" s="112"/>
      <c r="DC35">
        <v>31</v>
      </c>
      <c r="DD35" s="84">
        <v>88.168397755622465</v>
      </c>
      <c r="DE35" s="84">
        <v>0.13430938428798708</v>
      </c>
      <c r="DF35" s="84">
        <v>28.739795081307356</v>
      </c>
      <c r="DG35" s="84">
        <v>88.464313103950886</v>
      </c>
      <c r="DH35" s="84">
        <v>-2.0110875782095743</v>
      </c>
      <c r="DI35" s="84">
        <v>29.958434597293198</v>
      </c>
      <c r="DJ35" s="84">
        <v>2.4850304404558714</v>
      </c>
      <c r="DK35" s="84">
        <f t="shared" si="0"/>
        <v>6.1753762899923021</v>
      </c>
      <c r="DL35" s="84">
        <f t="shared" si="1"/>
        <v>1.5661230712561971</v>
      </c>
      <c r="DM35" s="84">
        <f t="shared" si="2"/>
        <v>89.732242181046388</v>
      </c>
      <c r="DN35" s="85">
        <v>3</v>
      </c>
      <c r="DO35">
        <v>4</v>
      </c>
      <c r="DP35">
        <f>ATAN(DR35/DQ35)*180/PI() +180</f>
        <v>112.5</v>
      </c>
      <c r="DQ35" s="270">
        <v>-7.6536686473017941</v>
      </c>
      <c r="DR35" s="270">
        <v>18.477590650225736</v>
      </c>
    </row>
    <row r="36" spans="1:197">
      <c r="A36">
        <v>515</v>
      </c>
      <c r="B36" s="90">
        <f>'Color metric'!B30</f>
        <v>0.43606391801633948</v>
      </c>
      <c r="C36" s="82">
        <f>Reference!N36</f>
        <v>3.6146037847289509</v>
      </c>
      <c r="D36" s="82"/>
      <c r="E36" s="109" t="s">
        <v>113</v>
      </c>
      <c r="F36" s="110"/>
      <c r="G36" s="110">
        <f t="array" ref="G36:DA36">TRANSPOSE(DO5:DO103)</f>
        <v>3</v>
      </c>
      <c r="H36" s="110">
        <v>3</v>
      </c>
      <c r="I36" s="110">
        <v>1</v>
      </c>
      <c r="J36" s="110">
        <v>1</v>
      </c>
      <c r="K36" s="110">
        <v>4</v>
      </c>
      <c r="L36" s="110">
        <v>3</v>
      </c>
      <c r="M36" s="110">
        <v>5</v>
      </c>
      <c r="N36" s="110">
        <v>4</v>
      </c>
      <c r="O36" s="110">
        <v>6</v>
      </c>
      <c r="P36" s="110">
        <v>7</v>
      </c>
      <c r="Q36" s="110">
        <v>3</v>
      </c>
      <c r="R36" s="110">
        <v>1</v>
      </c>
      <c r="S36" s="110">
        <v>6</v>
      </c>
      <c r="T36" s="110">
        <v>5</v>
      </c>
      <c r="U36" s="110">
        <v>2</v>
      </c>
      <c r="V36" s="110">
        <v>3</v>
      </c>
      <c r="W36" s="110">
        <v>3</v>
      </c>
      <c r="X36" s="110">
        <v>2</v>
      </c>
      <c r="Y36" s="110">
        <v>5</v>
      </c>
      <c r="Z36" s="110">
        <v>6</v>
      </c>
      <c r="AA36" s="110">
        <v>4</v>
      </c>
      <c r="AB36" s="110">
        <v>4</v>
      </c>
      <c r="AC36" s="110">
        <v>7</v>
      </c>
      <c r="AD36" s="110">
        <v>5</v>
      </c>
      <c r="AE36" s="110">
        <v>1</v>
      </c>
      <c r="AF36" s="110">
        <v>3</v>
      </c>
      <c r="AG36" s="110">
        <v>1</v>
      </c>
      <c r="AH36" s="110">
        <v>7</v>
      </c>
      <c r="AI36" s="110">
        <v>3</v>
      </c>
      <c r="AJ36" s="110">
        <v>1</v>
      </c>
      <c r="AK36" s="110">
        <v>4</v>
      </c>
      <c r="AL36" s="110">
        <v>3</v>
      </c>
      <c r="AM36" s="110">
        <v>4</v>
      </c>
      <c r="AN36" s="110">
        <v>7</v>
      </c>
      <c r="AO36" s="110">
        <v>7</v>
      </c>
      <c r="AP36" s="110">
        <v>1</v>
      </c>
      <c r="AQ36" s="110">
        <v>1</v>
      </c>
      <c r="AR36" s="110">
        <v>1</v>
      </c>
      <c r="AS36" s="110">
        <v>6</v>
      </c>
      <c r="AT36" s="110">
        <v>6</v>
      </c>
      <c r="AU36" s="110">
        <v>3</v>
      </c>
      <c r="AV36" s="110">
        <v>6</v>
      </c>
      <c r="AW36" s="110">
        <v>3</v>
      </c>
      <c r="AX36" s="110">
        <v>6</v>
      </c>
      <c r="AY36" s="110">
        <v>7</v>
      </c>
      <c r="AZ36" s="110">
        <v>5</v>
      </c>
      <c r="BA36" s="110">
        <v>3</v>
      </c>
      <c r="BB36" s="110">
        <v>4</v>
      </c>
      <c r="BC36" s="110">
        <v>4</v>
      </c>
      <c r="BD36" s="110">
        <v>6</v>
      </c>
      <c r="BE36" s="110">
        <v>6</v>
      </c>
      <c r="BF36" s="110">
        <v>6</v>
      </c>
      <c r="BG36" s="110">
        <v>5</v>
      </c>
      <c r="BH36" s="110">
        <v>6</v>
      </c>
      <c r="BI36" s="110">
        <v>7</v>
      </c>
      <c r="BJ36" s="110">
        <v>7</v>
      </c>
      <c r="BK36" s="110">
        <v>3</v>
      </c>
      <c r="BL36" s="110">
        <v>4</v>
      </c>
      <c r="BM36" s="110">
        <v>5</v>
      </c>
      <c r="BN36" s="110">
        <v>7</v>
      </c>
      <c r="BO36" s="110">
        <v>6</v>
      </c>
      <c r="BP36" s="110">
        <v>3</v>
      </c>
      <c r="BQ36" s="110">
        <v>6</v>
      </c>
      <c r="BR36" s="110">
        <v>5</v>
      </c>
      <c r="BS36" s="110">
        <v>6</v>
      </c>
      <c r="BT36" s="110">
        <v>5</v>
      </c>
      <c r="BU36" s="110">
        <v>5</v>
      </c>
      <c r="BV36" s="110">
        <v>6</v>
      </c>
      <c r="BW36" s="110">
        <v>6</v>
      </c>
      <c r="BX36" s="110">
        <v>6</v>
      </c>
      <c r="BY36" s="110">
        <v>6</v>
      </c>
      <c r="BZ36" s="110">
        <v>6</v>
      </c>
      <c r="CA36" s="110">
        <v>6</v>
      </c>
      <c r="CB36" s="110">
        <v>3</v>
      </c>
      <c r="CC36" s="110">
        <v>6</v>
      </c>
      <c r="CD36" s="110">
        <v>6</v>
      </c>
      <c r="CE36" s="110">
        <v>1</v>
      </c>
      <c r="CF36" s="110">
        <v>6</v>
      </c>
      <c r="CG36" s="110">
        <v>3</v>
      </c>
      <c r="CH36" s="110">
        <v>7</v>
      </c>
      <c r="CI36" s="110">
        <v>1</v>
      </c>
      <c r="CJ36" s="110">
        <v>3</v>
      </c>
      <c r="CK36" s="110">
        <v>3</v>
      </c>
      <c r="CL36" s="110">
        <v>6</v>
      </c>
      <c r="CM36" s="110">
        <v>1</v>
      </c>
      <c r="CN36" s="110">
        <v>3</v>
      </c>
      <c r="CO36" s="110">
        <v>6</v>
      </c>
      <c r="CP36" s="110">
        <v>6</v>
      </c>
      <c r="CQ36" s="110">
        <v>1</v>
      </c>
      <c r="CR36" s="110">
        <v>5</v>
      </c>
      <c r="CS36" s="110">
        <v>1</v>
      </c>
      <c r="CT36" s="110">
        <v>1</v>
      </c>
      <c r="CU36" s="110">
        <v>4</v>
      </c>
      <c r="CV36" s="110">
        <v>3</v>
      </c>
      <c r="CW36" s="110">
        <v>1</v>
      </c>
      <c r="CX36" s="110">
        <v>1</v>
      </c>
      <c r="CY36" s="110">
        <v>6</v>
      </c>
      <c r="CZ36" s="110">
        <v>3</v>
      </c>
      <c r="DA36" s="110">
        <v>5</v>
      </c>
      <c r="DC36">
        <v>32</v>
      </c>
      <c r="DD36" s="84">
        <v>74.983711284439408</v>
      </c>
      <c r="DE36" s="84">
        <v>-0.7497638664370706</v>
      </c>
      <c r="DF36" s="84">
        <v>31.428613769215698</v>
      </c>
      <c r="DG36" s="84">
        <v>75.396855861984264</v>
      </c>
      <c r="DH36" s="84">
        <v>-4.1800837118232312</v>
      </c>
      <c r="DI36" s="84">
        <v>33.018570196580335</v>
      </c>
      <c r="DJ36" s="84">
        <v>3.8033858763637132</v>
      </c>
      <c r="DK36" s="84">
        <f t="shared" si="0"/>
        <v>14.465744124522971</v>
      </c>
      <c r="DL36" s="84">
        <f t="shared" si="1"/>
        <v>1.5946478936192419</v>
      </c>
      <c r="DM36" s="84">
        <f t="shared" si="2"/>
        <v>91.366594113809228</v>
      </c>
      <c r="DN36" s="85">
        <v>3</v>
      </c>
      <c r="DO36">
        <v>3</v>
      </c>
      <c r="DP36">
        <f t="shared" ref="DP36:DP84" si="88">ATAN(DR36/DQ36)*180/PI() +180</f>
        <v>112.5</v>
      </c>
      <c r="DQ36" s="270">
        <v>-7.6536686473017941</v>
      </c>
      <c r="DR36" s="270">
        <v>18.477590650225736</v>
      </c>
    </row>
    <row r="37" spans="1:197">
      <c r="A37">
        <v>520</v>
      </c>
      <c r="B37" s="90">
        <f>'Color metric'!B31</f>
        <v>0.49931971205704584</v>
      </c>
      <c r="C37" s="82">
        <f>Reference!N37</f>
        <v>3.737429173314792</v>
      </c>
      <c r="D37" s="82"/>
      <c r="E37" s="113"/>
      <c r="F37" s="114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C37">
        <v>33</v>
      </c>
      <c r="DD37" s="84">
        <v>89.556662909113783</v>
      </c>
      <c r="DE37" s="84">
        <v>-0.11637697743702564</v>
      </c>
      <c r="DF37" s="84">
        <v>19.284695677529804</v>
      </c>
      <c r="DG37" s="84">
        <v>89.622095119029296</v>
      </c>
      <c r="DH37" s="84">
        <v>-1.2167391171330635</v>
      </c>
      <c r="DI37" s="84">
        <v>20.185094419343855</v>
      </c>
      <c r="DJ37" s="84">
        <v>1.4233046430161032</v>
      </c>
      <c r="DK37" s="84">
        <f t="shared" si="0"/>
        <v>2.0257961068311969</v>
      </c>
      <c r="DL37" s="84">
        <f t="shared" si="1"/>
        <v>1.5768309340658344</v>
      </c>
      <c r="DM37" s="84">
        <f t="shared" si="2"/>
        <v>90.345757527643698</v>
      </c>
      <c r="DN37" s="85">
        <v>3</v>
      </c>
      <c r="DO37">
        <v>4</v>
      </c>
      <c r="DP37">
        <f t="shared" si="88"/>
        <v>112.5</v>
      </c>
      <c r="DQ37" s="270">
        <v>-7.6536686473017941</v>
      </c>
      <c r="DR37" s="270">
        <v>18.477590650225736</v>
      </c>
      <c r="DT37" s="271" t="s">
        <v>436</v>
      </c>
    </row>
    <row r="38" spans="1:197">
      <c r="A38">
        <v>525</v>
      </c>
      <c r="B38" s="90">
        <f>'Color metric'!B32</f>
        <v>0.55895072417325298</v>
      </c>
      <c r="C38" s="82">
        <f>Reference!N38</f>
        <v>3.8602069401044039</v>
      </c>
      <c r="D38" s="82"/>
      <c r="E38" s="109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C38">
        <v>34</v>
      </c>
      <c r="DD38" s="84">
        <v>61.927168097889258</v>
      </c>
      <c r="DE38" s="84">
        <v>-3.0535730271092358</v>
      </c>
      <c r="DF38" s="84">
        <v>28.199707081793431</v>
      </c>
      <c r="DG38" s="84">
        <v>62.685953412788528</v>
      </c>
      <c r="DH38" s="84">
        <v>-5.5170434603957919</v>
      </c>
      <c r="DI38" s="84">
        <v>29.549749899941318</v>
      </c>
      <c r="DJ38" s="84">
        <v>2.9098208433882191</v>
      </c>
      <c r="DK38" s="84">
        <f t="shared" si="0"/>
        <v>8.4670573406165275</v>
      </c>
      <c r="DL38" s="84">
        <f t="shared" si="1"/>
        <v>1.6786599121729899</v>
      </c>
      <c r="DM38" s="84">
        <f t="shared" si="2"/>
        <v>96.180128205313764</v>
      </c>
      <c r="DN38" s="85">
        <v>3</v>
      </c>
      <c r="DO38">
        <v>7</v>
      </c>
      <c r="DP38">
        <f t="shared" si="88"/>
        <v>112.5</v>
      </c>
      <c r="DQ38" s="270">
        <v>-7.6536686473017941</v>
      </c>
      <c r="DR38" s="270">
        <v>18.477590650225736</v>
      </c>
      <c r="DT38" t="s">
        <v>427</v>
      </c>
      <c r="DU38">
        <v>0</v>
      </c>
      <c r="DV38">
        <v>5</v>
      </c>
      <c r="DW38">
        <v>10</v>
      </c>
      <c r="DX38">
        <v>15</v>
      </c>
      <c r="DY38">
        <v>20</v>
      </c>
      <c r="DZ38">
        <v>25</v>
      </c>
      <c r="EA38">
        <v>30</v>
      </c>
      <c r="EB38">
        <v>35</v>
      </c>
      <c r="EC38">
        <v>40</v>
      </c>
      <c r="ED38">
        <v>45</v>
      </c>
      <c r="EE38">
        <v>50</v>
      </c>
      <c r="EF38">
        <v>55</v>
      </c>
      <c r="EG38">
        <v>60</v>
      </c>
      <c r="EH38">
        <v>65</v>
      </c>
      <c r="EI38">
        <v>70</v>
      </c>
      <c r="EJ38">
        <v>75</v>
      </c>
      <c r="EK38">
        <v>80</v>
      </c>
      <c r="EL38">
        <v>85</v>
      </c>
      <c r="EM38">
        <v>90</v>
      </c>
      <c r="EN38">
        <v>95</v>
      </c>
      <c r="EO38">
        <v>100</v>
      </c>
      <c r="EP38">
        <v>105</v>
      </c>
      <c r="EQ38">
        <v>110</v>
      </c>
      <c r="ER38">
        <v>115</v>
      </c>
      <c r="ES38">
        <v>120</v>
      </c>
      <c r="ET38">
        <v>125</v>
      </c>
      <c r="EU38">
        <v>130</v>
      </c>
      <c r="EV38">
        <v>135</v>
      </c>
      <c r="EW38">
        <v>140</v>
      </c>
      <c r="EX38">
        <v>145</v>
      </c>
      <c r="EY38">
        <v>150</v>
      </c>
      <c r="EZ38">
        <v>155</v>
      </c>
      <c r="FA38">
        <v>160</v>
      </c>
      <c r="FB38">
        <v>165</v>
      </c>
      <c r="FC38">
        <v>170</v>
      </c>
      <c r="FD38">
        <v>175</v>
      </c>
      <c r="FE38">
        <v>180</v>
      </c>
      <c r="FF38">
        <v>185</v>
      </c>
      <c r="FG38">
        <v>190</v>
      </c>
      <c r="FH38">
        <v>195</v>
      </c>
      <c r="FI38">
        <v>200</v>
      </c>
      <c r="FJ38">
        <v>205</v>
      </c>
      <c r="FK38">
        <v>210</v>
      </c>
      <c r="FL38">
        <v>215</v>
      </c>
      <c r="FM38">
        <v>220</v>
      </c>
      <c r="FN38">
        <v>225</v>
      </c>
      <c r="FO38">
        <v>230</v>
      </c>
      <c r="FP38">
        <v>235</v>
      </c>
      <c r="FQ38">
        <v>240</v>
      </c>
      <c r="FR38">
        <v>245</v>
      </c>
      <c r="FS38">
        <v>250</v>
      </c>
      <c r="FT38">
        <v>255</v>
      </c>
      <c r="FU38">
        <v>260</v>
      </c>
      <c r="FV38">
        <v>265</v>
      </c>
      <c r="FW38">
        <v>270</v>
      </c>
      <c r="FX38">
        <v>275</v>
      </c>
      <c r="FY38">
        <v>280</v>
      </c>
      <c r="FZ38">
        <v>285</v>
      </c>
      <c r="GA38">
        <v>290</v>
      </c>
      <c r="GB38">
        <v>295</v>
      </c>
      <c r="GC38">
        <v>300</v>
      </c>
      <c r="GD38">
        <v>305</v>
      </c>
      <c r="GE38">
        <v>310</v>
      </c>
      <c r="GF38">
        <v>315</v>
      </c>
      <c r="GG38">
        <v>320</v>
      </c>
      <c r="GH38">
        <v>325</v>
      </c>
      <c r="GI38">
        <v>330</v>
      </c>
      <c r="GJ38">
        <v>335</v>
      </c>
      <c r="GK38">
        <v>340</v>
      </c>
      <c r="GL38">
        <v>345</v>
      </c>
      <c r="GM38">
        <v>350</v>
      </c>
      <c r="GN38">
        <v>355</v>
      </c>
      <c r="GO38">
        <v>360</v>
      </c>
    </row>
    <row r="39" spans="1:197">
      <c r="A39">
        <v>530</v>
      </c>
      <c r="B39" s="90">
        <f>'Color metric'!B33</f>
        <v>0.61231817287123225</v>
      </c>
      <c r="C39" s="82">
        <f>Reference!N39</f>
        <v>3.9828035832625988</v>
      </c>
      <c r="D39" s="82"/>
      <c r="E39" s="115"/>
      <c r="F39" s="114"/>
      <c r="G39" s="110"/>
      <c r="H39" s="116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C39">
        <v>35</v>
      </c>
      <c r="DD39" s="84">
        <v>42.407420914159985</v>
      </c>
      <c r="DE39" s="84">
        <v>-2.435125042474954</v>
      </c>
      <c r="DF39" s="84">
        <v>15.085303043201918</v>
      </c>
      <c r="DG39" s="84">
        <v>42.836052966217274</v>
      </c>
      <c r="DH39" s="84">
        <v>-3.6878670658500483</v>
      </c>
      <c r="DI39" s="84">
        <v>16.03735391988096</v>
      </c>
      <c r="DJ39" s="84">
        <v>1.6307939431350915</v>
      </c>
      <c r="DK39" s="84">
        <f t="shared" si="0"/>
        <v>2.6594888849661</v>
      </c>
      <c r="DL39" s="84">
        <f t="shared" si="1"/>
        <v>1.7308394176447954</v>
      </c>
      <c r="DM39" s="84">
        <f t="shared" si="2"/>
        <v>99.16979364592801</v>
      </c>
      <c r="DN39" s="85">
        <v>3</v>
      </c>
      <c r="DO39">
        <v>7</v>
      </c>
      <c r="DP39">
        <f t="shared" si="88"/>
        <v>112.5</v>
      </c>
      <c r="DQ39" s="270">
        <v>-7.6536686473017941</v>
      </c>
      <c r="DR39" s="270">
        <v>18.477590650225736</v>
      </c>
      <c r="DT39" t="s">
        <v>425</v>
      </c>
      <c r="DU39">
        <f>COS(DU38*PI()/180)</f>
        <v>1</v>
      </c>
      <c r="DV39">
        <f t="shared" ref="DV39:GG39" si="89">COS(DV38*PI()/180)</f>
        <v>0.99619469809174555</v>
      </c>
      <c r="DW39">
        <f t="shared" si="89"/>
        <v>0.98480775301220802</v>
      </c>
      <c r="DX39">
        <f t="shared" si="89"/>
        <v>0.96592582628906831</v>
      </c>
      <c r="DY39">
        <f t="shared" si="89"/>
        <v>0.93969262078590843</v>
      </c>
      <c r="DZ39">
        <f t="shared" si="89"/>
        <v>0.90630778703664994</v>
      </c>
      <c r="EA39">
        <f t="shared" si="89"/>
        <v>0.86602540378443871</v>
      </c>
      <c r="EB39">
        <f t="shared" si="89"/>
        <v>0.8191520442889918</v>
      </c>
      <c r="EC39">
        <f t="shared" si="89"/>
        <v>0.76604444311897801</v>
      </c>
      <c r="ED39">
        <f t="shared" si="89"/>
        <v>0.70710678118654757</v>
      </c>
      <c r="EE39">
        <f t="shared" si="89"/>
        <v>0.64278760968653936</v>
      </c>
      <c r="EF39">
        <f t="shared" si="89"/>
        <v>0.57357643635104616</v>
      </c>
      <c r="EG39">
        <f t="shared" si="89"/>
        <v>0.50000000000000011</v>
      </c>
      <c r="EH39">
        <f t="shared" si="89"/>
        <v>0.42261826174069944</v>
      </c>
      <c r="EI39">
        <f t="shared" si="89"/>
        <v>0.34202014332566882</v>
      </c>
      <c r="EJ39">
        <f t="shared" si="89"/>
        <v>0.25881904510252074</v>
      </c>
      <c r="EK39">
        <f t="shared" si="89"/>
        <v>0.17364817766693041</v>
      </c>
      <c r="EL39">
        <f t="shared" si="89"/>
        <v>8.7155742747658138E-2</v>
      </c>
      <c r="EM39">
        <f t="shared" si="89"/>
        <v>6.1257422745431001E-17</v>
      </c>
      <c r="EN39">
        <f t="shared" si="89"/>
        <v>-8.7155742747658235E-2</v>
      </c>
      <c r="EO39">
        <f t="shared" si="89"/>
        <v>-0.1736481776669303</v>
      </c>
      <c r="EP39">
        <f t="shared" si="89"/>
        <v>-0.25881904510252085</v>
      </c>
      <c r="EQ39">
        <f t="shared" si="89"/>
        <v>-0.34202014332566871</v>
      </c>
      <c r="ER39">
        <f t="shared" si="89"/>
        <v>-0.42261826174069933</v>
      </c>
      <c r="ES39">
        <f t="shared" si="89"/>
        <v>-0.49999999999999978</v>
      </c>
      <c r="ET39">
        <f t="shared" si="89"/>
        <v>-0.57357643635104583</v>
      </c>
      <c r="EU39">
        <f t="shared" si="89"/>
        <v>-0.64278760968653936</v>
      </c>
      <c r="EV39">
        <f t="shared" si="89"/>
        <v>-0.70710678118654746</v>
      </c>
      <c r="EW39">
        <f t="shared" si="89"/>
        <v>-0.7660444431189779</v>
      </c>
      <c r="EX39">
        <f t="shared" si="89"/>
        <v>-0.81915204428899158</v>
      </c>
      <c r="EY39">
        <f t="shared" si="89"/>
        <v>-0.86602540378443871</v>
      </c>
      <c r="EZ39">
        <f t="shared" si="89"/>
        <v>-0.90630778703664994</v>
      </c>
      <c r="FA39">
        <f t="shared" si="89"/>
        <v>-0.93969262078590832</v>
      </c>
      <c r="FB39">
        <f t="shared" si="89"/>
        <v>-0.9659258262890682</v>
      </c>
      <c r="FC39">
        <f t="shared" si="89"/>
        <v>-0.98480775301220802</v>
      </c>
      <c r="FD39">
        <f t="shared" si="89"/>
        <v>-0.99619469809174555</v>
      </c>
      <c r="FE39">
        <f t="shared" si="89"/>
        <v>-1</v>
      </c>
      <c r="FF39">
        <f t="shared" si="89"/>
        <v>-0.99619469809174555</v>
      </c>
      <c r="FG39">
        <f t="shared" si="89"/>
        <v>-0.98480775301220802</v>
      </c>
      <c r="FH39">
        <f t="shared" si="89"/>
        <v>-0.96592582628906842</v>
      </c>
      <c r="FI39">
        <f t="shared" si="89"/>
        <v>-0.93969262078590843</v>
      </c>
      <c r="FJ39">
        <f t="shared" si="89"/>
        <v>-0.90630778703665005</v>
      </c>
      <c r="FK39">
        <f t="shared" si="89"/>
        <v>-0.8660254037844386</v>
      </c>
      <c r="FL39">
        <f t="shared" si="89"/>
        <v>-0.81915204428899202</v>
      </c>
      <c r="FM39">
        <f t="shared" si="89"/>
        <v>-0.76604444311897801</v>
      </c>
      <c r="FN39">
        <f t="shared" si="89"/>
        <v>-0.70710678118654768</v>
      </c>
      <c r="FO39">
        <f t="shared" si="89"/>
        <v>-0.64278760968653947</v>
      </c>
      <c r="FP39">
        <f t="shared" si="89"/>
        <v>-0.57357643635104638</v>
      </c>
      <c r="FQ39">
        <f t="shared" si="89"/>
        <v>-0.50000000000000044</v>
      </c>
      <c r="FR39">
        <f t="shared" si="89"/>
        <v>-0.42261826174069994</v>
      </c>
      <c r="FS39">
        <f t="shared" si="89"/>
        <v>-0.34202014332566938</v>
      </c>
      <c r="FT39">
        <f t="shared" si="89"/>
        <v>-0.25881904510252063</v>
      </c>
      <c r="FU39">
        <f t="shared" si="89"/>
        <v>-0.17364817766693033</v>
      </c>
      <c r="FV39">
        <f t="shared" si="89"/>
        <v>-8.7155742747658249E-2</v>
      </c>
      <c r="FW39">
        <f t="shared" si="89"/>
        <v>-1.83772268236293E-16</v>
      </c>
      <c r="FX39">
        <f t="shared" si="89"/>
        <v>8.7155742747657888E-2</v>
      </c>
      <c r="FY39">
        <f t="shared" si="89"/>
        <v>0.17364817766692997</v>
      </c>
      <c r="FZ39">
        <f t="shared" si="89"/>
        <v>0.25881904510252113</v>
      </c>
      <c r="GA39">
        <f t="shared" si="89"/>
        <v>0.34202014332566816</v>
      </c>
      <c r="GB39">
        <f t="shared" si="89"/>
        <v>0.42261826174069961</v>
      </c>
      <c r="GC39">
        <f t="shared" si="89"/>
        <v>0.50000000000000011</v>
      </c>
      <c r="GD39">
        <f t="shared" si="89"/>
        <v>0.57357643635104605</v>
      </c>
      <c r="GE39">
        <f t="shared" si="89"/>
        <v>0.64278760968653925</v>
      </c>
      <c r="GF39">
        <f t="shared" si="89"/>
        <v>0.70710678118654735</v>
      </c>
      <c r="GG39">
        <f t="shared" si="89"/>
        <v>0.76604444311897779</v>
      </c>
      <c r="GH39">
        <f t="shared" ref="GH39:GO39" si="90">COS(GH38*PI()/180)</f>
        <v>0.81915204428899158</v>
      </c>
      <c r="GI39">
        <f t="shared" si="90"/>
        <v>0.86602540378443837</v>
      </c>
      <c r="GJ39">
        <f t="shared" si="90"/>
        <v>0.90630778703664971</v>
      </c>
      <c r="GK39">
        <f t="shared" si="90"/>
        <v>0.93969262078590843</v>
      </c>
      <c r="GL39">
        <f t="shared" si="90"/>
        <v>0.96592582628906831</v>
      </c>
      <c r="GM39">
        <f t="shared" si="90"/>
        <v>0.98480775301220791</v>
      </c>
      <c r="GN39">
        <f t="shared" si="90"/>
        <v>0.99619469809174555</v>
      </c>
      <c r="GO39">
        <f t="shared" si="90"/>
        <v>1</v>
      </c>
    </row>
    <row r="40" spans="1:197">
      <c r="A40">
        <v>535</v>
      </c>
      <c r="B40" s="90">
        <f>'Color metric'!B34</f>
        <v>0.6584465473068688</v>
      </c>
      <c r="C40" s="82">
        <f>Reference!N40</f>
        <v>4.1050893270303224</v>
      </c>
      <c r="D40" s="82"/>
      <c r="E40" s="117"/>
      <c r="F40" s="118"/>
      <c r="G40" s="119"/>
      <c r="H40" s="119"/>
      <c r="I40" s="119"/>
      <c r="J40" s="119"/>
      <c r="K40" s="119"/>
      <c r="L40" s="119"/>
      <c r="M40" s="119"/>
      <c r="N40" s="119"/>
      <c r="O40" s="119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  <c r="BA40" s="120"/>
      <c r="BB40" s="120"/>
      <c r="BC40" s="120"/>
      <c r="BD40" s="120"/>
      <c r="BE40" s="120"/>
      <c r="BF40" s="120"/>
      <c r="BG40" s="120"/>
      <c r="BH40" s="120"/>
      <c r="BI40" s="120"/>
      <c r="BJ40" s="120"/>
      <c r="BK40" s="120"/>
      <c r="BL40" s="120"/>
      <c r="BM40" s="120"/>
      <c r="BN40" s="120"/>
      <c r="BO40" s="120"/>
      <c r="BP40" s="120"/>
      <c r="BQ40" s="120"/>
      <c r="BR40" s="120"/>
      <c r="BS40" s="120"/>
      <c r="BT40" s="120"/>
      <c r="BU40" s="120"/>
      <c r="BV40" s="120"/>
      <c r="BW40" s="120"/>
      <c r="BX40" s="120"/>
      <c r="BY40" s="120"/>
      <c r="BZ40" s="120"/>
      <c r="CA40" s="120"/>
      <c r="CB40" s="120"/>
      <c r="CC40" s="120"/>
      <c r="CD40" s="120"/>
      <c r="CE40" s="120"/>
      <c r="CF40" s="120"/>
      <c r="CG40" s="120"/>
      <c r="CH40" s="120"/>
      <c r="CI40" s="120"/>
      <c r="CJ40" s="120"/>
      <c r="CK40" s="120"/>
      <c r="CL40" s="120"/>
      <c r="CM40" s="120"/>
      <c r="CN40" s="120"/>
      <c r="CO40" s="120"/>
      <c r="CP40" s="120"/>
      <c r="CQ40" s="120"/>
      <c r="CR40" s="120"/>
      <c r="CS40" s="120"/>
      <c r="CT40" s="120"/>
      <c r="CU40" s="120"/>
      <c r="CV40" s="120"/>
      <c r="CW40" s="120"/>
      <c r="CX40" s="120"/>
      <c r="CY40" s="120"/>
      <c r="CZ40" s="120"/>
      <c r="DA40" s="120"/>
      <c r="DC40">
        <v>36</v>
      </c>
      <c r="DD40" s="84">
        <v>80.723870978513489</v>
      </c>
      <c r="DE40" s="84">
        <v>-0.22815939269962762</v>
      </c>
      <c r="DF40" s="84">
        <v>7.1163115924459612</v>
      </c>
      <c r="DG40" s="84">
        <v>80.777265254766888</v>
      </c>
      <c r="DH40" s="84">
        <v>0.23089065511900425</v>
      </c>
      <c r="DI40" s="84">
        <v>5.2258321031640378</v>
      </c>
      <c r="DJ40" s="84">
        <v>1.9461476291727087</v>
      </c>
      <c r="DK40" s="84">
        <f t="shared" si="0"/>
        <v>3.7874905945345549</v>
      </c>
      <c r="DL40" s="84">
        <f t="shared" si="1"/>
        <v>1.6028468153152884</v>
      </c>
      <c r="DM40" s="84">
        <f t="shared" si="2"/>
        <v>91.836357723550947</v>
      </c>
      <c r="DN40" s="85">
        <v>3</v>
      </c>
      <c r="DO40">
        <v>1</v>
      </c>
      <c r="DP40">
        <f t="shared" si="88"/>
        <v>112.5</v>
      </c>
      <c r="DQ40" s="270">
        <v>-7.6536686473017941</v>
      </c>
      <c r="DR40" s="270">
        <v>18.477590650225736</v>
      </c>
      <c r="DT40" t="s">
        <v>426</v>
      </c>
      <c r="DU40">
        <f>SIN(DU38*PI()/180)</f>
        <v>0</v>
      </c>
      <c r="DV40">
        <f t="shared" ref="DV40:GG40" si="91">SIN(DV38*PI()/180)</f>
        <v>8.7155742747658166E-2</v>
      </c>
      <c r="DW40">
        <f t="shared" si="91"/>
        <v>0.17364817766693033</v>
      </c>
      <c r="DX40">
        <f t="shared" si="91"/>
        <v>0.25881904510252074</v>
      </c>
      <c r="DY40">
        <f t="shared" si="91"/>
        <v>0.34202014332566871</v>
      </c>
      <c r="DZ40">
        <f t="shared" si="91"/>
        <v>0.42261826174069944</v>
      </c>
      <c r="EA40">
        <f t="shared" si="91"/>
        <v>0.49999999999999994</v>
      </c>
      <c r="EB40">
        <f t="shared" si="91"/>
        <v>0.57357643635104605</v>
      </c>
      <c r="EC40">
        <f t="shared" si="91"/>
        <v>0.64278760968653925</v>
      </c>
      <c r="ED40">
        <f t="shared" si="91"/>
        <v>0.70710678118654746</v>
      </c>
      <c r="EE40">
        <f t="shared" si="91"/>
        <v>0.76604444311897801</v>
      </c>
      <c r="EF40">
        <f t="shared" si="91"/>
        <v>0.8191520442889918</v>
      </c>
      <c r="EG40">
        <f t="shared" si="91"/>
        <v>0.8660254037844386</v>
      </c>
      <c r="EH40">
        <f t="shared" si="91"/>
        <v>0.90630778703664994</v>
      </c>
      <c r="EI40">
        <f t="shared" si="91"/>
        <v>0.93969262078590832</v>
      </c>
      <c r="EJ40">
        <f t="shared" si="91"/>
        <v>0.96592582628906831</v>
      </c>
      <c r="EK40">
        <f t="shared" si="91"/>
        <v>0.98480775301220802</v>
      </c>
      <c r="EL40">
        <f t="shared" si="91"/>
        <v>0.99619469809174555</v>
      </c>
      <c r="EM40">
        <f t="shared" si="91"/>
        <v>1</v>
      </c>
      <c r="EN40">
        <f t="shared" si="91"/>
        <v>0.99619469809174555</v>
      </c>
      <c r="EO40">
        <f t="shared" si="91"/>
        <v>0.98480775301220802</v>
      </c>
      <c r="EP40">
        <f t="shared" si="91"/>
        <v>0.96592582628906831</v>
      </c>
      <c r="EQ40">
        <f t="shared" si="91"/>
        <v>0.93969262078590843</v>
      </c>
      <c r="ER40">
        <f t="shared" si="91"/>
        <v>0.90630778703665005</v>
      </c>
      <c r="ES40">
        <f t="shared" si="91"/>
        <v>0.86602540378443871</v>
      </c>
      <c r="ET40">
        <f t="shared" si="91"/>
        <v>0.81915204428899202</v>
      </c>
      <c r="EU40">
        <f t="shared" si="91"/>
        <v>0.76604444311897801</v>
      </c>
      <c r="EV40">
        <f t="shared" si="91"/>
        <v>0.70710678118654757</v>
      </c>
      <c r="EW40">
        <f t="shared" si="91"/>
        <v>0.64278760968653947</v>
      </c>
      <c r="EX40">
        <f t="shared" si="91"/>
        <v>0.57357643635104638</v>
      </c>
      <c r="EY40">
        <f t="shared" si="91"/>
        <v>0.49999999999999994</v>
      </c>
      <c r="EZ40">
        <f t="shared" si="91"/>
        <v>0.4226182617406995</v>
      </c>
      <c r="FA40">
        <f t="shared" si="91"/>
        <v>0.34202014332566888</v>
      </c>
      <c r="FB40">
        <f t="shared" si="91"/>
        <v>0.25881904510252102</v>
      </c>
      <c r="FC40">
        <f t="shared" si="91"/>
        <v>0.17364817766693028</v>
      </c>
      <c r="FD40">
        <f t="shared" si="91"/>
        <v>8.7155742747658638E-2</v>
      </c>
      <c r="FE40">
        <f t="shared" si="91"/>
        <v>1.22514845490862E-16</v>
      </c>
      <c r="FF40">
        <f t="shared" si="91"/>
        <v>-8.7155742747657944E-2</v>
      </c>
      <c r="FG40">
        <f t="shared" si="91"/>
        <v>-0.17364817766693047</v>
      </c>
      <c r="FH40">
        <f t="shared" si="91"/>
        <v>-0.25881904510252035</v>
      </c>
      <c r="FI40">
        <f t="shared" si="91"/>
        <v>-0.34202014332566866</v>
      </c>
      <c r="FJ40">
        <f t="shared" si="91"/>
        <v>-0.42261826174069927</v>
      </c>
      <c r="FK40">
        <f t="shared" si="91"/>
        <v>-0.50000000000000011</v>
      </c>
      <c r="FL40">
        <f t="shared" si="91"/>
        <v>-0.57357643635104583</v>
      </c>
      <c r="FM40">
        <f t="shared" si="91"/>
        <v>-0.64278760968653925</v>
      </c>
      <c r="FN40">
        <f t="shared" si="91"/>
        <v>-0.70710678118654746</v>
      </c>
      <c r="FO40">
        <f t="shared" si="91"/>
        <v>-0.7660444431189779</v>
      </c>
      <c r="FP40">
        <f t="shared" si="91"/>
        <v>-0.81915204428899158</v>
      </c>
      <c r="FQ40">
        <f t="shared" si="91"/>
        <v>-0.86602540378443837</v>
      </c>
      <c r="FR40">
        <f t="shared" si="91"/>
        <v>-0.90630778703664971</v>
      </c>
      <c r="FS40">
        <f t="shared" si="91"/>
        <v>-0.93969262078590821</v>
      </c>
      <c r="FT40">
        <f t="shared" si="91"/>
        <v>-0.96592582628906831</v>
      </c>
      <c r="FU40">
        <f t="shared" si="91"/>
        <v>-0.98480775301220802</v>
      </c>
      <c r="FV40">
        <f t="shared" si="91"/>
        <v>-0.99619469809174555</v>
      </c>
      <c r="FW40">
        <f t="shared" si="91"/>
        <v>-1</v>
      </c>
      <c r="FX40">
        <f t="shared" si="91"/>
        <v>-0.99619469809174555</v>
      </c>
      <c r="FY40">
        <f t="shared" si="91"/>
        <v>-0.98480775301220813</v>
      </c>
      <c r="FZ40">
        <f t="shared" si="91"/>
        <v>-0.9659258262890682</v>
      </c>
      <c r="GA40">
        <f t="shared" si="91"/>
        <v>-0.93969262078590854</v>
      </c>
      <c r="GB40">
        <f t="shared" si="91"/>
        <v>-0.90630778703664994</v>
      </c>
      <c r="GC40">
        <f t="shared" si="91"/>
        <v>-0.8660254037844386</v>
      </c>
      <c r="GD40">
        <f t="shared" si="91"/>
        <v>-0.8191520442889918</v>
      </c>
      <c r="GE40">
        <f t="shared" si="91"/>
        <v>-0.76604444311897812</v>
      </c>
      <c r="GF40">
        <f t="shared" si="91"/>
        <v>-0.70710678118654768</v>
      </c>
      <c r="GG40">
        <f t="shared" si="91"/>
        <v>-0.64278760968653958</v>
      </c>
      <c r="GH40">
        <f t="shared" ref="GH40:GO40" si="92">SIN(GH38*PI()/180)</f>
        <v>-0.57357643635104649</v>
      </c>
      <c r="GI40">
        <f t="shared" si="92"/>
        <v>-0.50000000000000044</v>
      </c>
      <c r="GJ40">
        <f t="shared" si="92"/>
        <v>-0.4226182617407</v>
      </c>
      <c r="GK40">
        <f t="shared" si="92"/>
        <v>-0.3420201433256686</v>
      </c>
      <c r="GL40">
        <f t="shared" si="92"/>
        <v>-0.25881904510252068</v>
      </c>
      <c r="GM40">
        <f t="shared" si="92"/>
        <v>-0.17364817766693127</v>
      </c>
      <c r="GN40">
        <f t="shared" si="92"/>
        <v>-8.7155742747658319E-2</v>
      </c>
      <c r="GO40">
        <f t="shared" si="92"/>
        <v>-2.45029690981724E-16</v>
      </c>
    </row>
    <row r="41" spans="1:197">
      <c r="A41">
        <v>540</v>
      </c>
      <c r="B41" s="90">
        <f>'Color metric'!B35</f>
        <v>0.69848180838657226</v>
      </c>
      <c r="C41" s="82">
        <f>Reference!N41</f>
        <v>4.2269383250902006</v>
      </c>
      <c r="D41" s="82"/>
      <c r="E41" s="121"/>
      <c r="F41" s="122"/>
      <c r="G41" s="123"/>
      <c r="H41" s="123"/>
      <c r="I41" s="123"/>
      <c r="J41" s="123"/>
      <c r="K41" s="123"/>
      <c r="L41" s="124"/>
      <c r="M41" s="124"/>
      <c r="N41" s="124"/>
      <c r="O41" s="124"/>
      <c r="P41" s="124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120"/>
      <c r="BK41" s="120"/>
      <c r="BL41" s="120"/>
      <c r="BM41" s="120"/>
      <c r="BN41" s="120"/>
      <c r="BO41" s="120"/>
      <c r="BP41" s="120"/>
      <c r="BQ41" s="120"/>
      <c r="BR41" s="120"/>
      <c r="BS41" s="120"/>
      <c r="BT41" s="120"/>
      <c r="BU41" s="120"/>
      <c r="BV41" s="120"/>
      <c r="BW41" s="120"/>
      <c r="BX41" s="120"/>
      <c r="BY41" s="120"/>
      <c r="BZ41" s="120"/>
      <c r="CA41" s="120"/>
      <c r="CB41" s="120"/>
      <c r="CC41" s="120"/>
      <c r="CD41" s="120"/>
      <c r="CE41" s="120"/>
      <c r="CF41" s="120"/>
      <c r="CG41" s="120"/>
      <c r="CH41" s="120"/>
      <c r="CI41" s="120"/>
      <c r="CJ41" s="120"/>
      <c r="CK41" s="120"/>
      <c r="CL41" s="120"/>
      <c r="CM41" s="120"/>
      <c r="CN41" s="120"/>
      <c r="CO41" s="120"/>
      <c r="CP41" s="120"/>
      <c r="CQ41" s="120"/>
      <c r="CR41" s="120"/>
      <c r="CS41" s="120"/>
      <c r="CT41" s="120"/>
      <c r="CU41" s="120"/>
      <c r="CV41" s="120"/>
      <c r="CW41" s="120"/>
      <c r="CX41" s="120"/>
      <c r="CY41" s="120"/>
      <c r="CZ41" s="120"/>
      <c r="DA41" s="120"/>
      <c r="DC41">
        <v>37</v>
      </c>
      <c r="DD41" s="84">
        <v>47.964032476380432</v>
      </c>
      <c r="DE41" s="84">
        <v>-4.7095116766844463</v>
      </c>
      <c r="DF41" s="84">
        <v>18.58253975031435</v>
      </c>
      <c r="DG41" s="84">
        <v>48.655331037169496</v>
      </c>
      <c r="DH41" s="84">
        <v>-6.6835635050412359</v>
      </c>
      <c r="DI41" s="84">
        <v>19.338004152957843</v>
      </c>
      <c r="DJ41" s="84">
        <v>2.2238481928515954</v>
      </c>
      <c r="DK41" s="84">
        <f t="shared" si="0"/>
        <v>4.9455007848493064</v>
      </c>
      <c r="DL41" s="84">
        <f t="shared" si="1"/>
        <v>1.81900762062763</v>
      </c>
      <c r="DM41" s="84">
        <f t="shared" si="2"/>
        <v>104.22145956409717</v>
      </c>
      <c r="DN41" s="85">
        <v>3</v>
      </c>
      <c r="DO41">
        <v>1</v>
      </c>
      <c r="DP41">
        <f t="shared" si="88"/>
        <v>112.5</v>
      </c>
      <c r="DQ41" s="270">
        <v>-7.6536686473017941</v>
      </c>
      <c r="DR41" s="270">
        <v>18.477590650225736</v>
      </c>
      <c r="DT41" t="s">
        <v>435</v>
      </c>
      <c r="DU41">
        <v>22.5</v>
      </c>
      <c r="DV41">
        <f t="shared" ref="DV41:EC41" si="93">DU41+45</f>
        <v>67.5</v>
      </c>
      <c r="DW41">
        <f t="shared" si="93"/>
        <v>112.5</v>
      </c>
      <c r="DX41">
        <f t="shared" si="93"/>
        <v>157.5</v>
      </c>
      <c r="DY41">
        <f t="shared" si="93"/>
        <v>202.5</v>
      </c>
      <c r="DZ41">
        <f t="shared" si="93"/>
        <v>247.5</v>
      </c>
      <c r="EA41">
        <f t="shared" si="93"/>
        <v>292.5</v>
      </c>
      <c r="EB41">
        <f t="shared" si="93"/>
        <v>337.5</v>
      </c>
      <c r="EC41">
        <f t="shared" si="93"/>
        <v>382.5</v>
      </c>
    </row>
    <row r="42" spans="1:197">
      <c r="A42">
        <v>545</v>
      </c>
      <c r="B42" s="90">
        <f>'Color metric'!B36</f>
        <v>0.73549176277963701</v>
      </c>
      <c r="C42" s="82">
        <f>Reference!N42</f>
        <v>4.3482288360746084</v>
      </c>
      <c r="D42" s="82"/>
      <c r="E42" s="125" t="s">
        <v>114</v>
      </c>
      <c r="F42" s="126"/>
      <c r="G42" s="127"/>
      <c r="H42" s="127"/>
      <c r="I42" s="128" t="s">
        <v>115</v>
      </c>
      <c r="J42" s="128"/>
      <c r="K42" s="129"/>
      <c r="L42" s="130"/>
      <c r="M42" s="130" t="s">
        <v>116</v>
      </c>
      <c r="N42" s="128"/>
      <c r="O42" s="128"/>
      <c r="P42" s="129"/>
      <c r="Q42" s="130" t="s">
        <v>117</v>
      </c>
      <c r="R42" s="131"/>
      <c r="S42" s="131"/>
      <c r="T42" s="131"/>
      <c r="U42" s="131" t="s">
        <v>118</v>
      </c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  <c r="AP42" s="131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1"/>
      <c r="BQ42" s="131"/>
      <c r="BR42" s="131"/>
      <c r="BS42" s="131"/>
      <c r="BT42" s="131"/>
      <c r="BU42" s="131"/>
      <c r="BV42" s="131"/>
      <c r="BW42" s="131"/>
      <c r="BX42" s="131"/>
      <c r="BY42" s="131"/>
      <c r="BZ42" s="131"/>
      <c r="CA42" s="131"/>
      <c r="CB42" s="131"/>
      <c r="CC42" s="131"/>
      <c r="CD42" s="131"/>
      <c r="CE42" s="131"/>
      <c r="CF42" s="131"/>
      <c r="CG42" s="131"/>
      <c r="CH42" s="131"/>
      <c r="CI42" s="131"/>
      <c r="CJ42" s="131"/>
      <c r="CK42" s="131"/>
      <c r="CL42" s="131"/>
      <c r="CM42" s="131"/>
      <c r="CN42" s="131"/>
      <c r="CO42" s="131"/>
      <c r="CP42" s="131"/>
      <c r="CQ42" s="131"/>
      <c r="CR42" s="131"/>
      <c r="CS42" s="131"/>
      <c r="CT42" s="131"/>
      <c r="CU42" s="131"/>
      <c r="CV42" s="131"/>
      <c r="CW42" s="131"/>
      <c r="CX42" s="131"/>
      <c r="CY42" s="131"/>
      <c r="CZ42" s="131"/>
      <c r="DA42" s="131"/>
      <c r="DC42">
        <v>38</v>
      </c>
      <c r="DD42" s="84">
        <v>86.306482235348795</v>
      </c>
      <c r="DE42" s="84">
        <v>-2.9287777870507186</v>
      </c>
      <c r="DF42" s="84">
        <v>16.238805920114018</v>
      </c>
      <c r="DG42" s="84">
        <v>86.360581316240626</v>
      </c>
      <c r="DH42" s="84">
        <v>-2.8514004407811422</v>
      </c>
      <c r="DI42" s="84">
        <v>15.606608030199929</v>
      </c>
      <c r="DJ42" s="84">
        <v>0.63920899264707554</v>
      </c>
      <c r="DK42" s="84">
        <f t="shared" si="0"/>
        <v>0.40858813628088908</v>
      </c>
      <c r="DL42" s="84">
        <f t="shared" si="1"/>
        <v>1.7492347693839481</v>
      </c>
      <c r="DM42" s="84">
        <f t="shared" si="2"/>
        <v>100.22376966324011</v>
      </c>
      <c r="DN42" s="85">
        <v>3</v>
      </c>
      <c r="DO42">
        <v>1</v>
      </c>
      <c r="DP42">
        <f t="shared" si="88"/>
        <v>112.5</v>
      </c>
      <c r="DQ42" s="270">
        <v>-7.6536686473017941</v>
      </c>
      <c r="DR42" s="270">
        <v>18.477590650225736</v>
      </c>
      <c r="DT42" t="s">
        <v>90</v>
      </c>
      <c r="DU42" s="87">
        <f>COS(DU41*PI()/180)</f>
        <v>0.92387953251128674</v>
      </c>
      <c r="DV42" s="87">
        <f t="shared" ref="DV42:EC42" si="94">COS(DV41*PI()/180)</f>
        <v>0.38268343236508984</v>
      </c>
      <c r="DW42" s="87">
        <f t="shared" si="94"/>
        <v>-0.38268343236508973</v>
      </c>
      <c r="DX42" s="87">
        <f t="shared" si="94"/>
        <v>-0.92387953251128674</v>
      </c>
      <c r="DY42" s="87">
        <f t="shared" si="94"/>
        <v>-0.92387953251128696</v>
      </c>
      <c r="DZ42" s="87">
        <f t="shared" si="94"/>
        <v>-0.3826834323650895</v>
      </c>
      <c r="EA42" s="87">
        <f t="shared" si="94"/>
        <v>0.38268343236509</v>
      </c>
      <c r="EB42" s="87">
        <f t="shared" si="94"/>
        <v>0.92387953251128685</v>
      </c>
      <c r="EC42" s="87">
        <f t="shared" si="94"/>
        <v>0.92387953251128707</v>
      </c>
      <c r="ED42" s="87"/>
    </row>
    <row r="43" spans="1:197">
      <c r="A43">
        <v>550</v>
      </c>
      <c r="B43" s="90">
        <f>'Color metric'!B37</f>
        <v>0.77066112125559127</v>
      </c>
      <c r="C43" s="82">
        <f>Reference!N43</f>
        <v>4.4688433725243319</v>
      </c>
      <c r="D43" s="82"/>
      <c r="E43" s="132" t="s">
        <v>119</v>
      </c>
      <c r="F43" s="133">
        <v>100</v>
      </c>
      <c r="G43" s="127"/>
      <c r="H43" s="127"/>
      <c r="I43" s="134">
        <v>0.73280000000000001</v>
      </c>
      <c r="J43" s="134">
        <v>0.42959999999999998</v>
      </c>
      <c r="K43" s="134">
        <v>-0.16239999999999999</v>
      </c>
      <c r="L43" s="130"/>
      <c r="M43" s="130">
        <f t="array" ref="M43:O45">MINVERSE(I43:K45)</f>
        <v>1.0961238208355142</v>
      </c>
      <c r="N43" s="130">
        <v>-0.27886900021828726</v>
      </c>
      <c r="O43" s="130">
        <v>0.18274517938277304</v>
      </c>
      <c r="P43" s="130"/>
      <c r="Q43" s="268">
        <v>0.38971</v>
      </c>
      <c r="R43" s="268">
        <v>0.68898000000000004</v>
      </c>
      <c r="S43" s="268">
        <v>-7.868E-2</v>
      </c>
      <c r="T43" s="131"/>
      <c r="U43" s="131">
        <f t="array" ref="U43:W45">MINVERSE(Q43:S45)</f>
        <v>1.910196834052035</v>
      </c>
      <c r="V43" s="131">
        <v>-1.1121238927878747</v>
      </c>
      <c r="W43" s="131">
        <v>0.20190795676749937</v>
      </c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  <c r="AP43" s="131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1"/>
      <c r="BQ43" s="131"/>
      <c r="BR43" s="131"/>
      <c r="BS43" s="131"/>
      <c r="BT43" s="131"/>
      <c r="BU43" s="131"/>
      <c r="BV43" s="131"/>
      <c r="BW43" s="131"/>
      <c r="BX43" s="131"/>
      <c r="BY43" s="131"/>
      <c r="BZ43" s="131"/>
      <c r="CA43" s="131"/>
      <c r="CB43" s="131"/>
      <c r="CC43" s="131"/>
      <c r="CD43" s="131"/>
      <c r="CE43" s="131"/>
      <c r="CF43" s="131"/>
      <c r="CG43" s="131"/>
      <c r="CH43" s="131"/>
      <c r="CI43" s="131"/>
      <c r="CJ43" s="131"/>
      <c r="CK43" s="131"/>
      <c r="CL43" s="131"/>
      <c r="CM43" s="131"/>
      <c r="CN43" s="131"/>
      <c r="CO43" s="131"/>
      <c r="CP43" s="131"/>
      <c r="CQ43" s="131"/>
      <c r="CR43" s="131"/>
      <c r="CS43" s="131"/>
      <c r="CT43" s="131"/>
      <c r="CU43" s="131"/>
      <c r="CV43" s="131"/>
      <c r="CW43" s="131"/>
      <c r="CX43" s="131"/>
      <c r="CY43" s="131"/>
      <c r="CZ43" s="131"/>
      <c r="DA43" s="131"/>
      <c r="DC43">
        <v>39</v>
      </c>
      <c r="DD43" s="84">
        <v>35.445198444833046</v>
      </c>
      <c r="DE43" s="84">
        <v>-2.1721896013829198</v>
      </c>
      <c r="DF43" s="84">
        <v>6.8597942863378405</v>
      </c>
      <c r="DG43" s="84">
        <v>35.231155749096239</v>
      </c>
      <c r="DH43" s="84">
        <v>-2.1376942689272194</v>
      </c>
      <c r="DI43" s="84">
        <v>6.9095429822262862</v>
      </c>
      <c r="DJ43" s="84">
        <v>0.22243906199701083</v>
      </c>
      <c r="DK43" s="84">
        <f t="shared" si="0"/>
        <v>4.9479136302110024E-2</v>
      </c>
      <c r="DL43" s="84">
        <f t="shared" si="1"/>
        <v>1.877462233784017</v>
      </c>
      <c r="DM43" s="84">
        <f t="shared" si="2"/>
        <v>107.57066219102805</v>
      </c>
      <c r="DN43" s="85">
        <v>3</v>
      </c>
      <c r="DO43">
        <v>6</v>
      </c>
      <c r="DP43">
        <f t="shared" si="88"/>
        <v>112.5</v>
      </c>
      <c r="DQ43" s="270">
        <v>-7.6536686473017941</v>
      </c>
      <c r="DR43" s="270">
        <v>18.477590650225736</v>
      </c>
      <c r="DT43" t="s">
        <v>91</v>
      </c>
      <c r="DU43" s="87">
        <f>SIN(DU41*PI()/180)</f>
        <v>0.38268343236508978</v>
      </c>
      <c r="DV43" s="87">
        <f t="shared" ref="DV43:EC43" si="95">SIN(DV41*PI()/180)</f>
        <v>0.92387953251128674</v>
      </c>
      <c r="DW43" s="87">
        <f t="shared" si="95"/>
        <v>0.92387953251128674</v>
      </c>
      <c r="DX43" s="87">
        <f t="shared" si="95"/>
        <v>0.38268343236508989</v>
      </c>
      <c r="DY43" s="87">
        <f t="shared" si="95"/>
        <v>-0.38268343236508923</v>
      </c>
      <c r="DZ43" s="87">
        <f t="shared" si="95"/>
        <v>-0.92387953251128685</v>
      </c>
      <c r="EA43" s="87">
        <f t="shared" si="95"/>
        <v>-0.92387953251128663</v>
      </c>
      <c r="EB43" s="87">
        <f t="shared" si="95"/>
        <v>-0.38268343236508956</v>
      </c>
      <c r="EC43" s="87">
        <f t="shared" si="95"/>
        <v>0.38268343236508912</v>
      </c>
      <c r="ED43" s="87"/>
    </row>
    <row r="44" spans="1:197">
      <c r="A44">
        <v>555</v>
      </c>
      <c r="B44" s="90">
        <f>'Color metric'!B38</f>
        <v>0.80419688981102544</v>
      </c>
      <c r="C44" s="82">
        <f>Reference!N44</f>
        <v>4.5886688246508465</v>
      </c>
      <c r="D44" s="82"/>
      <c r="E44" s="125" t="s">
        <v>120</v>
      </c>
      <c r="F44" s="133">
        <v>20</v>
      </c>
      <c r="G44" s="127"/>
      <c r="H44" s="127"/>
      <c r="I44" s="134">
        <v>-0.7036</v>
      </c>
      <c r="J44" s="134">
        <v>1.6975</v>
      </c>
      <c r="K44" s="134">
        <v>6.1000000000000004E-3</v>
      </c>
      <c r="L44" s="130"/>
      <c r="M44" s="130">
        <v>0.45436904197535916</v>
      </c>
      <c r="N44" s="130">
        <v>0.47353315430741177</v>
      </c>
      <c r="O44" s="130">
        <v>7.2097803717229125E-2</v>
      </c>
      <c r="P44" s="130"/>
      <c r="Q44" s="268">
        <v>-0.22980999999999999</v>
      </c>
      <c r="R44" s="268">
        <v>1.1834</v>
      </c>
      <c r="S44" s="268">
        <v>4.641E-2</v>
      </c>
      <c r="T44" s="131"/>
      <c r="U44" s="131">
        <v>0.37095008824868858</v>
      </c>
      <c r="V44" s="131">
        <v>0.62905425739261323</v>
      </c>
      <c r="W44" s="131">
        <v>-8.0551421843613255E-6</v>
      </c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  <c r="AP44" s="131"/>
      <c r="AQ44" s="131"/>
      <c r="AR44" s="131"/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1"/>
      <c r="BQ44" s="131"/>
      <c r="BR44" s="131"/>
      <c r="BS44" s="131"/>
      <c r="BT44" s="131"/>
      <c r="BU44" s="131"/>
      <c r="BV44" s="131"/>
      <c r="BW44" s="131"/>
      <c r="BX44" s="131"/>
      <c r="BY44" s="131"/>
      <c r="BZ44" s="131"/>
      <c r="CA44" s="131"/>
      <c r="CB44" s="131"/>
      <c r="CC44" s="131"/>
      <c r="CD44" s="131"/>
      <c r="CE44" s="131"/>
      <c r="CF44" s="131"/>
      <c r="CG44" s="131"/>
      <c r="CH44" s="131"/>
      <c r="CI44" s="131"/>
      <c r="CJ44" s="131"/>
      <c r="CK44" s="131"/>
      <c r="CL44" s="131"/>
      <c r="CM44" s="131"/>
      <c r="CN44" s="131"/>
      <c r="CO44" s="131"/>
      <c r="CP44" s="131"/>
      <c r="CQ44" s="131"/>
      <c r="CR44" s="131"/>
      <c r="CS44" s="131"/>
      <c r="CT44" s="131"/>
      <c r="CU44" s="131"/>
      <c r="CV44" s="131"/>
      <c r="CW44" s="131"/>
      <c r="CX44" s="131"/>
      <c r="CY44" s="131"/>
      <c r="CZ44" s="131"/>
      <c r="DA44" s="131"/>
      <c r="DC44">
        <v>40</v>
      </c>
      <c r="DD44" s="84">
        <v>50.324797439332109</v>
      </c>
      <c r="DE44" s="84">
        <v>-4.4654854501287717</v>
      </c>
      <c r="DF44" s="84">
        <v>13.006468229461776</v>
      </c>
      <c r="DG44" s="84">
        <v>49.900227233477104</v>
      </c>
      <c r="DH44" s="84">
        <v>-4.6815991192179576</v>
      </c>
      <c r="DI44" s="84">
        <v>13.277240259390643</v>
      </c>
      <c r="DJ44" s="84">
        <v>0.54798035535842982</v>
      </c>
      <c r="DK44" s="84">
        <f t="shared" si="0"/>
        <v>0.30028246985875101</v>
      </c>
      <c r="DL44" s="84">
        <f t="shared" si="1"/>
        <v>1.901515000103978</v>
      </c>
      <c r="DM44" s="84">
        <f t="shared" si="2"/>
        <v>108.94878418677622</v>
      </c>
      <c r="DN44" s="85">
        <v>3</v>
      </c>
      <c r="DO44">
        <v>6</v>
      </c>
      <c r="DP44">
        <f t="shared" si="88"/>
        <v>112.5</v>
      </c>
      <c r="DQ44" s="270">
        <v>-7.6536686473017941</v>
      </c>
      <c r="DR44" s="270">
        <v>18.477590650225736</v>
      </c>
      <c r="DT44" t="s">
        <v>92</v>
      </c>
      <c r="DU44" s="87">
        <f>DU42+DU16*DU46</f>
        <v>0.80808448135854638</v>
      </c>
      <c r="DV44" s="87">
        <f t="shared" ref="DV44:EC44" si="96">DV42+DV16*DV46</f>
        <v>0.25974888082215902</v>
      </c>
      <c r="DW44" s="87">
        <f t="shared" si="96"/>
        <v>-0.41907613415212347</v>
      </c>
      <c r="DX44" s="87">
        <f t="shared" si="96"/>
        <v>-0.8393884278244621</v>
      </c>
      <c r="DY44" s="87">
        <f t="shared" si="96"/>
        <v>-0.77342782721602088</v>
      </c>
      <c r="DZ44" s="87">
        <f t="shared" si="96"/>
        <v>-0.26355523046837681</v>
      </c>
      <c r="EA44" s="87">
        <f t="shared" si="96"/>
        <v>0.35252810393367345</v>
      </c>
      <c r="EB44" s="87">
        <f t="shared" si="96"/>
        <v>0.84048652611770747</v>
      </c>
      <c r="EC44" s="87">
        <f t="shared" si="96"/>
        <v>0.80808448135854671</v>
      </c>
      <c r="ED44" s="87"/>
    </row>
    <row r="45" spans="1:197">
      <c r="A45">
        <v>560</v>
      </c>
      <c r="B45" s="90">
        <f>'Color metric'!B39</f>
        <v>0.83622552311799836</v>
      </c>
      <c r="C45" s="82">
        <f>Reference!N45</f>
        <v>4.7075965602835366</v>
      </c>
      <c r="D45" s="82"/>
      <c r="E45" s="125" t="s">
        <v>121</v>
      </c>
      <c r="F45" s="125">
        <v>1</v>
      </c>
      <c r="G45" s="127"/>
      <c r="H45" s="127"/>
      <c r="I45" s="134">
        <v>3.0000000000000001E-3</v>
      </c>
      <c r="J45" s="134">
        <v>1.3599999999999999E-2</v>
      </c>
      <c r="K45" s="134">
        <v>0.98340000000000005</v>
      </c>
      <c r="L45" s="130"/>
      <c r="M45" s="130">
        <v>-9.6276087384293552E-3</v>
      </c>
      <c r="N45" s="130">
        <v>-5.6980312161134198E-3</v>
      </c>
      <c r="O45" s="130">
        <v>1.0153256399545427</v>
      </c>
      <c r="P45" s="130"/>
      <c r="Q45" s="268">
        <v>0</v>
      </c>
      <c r="R45" s="268">
        <v>0</v>
      </c>
      <c r="S45" s="268">
        <v>1</v>
      </c>
      <c r="T45" s="131"/>
      <c r="U45" s="131">
        <v>0</v>
      </c>
      <c r="V45" s="131">
        <v>0</v>
      </c>
      <c r="W45" s="131">
        <v>1</v>
      </c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  <c r="AP45" s="131"/>
      <c r="AQ45" s="131"/>
      <c r="AR45" s="131"/>
      <c r="AS45" s="131"/>
      <c r="AT45" s="131"/>
      <c r="AU45" s="131"/>
      <c r="AV45" s="131"/>
      <c r="AW45" s="131"/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  <c r="BK45" s="131"/>
      <c r="BL45" s="131"/>
      <c r="BM45" s="131"/>
      <c r="BN45" s="131"/>
      <c r="BO45" s="131"/>
      <c r="BP45" s="131"/>
      <c r="BQ45" s="131"/>
      <c r="BR45" s="131"/>
      <c r="BS45" s="131"/>
      <c r="BT45" s="131"/>
      <c r="BU45" s="131"/>
      <c r="BV45" s="131"/>
      <c r="BW45" s="131"/>
      <c r="BX45" s="131"/>
      <c r="BY45" s="131"/>
      <c r="BZ45" s="131"/>
      <c r="CA45" s="131"/>
      <c r="CB45" s="131"/>
      <c r="CC45" s="131"/>
      <c r="CD45" s="131"/>
      <c r="CE45" s="131"/>
      <c r="CF45" s="131"/>
      <c r="CG45" s="131"/>
      <c r="CH45" s="131"/>
      <c r="CI45" s="131"/>
      <c r="CJ45" s="131"/>
      <c r="CK45" s="131"/>
      <c r="CL45" s="131"/>
      <c r="CM45" s="131"/>
      <c r="CN45" s="131"/>
      <c r="CO45" s="131"/>
      <c r="CP45" s="131"/>
      <c r="CQ45" s="131"/>
      <c r="CR45" s="131"/>
      <c r="CS45" s="131"/>
      <c r="CT45" s="131"/>
      <c r="CU45" s="131"/>
      <c r="CV45" s="131"/>
      <c r="CW45" s="131"/>
      <c r="CX45" s="131"/>
      <c r="CY45" s="131"/>
      <c r="CZ45" s="131"/>
      <c r="DA45" s="131"/>
      <c r="DC45">
        <v>41</v>
      </c>
      <c r="DD45" s="84">
        <v>88.284723581276054</v>
      </c>
      <c r="DE45" s="84">
        <v>-3.3283606928323879</v>
      </c>
      <c r="DF45" s="84">
        <v>8.2807785856475267</v>
      </c>
      <c r="DG45" s="84">
        <v>88.095475481684417</v>
      </c>
      <c r="DH45" s="84">
        <v>-3.3432642489741604</v>
      </c>
      <c r="DI45" s="84">
        <v>8.3264662871102963</v>
      </c>
      <c r="DJ45" s="84">
        <v>0.19525451403147734</v>
      </c>
      <c r="DK45" s="84">
        <f t="shared" si="0"/>
        <v>3.8124325249668384E-2</v>
      </c>
      <c r="DL45" s="84">
        <f t="shared" si="1"/>
        <v>1.9529723916430657</v>
      </c>
      <c r="DM45" s="84">
        <f t="shared" si="2"/>
        <v>111.89707554671814</v>
      </c>
      <c r="DN45" s="85">
        <v>3</v>
      </c>
      <c r="DO45">
        <v>3</v>
      </c>
      <c r="DP45">
        <f t="shared" si="88"/>
        <v>112.5</v>
      </c>
      <c r="DQ45" s="270">
        <v>-7.6536686473017941</v>
      </c>
      <c r="DR45" s="270">
        <v>18.477590650225736</v>
      </c>
      <c r="DT45" t="s">
        <v>94</v>
      </c>
      <c r="DU45" s="87">
        <f>DU43+DU17*DU46</f>
        <v>0.37233328889980477</v>
      </c>
      <c r="DV45" s="87">
        <f t="shared" ref="DV45:EC45" si="97">DV43+DV17*DV46</f>
        <v>0.95955379123729123</v>
      </c>
      <c r="DW45" s="87">
        <f t="shared" si="97"/>
        <v>0.95924738287122024</v>
      </c>
      <c r="DX45" s="87">
        <f t="shared" si="97"/>
        <v>0.39308490779538391</v>
      </c>
      <c r="DY45" s="87">
        <f t="shared" si="97"/>
        <v>-0.4580659319507645</v>
      </c>
      <c r="DZ45" s="87">
        <f t="shared" si="97"/>
        <v>-1.016302757345724</v>
      </c>
      <c r="EA45" s="87">
        <f t="shared" si="97"/>
        <v>-1.0216389511300357</v>
      </c>
      <c r="EB45" s="87">
        <f t="shared" si="97"/>
        <v>-0.49885725346919801</v>
      </c>
      <c r="EC45" s="87">
        <f t="shared" si="97"/>
        <v>0.3723332888998041</v>
      </c>
      <c r="ED45" s="87"/>
    </row>
    <row r="46" spans="1:197">
      <c r="A46">
        <v>565</v>
      </c>
      <c r="B46" s="90">
        <f>'Color metric'!B40</f>
        <v>0.86750595335138514</v>
      </c>
      <c r="C46" s="82">
        <f>Reference!N46</f>
        <v>4.8255225023989663</v>
      </c>
      <c r="D46" s="82"/>
      <c r="E46" s="125" t="s">
        <v>122</v>
      </c>
      <c r="F46" s="133">
        <v>1</v>
      </c>
      <c r="G46" s="127"/>
      <c r="H46" s="127"/>
      <c r="I46" s="127"/>
      <c r="J46" s="127"/>
      <c r="K46" s="127"/>
      <c r="L46" s="135"/>
      <c r="M46" s="135"/>
      <c r="N46" s="135"/>
      <c r="O46" s="135"/>
      <c r="P46" s="135"/>
      <c r="Q46" s="136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/>
      <c r="BP46" s="133"/>
      <c r="BQ46" s="133"/>
      <c r="BR46" s="133"/>
      <c r="BS46" s="133"/>
      <c r="BT46" s="133"/>
      <c r="BU46" s="133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K46" s="133"/>
      <c r="CL46" s="133"/>
      <c r="CM46" s="133"/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C46">
        <v>42</v>
      </c>
      <c r="DD46" s="84">
        <v>68.539763136454681</v>
      </c>
      <c r="DE46" s="84">
        <v>-16.306385986749227</v>
      </c>
      <c r="DF46" s="84">
        <v>27.984677967216257</v>
      </c>
      <c r="DG46" s="84">
        <v>69.07939252677555</v>
      </c>
      <c r="DH46" s="84">
        <v>-17.435208320233535</v>
      </c>
      <c r="DI46" s="84">
        <v>29.165105049412993</v>
      </c>
      <c r="DJ46" s="84">
        <v>1.7201301799150353</v>
      </c>
      <c r="DK46" s="84">
        <f t="shared" si="0"/>
        <v>2.9588478358545314</v>
      </c>
      <c r="DL46" s="84">
        <f t="shared" si="1"/>
        <v>2.0983904802824807</v>
      </c>
      <c r="DM46" s="84">
        <f t="shared" si="2"/>
        <v>120.22891829061594</v>
      </c>
      <c r="DN46" s="85">
        <v>3</v>
      </c>
      <c r="DO46">
        <v>6</v>
      </c>
      <c r="DP46">
        <f t="shared" si="88"/>
        <v>112.5</v>
      </c>
      <c r="DQ46" s="270">
        <v>-7.6536686473017941</v>
      </c>
      <c r="DR46" s="270">
        <v>18.477590650225736</v>
      </c>
      <c r="DT46" t="s">
        <v>437</v>
      </c>
      <c r="DU46" s="271">
        <v>1</v>
      </c>
      <c r="DV46">
        <f>DU46</f>
        <v>1</v>
      </c>
      <c r="DW46">
        <f t="shared" ref="DW46:EC46" si="98">DV46</f>
        <v>1</v>
      </c>
      <c r="DX46">
        <f t="shared" si="98"/>
        <v>1</v>
      </c>
      <c r="DY46">
        <f t="shared" si="98"/>
        <v>1</v>
      </c>
      <c r="DZ46">
        <f t="shared" si="98"/>
        <v>1</v>
      </c>
      <c r="EA46">
        <f t="shared" si="98"/>
        <v>1</v>
      </c>
      <c r="EB46">
        <f t="shared" si="98"/>
        <v>1</v>
      </c>
      <c r="EC46">
        <f t="shared" si="98"/>
        <v>1</v>
      </c>
    </row>
    <row r="47" spans="1:197">
      <c r="A47">
        <v>570</v>
      </c>
      <c r="B47" s="90">
        <f>'Color metric'!B41</f>
        <v>0.89760987574374007</v>
      </c>
      <c r="C47" s="82">
        <f>Reference!N47</f>
        <v>4.9423471856315517</v>
      </c>
      <c r="D47" s="82"/>
      <c r="E47" s="125" t="s">
        <v>18</v>
      </c>
      <c r="F47" s="133">
        <v>0.69</v>
      </c>
      <c r="G47" s="127"/>
      <c r="H47" s="127"/>
      <c r="I47" s="127"/>
      <c r="J47" s="127"/>
      <c r="K47" s="127"/>
      <c r="L47" s="135"/>
      <c r="M47" s="135"/>
      <c r="N47" s="135"/>
      <c r="O47" s="135"/>
      <c r="P47" s="135"/>
      <c r="Q47" s="136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  <c r="BJ47" s="133"/>
      <c r="BK47" s="133"/>
      <c r="BL47" s="133"/>
      <c r="BM47" s="133"/>
      <c r="BN47" s="133"/>
      <c r="BO47" s="133"/>
      <c r="BP47" s="133"/>
      <c r="BQ47" s="133"/>
      <c r="BR47" s="133"/>
      <c r="BS47" s="133"/>
      <c r="BT47" s="133"/>
      <c r="BU47" s="133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K47" s="133"/>
      <c r="CL47" s="133"/>
      <c r="CM47" s="133"/>
      <c r="CN47" s="133"/>
      <c r="CO47" s="133"/>
      <c r="CP47" s="133"/>
      <c r="CQ47" s="133"/>
      <c r="CR47" s="133"/>
      <c r="CS47" s="133"/>
      <c r="CT47" s="133"/>
      <c r="CU47" s="133"/>
      <c r="CV47" s="133"/>
      <c r="CW47" s="133"/>
      <c r="CX47" s="133"/>
      <c r="CY47" s="133"/>
      <c r="CZ47" s="133"/>
      <c r="DA47" s="133"/>
      <c r="DC47">
        <v>43</v>
      </c>
      <c r="DD47" s="84">
        <v>72.318629817106597</v>
      </c>
      <c r="DE47" s="84">
        <v>-17.139047349507187</v>
      </c>
      <c r="DF47" s="84">
        <v>28.559640310867394</v>
      </c>
      <c r="DG47" s="84">
        <v>72.587867420850316</v>
      </c>
      <c r="DH47" s="84">
        <v>-17.163155284687093</v>
      </c>
      <c r="DI47" s="84">
        <v>30.743198962396697</v>
      </c>
      <c r="DJ47" s="84">
        <v>2.2002269120426572</v>
      </c>
      <c r="DK47" s="84">
        <f t="shared" si="0"/>
        <v>4.8409984644767672</v>
      </c>
      <c r="DL47" s="84">
        <f t="shared" si="1"/>
        <v>2.1112998359526918</v>
      </c>
      <c r="DM47" s="84">
        <f t="shared" si="2"/>
        <v>120.96856988675231</v>
      </c>
      <c r="DN47" s="85">
        <v>3</v>
      </c>
      <c r="DO47">
        <v>3</v>
      </c>
      <c r="DP47">
        <f t="shared" si="88"/>
        <v>112.5</v>
      </c>
      <c r="DQ47" s="270">
        <v>-7.6536686473017941</v>
      </c>
      <c r="DR47" s="270">
        <v>18.477590650225736</v>
      </c>
    </row>
    <row r="48" spans="1:197">
      <c r="A48">
        <v>575</v>
      </c>
      <c r="B48" s="90">
        <f>'Color metric'!B42</f>
        <v>0.92614862028454326</v>
      </c>
      <c r="C48" s="82">
        <f>Reference!N48</f>
        <v>5.0579757931575982</v>
      </c>
      <c r="D48" s="82"/>
      <c r="E48" s="125" t="s">
        <v>123</v>
      </c>
      <c r="F48" s="133">
        <v>1</v>
      </c>
      <c r="G48" s="127"/>
      <c r="H48" s="127"/>
      <c r="I48" s="127"/>
      <c r="J48" s="127"/>
      <c r="K48" s="127"/>
      <c r="L48" s="135"/>
      <c r="M48" s="135"/>
      <c r="N48" s="135"/>
      <c r="O48" s="135"/>
      <c r="P48" s="135"/>
      <c r="Q48" s="136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133"/>
      <c r="BE48" s="133"/>
      <c r="BF48" s="133"/>
      <c r="BG48" s="133"/>
      <c r="BH48" s="133"/>
      <c r="BI48" s="133"/>
      <c r="BJ48" s="133"/>
      <c r="BK48" s="133"/>
      <c r="BL48" s="133"/>
      <c r="BM48" s="133"/>
      <c r="BN48" s="133"/>
      <c r="BO48" s="133"/>
      <c r="BP48" s="133"/>
      <c r="BQ48" s="133"/>
      <c r="BR48" s="133"/>
      <c r="BS48" s="133"/>
      <c r="BT48" s="133"/>
      <c r="BU48" s="133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K48" s="133"/>
      <c r="CL48" s="133"/>
      <c r="CM48" s="133"/>
      <c r="CN48" s="133"/>
      <c r="CO48" s="133"/>
      <c r="CP48" s="133"/>
      <c r="CQ48" s="133"/>
      <c r="CR48" s="133"/>
      <c r="CS48" s="133"/>
      <c r="CT48" s="133"/>
      <c r="CU48" s="133"/>
      <c r="CV48" s="133"/>
      <c r="CW48" s="133"/>
      <c r="CX48" s="133"/>
      <c r="CY48" s="133"/>
      <c r="CZ48" s="133"/>
      <c r="DA48" s="133"/>
      <c r="DC48">
        <v>44</v>
      </c>
      <c r="DD48" s="84">
        <v>28.840005374702113</v>
      </c>
      <c r="DE48" s="84">
        <v>-0.77511556563735418</v>
      </c>
      <c r="DF48" s="84">
        <v>1.316081764270516</v>
      </c>
      <c r="DG48" s="84">
        <v>28.809454386983962</v>
      </c>
      <c r="DH48" s="84">
        <v>-0.82836729756374383</v>
      </c>
      <c r="DI48" s="84">
        <v>1.2952189240658938</v>
      </c>
      <c r="DJ48" s="84">
        <v>6.4841097346654025E-2</v>
      </c>
      <c r="DK48" s="84">
        <f t="shared" si="0"/>
        <v>4.2043679051182638E-3</v>
      </c>
      <c r="DL48" s="84">
        <f t="shared" si="1"/>
        <v>2.1030564011945785</v>
      </c>
      <c r="DM48" s="84">
        <f t="shared" si="2"/>
        <v>120.49625586642097</v>
      </c>
      <c r="DN48" s="85">
        <v>3</v>
      </c>
      <c r="DO48">
        <v>6</v>
      </c>
      <c r="DP48">
        <f t="shared" si="88"/>
        <v>112.5</v>
      </c>
      <c r="DQ48" s="270">
        <v>-7.6536686473017941</v>
      </c>
      <c r="DR48" s="270">
        <v>18.477590650225736</v>
      </c>
    </row>
    <row r="49" spans="1:122">
      <c r="A49">
        <v>580</v>
      </c>
      <c r="B49" s="90">
        <f>'Color metric'!B43</f>
        <v>0.95163814404877634</v>
      </c>
      <c r="C49" s="82">
        <f>Reference!N49</f>
        <v>5.1723181753273488</v>
      </c>
      <c r="D49" s="82"/>
      <c r="E49" s="137" t="s">
        <v>124</v>
      </c>
      <c r="F49" s="133">
        <f>IF(F45=1,1,IF(F45&lt;1,F45,F46*(1-(1/3.6)*EXP((-F43-42)/92))))</f>
        <v>1</v>
      </c>
      <c r="G49" s="127"/>
      <c r="H49" s="127"/>
      <c r="I49" s="127"/>
      <c r="J49" s="127"/>
      <c r="K49" s="127"/>
      <c r="L49" s="135"/>
      <c r="M49" s="135"/>
      <c r="N49" s="135"/>
      <c r="O49" s="135"/>
      <c r="P49" s="135"/>
      <c r="Q49" s="136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133"/>
      <c r="BE49" s="133"/>
      <c r="BF49" s="133"/>
      <c r="BG49" s="133"/>
      <c r="BH49" s="133"/>
      <c r="BI49" s="133"/>
      <c r="BJ49" s="133"/>
      <c r="BK49" s="133"/>
      <c r="BL49" s="133"/>
      <c r="BM49" s="133"/>
      <c r="BN49" s="133"/>
      <c r="BO49" s="133"/>
      <c r="BP49" s="133"/>
      <c r="BQ49" s="133"/>
      <c r="BR49" s="133"/>
      <c r="BS49" s="133"/>
      <c r="BT49" s="133"/>
      <c r="BU49" s="133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K49" s="133"/>
      <c r="CL49" s="133"/>
      <c r="CM49" s="133"/>
      <c r="CN49" s="133"/>
      <c r="CO49" s="133"/>
      <c r="CP49" s="133"/>
      <c r="CQ49" s="133"/>
      <c r="CR49" s="133"/>
      <c r="CS49" s="133"/>
      <c r="CT49" s="133"/>
      <c r="CU49" s="133"/>
      <c r="CV49" s="133"/>
      <c r="CW49" s="133"/>
      <c r="CX49" s="133"/>
      <c r="CY49" s="133"/>
      <c r="CZ49" s="133"/>
      <c r="DA49" s="133"/>
      <c r="DC49">
        <v>45</v>
      </c>
      <c r="DD49" s="84">
        <v>58.431733715324668</v>
      </c>
      <c r="DE49" s="84">
        <v>-17.850368291761654</v>
      </c>
      <c r="DF49" s="84">
        <v>20.081299495816243</v>
      </c>
      <c r="DG49" s="84">
        <v>58.621206086806247</v>
      </c>
      <c r="DH49" s="84">
        <v>-17.404438791440043</v>
      </c>
      <c r="DI49" s="84">
        <v>21.424039375183813</v>
      </c>
      <c r="DJ49" s="84">
        <v>1.4274814473246136</v>
      </c>
      <c r="DK49" s="84">
        <f t="shared" si="0"/>
        <v>2.0377032824559733</v>
      </c>
      <c r="DL49" s="84">
        <f t="shared" si="1"/>
        <v>2.2974476886414306</v>
      </c>
      <c r="DM49" s="84">
        <f t="shared" si="2"/>
        <v>131.63405621124002</v>
      </c>
      <c r="DN49" s="85">
        <v>3</v>
      </c>
      <c r="DO49">
        <v>7</v>
      </c>
      <c r="DP49">
        <f t="shared" si="88"/>
        <v>112.5</v>
      </c>
      <c r="DQ49" s="270">
        <v>-7.6536686473017941</v>
      </c>
      <c r="DR49" s="270">
        <v>18.477590650225736</v>
      </c>
    </row>
    <row r="50" spans="1:122">
      <c r="A50">
        <v>585</v>
      </c>
      <c r="B50" s="90">
        <f>'Color metric'!B44</f>
        <v>0.97358091373391409</v>
      </c>
      <c r="C50" s="82">
        <f>Reference!N50</f>
        <v>5.285288851394558</v>
      </c>
      <c r="D50" s="82"/>
      <c r="E50" s="125" t="s">
        <v>29</v>
      </c>
      <c r="F50" s="125"/>
      <c r="G50" s="127"/>
      <c r="H50" s="127"/>
      <c r="I50" s="127"/>
      <c r="J50" s="127"/>
      <c r="K50" s="127"/>
      <c r="L50" s="135"/>
      <c r="M50" s="135"/>
      <c r="N50" s="135"/>
      <c r="O50" s="135"/>
      <c r="P50" s="135"/>
      <c r="Q50" s="136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3"/>
      <c r="AZ50" s="133"/>
      <c r="BA50" s="133"/>
      <c r="BB50" s="133"/>
      <c r="BC50" s="133"/>
      <c r="BD50" s="133"/>
      <c r="BE50" s="133"/>
      <c r="BF50" s="133"/>
      <c r="BG50" s="133"/>
      <c r="BH50" s="133"/>
      <c r="BI50" s="133"/>
      <c r="BJ50" s="133"/>
      <c r="BK50" s="133"/>
      <c r="BL50" s="133"/>
      <c r="BM50" s="133"/>
      <c r="BN50" s="133"/>
      <c r="BO50" s="133"/>
      <c r="BP50" s="133"/>
      <c r="BQ50" s="133"/>
      <c r="BR50" s="133"/>
      <c r="BS50" s="133"/>
      <c r="BT50" s="133"/>
      <c r="BU50" s="133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K50" s="133"/>
      <c r="CL50" s="133"/>
      <c r="CM50" s="133"/>
      <c r="CN50" s="133"/>
      <c r="CO50" s="133"/>
      <c r="CP50" s="133"/>
      <c r="CQ50" s="133"/>
      <c r="CR50" s="133"/>
      <c r="CS50" s="133"/>
      <c r="CT50" s="133"/>
      <c r="CU50" s="133"/>
      <c r="CV50" s="133"/>
      <c r="CW50" s="133"/>
      <c r="CX50" s="133"/>
      <c r="CY50" s="133"/>
      <c r="CZ50" s="133"/>
      <c r="DA50" s="133"/>
      <c r="DC50">
        <v>46</v>
      </c>
      <c r="DD50" s="84">
        <v>66.671055663769891</v>
      </c>
      <c r="DE50" s="84">
        <v>-14.111160929982161</v>
      </c>
      <c r="DF50" s="84">
        <v>15.907483431404783</v>
      </c>
      <c r="DG50" s="84">
        <v>66.837841403383067</v>
      </c>
      <c r="DH50" s="84">
        <v>-13.046871972080478</v>
      </c>
      <c r="DI50" s="84">
        <v>17.223731578923985</v>
      </c>
      <c r="DJ50" s="84">
        <v>1.7008931932068794</v>
      </c>
      <c r="DK50" s="84">
        <f t="shared" si="0"/>
        <v>2.8930376546974945</v>
      </c>
      <c r="DL50" s="84">
        <f t="shared" si="1"/>
        <v>2.2964255361852821</v>
      </c>
      <c r="DM50" s="84">
        <f t="shared" si="2"/>
        <v>131.57549118948378</v>
      </c>
      <c r="DN50" s="85">
        <v>3</v>
      </c>
      <c r="DO50">
        <v>5</v>
      </c>
      <c r="DP50">
        <f t="shared" si="88"/>
        <v>112.5</v>
      </c>
      <c r="DQ50" s="270">
        <v>-7.6536686473017941</v>
      </c>
      <c r="DR50" s="270">
        <v>18.477590650225736</v>
      </c>
    </row>
    <row r="51" spans="1:122">
      <c r="A51">
        <v>590</v>
      </c>
      <c r="B51" s="90">
        <f>'Color metric'!B45</f>
        <v>0.98899127955690336</v>
      </c>
      <c r="C51" s="82">
        <f>Reference!N51</f>
        <v>5.3968069956616214</v>
      </c>
      <c r="D51" s="82"/>
      <c r="E51" s="137" t="s">
        <v>52</v>
      </c>
      <c r="F51" s="133">
        <f>F5</f>
        <v>106.4864215382584</v>
      </c>
      <c r="G51" s="133">
        <f t="shared" ref="G51:BR53" si="99">G5</f>
        <v>76.03630994267418</v>
      </c>
      <c r="H51" s="133">
        <f t="shared" si="99"/>
        <v>40.71039278541695</v>
      </c>
      <c r="I51" s="133">
        <f t="shared" si="99"/>
        <v>7.8436594363062895</v>
      </c>
      <c r="J51" s="133">
        <f t="shared" si="99"/>
        <v>46.517187461227188</v>
      </c>
      <c r="K51" s="133">
        <f t="shared" si="99"/>
        <v>27.034020566862022</v>
      </c>
      <c r="L51" s="133">
        <f t="shared" si="99"/>
        <v>22.241080974353437</v>
      </c>
      <c r="M51" s="133">
        <f t="shared" si="99"/>
        <v>19.053722193753604</v>
      </c>
      <c r="N51" s="133">
        <f t="shared" si="99"/>
        <v>17.669506926384461</v>
      </c>
      <c r="O51" s="133">
        <f t="shared" si="99"/>
        <v>5.5298498396358449</v>
      </c>
      <c r="P51" s="133">
        <f t="shared" si="99"/>
        <v>64.317403368777704</v>
      </c>
      <c r="Q51" s="133">
        <f t="shared" si="99"/>
        <v>35.033490565525369</v>
      </c>
      <c r="R51" s="133">
        <f t="shared" si="99"/>
        <v>45.20880808915522</v>
      </c>
      <c r="S51" s="133">
        <f t="shared" si="99"/>
        <v>16.462462724802378</v>
      </c>
      <c r="T51" s="133">
        <f t="shared" si="99"/>
        <v>47.722915837891748</v>
      </c>
      <c r="U51" s="133">
        <f t="shared" si="99"/>
        <v>46.667262537789398</v>
      </c>
      <c r="V51" s="133">
        <f t="shared" si="99"/>
        <v>20.040822210264235</v>
      </c>
      <c r="W51" s="133">
        <f t="shared" si="99"/>
        <v>21.074873977658267</v>
      </c>
      <c r="X51" s="133">
        <f t="shared" si="99"/>
        <v>26.534055351913224</v>
      </c>
      <c r="Y51" s="133">
        <f t="shared" si="99"/>
        <v>48.935114912631981</v>
      </c>
      <c r="Z51" s="133">
        <f t="shared" si="99"/>
        <v>45.475581551563515</v>
      </c>
      <c r="AA51" s="133">
        <f t="shared" si="99"/>
        <v>80.631823416384009</v>
      </c>
      <c r="AB51" s="133">
        <f t="shared" si="99"/>
        <v>64.249076176848405</v>
      </c>
      <c r="AC51" s="133">
        <f t="shared" si="99"/>
        <v>84.348632436895031</v>
      </c>
      <c r="AD51" s="133">
        <f t="shared" si="99"/>
        <v>85.394331289969941</v>
      </c>
      <c r="AE51" s="133">
        <f t="shared" si="99"/>
        <v>48.063724501400777</v>
      </c>
      <c r="AF51" s="133">
        <f t="shared" si="99"/>
        <v>84.46817310697125</v>
      </c>
      <c r="AG51" s="133">
        <f t="shared" si="99"/>
        <v>45.378185440358152</v>
      </c>
      <c r="AH51" s="133">
        <f t="shared" si="99"/>
        <v>12.115581268282144</v>
      </c>
      <c r="AI51" s="133">
        <f t="shared" si="99"/>
        <v>73.996307288990778</v>
      </c>
      <c r="AJ51" s="133">
        <f t="shared" si="99"/>
        <v>33.041165431308173</v>
      </c>
      <c r="AK51" s="133">
        <f t="shared" si="99"/>
        <v>77.124468741695225</v>
      </c>
      <c r="AL51" s="133">
        <f t="shared" si="99"/>
        <v>49.840396250234321</v>
      </c>
      <c r="AM51" s="133">
        <f t="shared" si="99"/>
        <v>78.354006947454522</v>
      </c>
      <c r="AN51" s="133">
        <f t="shared" si="99"/>
        <v>29.776902912312337</v>
      </c>
      <c r="AO51" s="133">
        <f t="shared" si="99"/>
        <v>11.99932109941304</v>
      </c>
      <c r="AP51" s="133">
        <f t="shared" si="99"/>
        <v>57.162607039294613</v>
      </c>
      <c r="AQ51" s="133">
        <f t="shared" si="99"/>
        <v>15.525076315686166</v>
      </c>
      <c r="AR51" s="133">
        <f t="shared" si="99"/>
        <v>68.498232175988704</v>
      </c>
      <c r="AS51" s="133">
        <f t="shared" si="99"/>
        <v>7.9981122585814779</v>
      </c>
      <c r="AT51" s="133">
        <f t="shared" si="99"/>
        <v>17.117312567405587</v>
      </c>
      <c r="AU51" s="133">
        <f t="shared" si="99"/>
        <v>72.197219224998349</v>
      </c>
      <c r="AV51" s="133">
        <f t="shared" si="99"/>
        <v>32.940709172993103</v>
      </c>
      <c r="AW51" s="133">
        <f t="shared" si="99"/>
        <v>37.631710670361549</v>
      </c>
      <c r="AX51" s="133">
        <f t="shared" si="99"/>
        <v>5.2380615637703123</v>
      </c>
      <c r="AY51" s="133">
        <f t="shared" si="99"/>
        <v>21.158998106716666</v>
      </c>
      <c r="AZ51" s="133">
        <f t="shared" si="99"/>
        <v>30.86964863358595</v>
      </c>
      <c r="BA51" s="133">
        <f t="shared" si="99"/>
        <v>36.952754759391517</v>
      </c>
      <c r="BB51" s="133">
        <f t="shared" si="99"/>
        <v>43.961927814579191</v>
      </c>
      <c r="BC51" s="133">
        <f t="shared" si="99"/>
        <v>12.124430795493605</v>
      </c>
      <c r="BD51" s="133">
        <f t="shared" si="99"/>
        <v>18.048432777247573</v>
      </c>
      <c r="BE51" s="133">
        <f t="shared" si="99"/>
        <v>22.027446952966564</v>
      </c>
      <c r="BF51" s="133">
        <f t="shared" si="99"/>
        <v>8.6630669213503708</v>
      </c>
      <c r="BG51" s="133">
        <f t="shared" si="99"/>
        <v>11.076028274136789</v>
      </c>
      <c r="BH51" s="133">
        <f t="shared" si="99"/>
        <v>64.146770610908675</v>
      </c>
      <c r="BI51" s="133">
        <f t="shared" si="99"/>
        <v>56.1263418920948</v>
      </c>
      <c r="BJ51" s="133">
        <f t="shared" si="99"/>
        <v>29.929270184144553</v>
      </c>
      <c r="BK51" s="133">
        <f t="shared" si="99"/>
        <v>15.948708761011009</v>
      </c>
      <c r="BL51" s="133">
        <f t="shared" si="99"/>
        <v>13.358767328678384</v>
      </c>
      <c r="BM51" s="133">
        <f t="shared" si="99"/>
        <v>63.863213894361749</v>
      </c>
      <c r="BN51" s="133">
        <f t="shared" si="99"/>
        <v>71.351724348188327</v>
      </c>
      <c r="BO51" s="133">
        <f t="shared" si="99"/>
        <v>45.606115775170267</v>
      </c>
      <c r="BP51" s="133">
        <f t="shared" si="99"/>
        <v>34.008620929381237</v>
      </c>
      <c r="BQ51" s="133">
        <f t="shared" si="99"/>
        <v>7.6574823163383599</v>
      </c>
      <c r="BR51" s="133">
        <f t="shared" si="99"/>
        <v>17.374842152399708</v>
      </c>
      <c r="BS51" s="133">
        <f t="shared" ref="BS51:DA53" si="100">BS5</f>
        <v>8.5168313395544466</v>
      </c>
      <c r="BT51" s="133">
        <f t="shared" si="100"/>
        <v>9.1391283560853065</v>
      </c>
      <c r="BU51" s="133">
        <f t="shared" si="100"/>
        <v>10.785243865847129</v>
      </c>
      <c r="BV51" s="133">
        <f t="shared" si="100"/>
        <v>26.784621773657442</v>
      </c>
      <c r="BW51" s="133">
        <f t="shared" si="100"/>
        <v>19.112977043461974</v>
      </c>
      <c r="BX51" s="133">
        <f t="shared" si="100"/>
        <v>36.754188853114279</v>
      </c>
      <c r="BY51" s="133">
        <f t="shared" si="100"/>
        <v>6.5037096861832833</v>
      </c>
      <c r="BZ51" s="133">
        <f t="shared" si="100"/>
        <v>48.166834497034763</v>
      </c>
      <c r="CA51" s="133">
        <f t="shared" si="100"/>
        <v>19.077517789584189</v>
      </c>
      <c r="CB51" s="133">
        <f t="shared" si="100"/>
        <v>5.071371190664645</v>
      </c>
      <c r="CC51" s="133">
        <f t="shared" si="100"/>
        <v>6.0415393308292984</v>
      </c>
      <c r="CD51" s="133">
        <f t="shared" si="100"/>
        <v>13.672136044580446</v>
      </c>
      <c r="CE51" s="133">
        <f t="shared" si="100"/>
        <v>12.41970923449197</v>
      </c>
      <c r="CF51" s="133">
        <f t="shared" si="100"/>
        <v>11.668965197366996</v>
      </c>
      <c r="CG51" s="133">
        <f t="shared" si="100"/>
        <v>43.994679375029818</v>
      </c>
      <c r="CH51" s="133">
        <f t="shared" si="100"/>
        <v>34.056464663991356</v>
      </c>
      <c r="CI51" s="133">
        <f t="shared" si="100"/>
        <v>14.31165512470101</v>
      </c>
      <c r="CJ51" s="133">
        <f t="shared" si="100"/>
        <v>71.511512936779553</v>
      </c>
      <c r="CK51" s="133">
        <f t="shared" si="100"/>
        <v>44.699835446000733</v>
      </c>
      <c r="CL51" s="133">
        <f t="shared" si="100"/>
        <v>5.288626111923854</v>
      </c>
      <c r="CM51" s="133">
        <f t="shared" si="100"/>
        <v>12.162001359390207</v>
      </c>
      <c r="CN51" s="133">
        <f t="shared" si="100"/>
        <v>36.579923011222462</v>
      </c>
      <c r="CO51" s="133">
        <f t="shared" si="100"/>
        <v>12.439120355875055</v>
      </c>
      <c r="CP51" s="133">
        <f t="shared" si="100"/>
        <v>34.498285597597935</v>
      </c>
      <c r="CQ51" s="133">
        <f t="shared" si="100"/>
        <v>12.012460568982439</v>
      </c>
      <c r="CR51" s="133">
        <f t="shared" si="100"/>
        <v>16.444455006016561</v>
      </c>
      <c r="CS51" s="133">
        <f t="shared" si="100"/>
        <v>58.057911138086659</v>
      </c>
      <c r="CT51" s="133">
        <f t="shared" si="100"/>
        <v>26.928231894458595</v>
      </c>
      <c r="CU51" s="133">
        <f t="shared" si="100"/>
        <v>39.838331180128968</v>
      </c>
      <c r="CV51" s="133">
        <f t="shared" si="100"/>
        <v>14.00083623863112</v>
      </c>
      <c r="CW51" s="133">
        <f t="shared" si="100"/>
        <v>46.242926272640574</v>
      </c>
      <c r="CX51" s="133">
        <f t="shared" si="100"/>
        <v>60.2429647727255</v>
      </c>
      <c r="CY51" s="133">
        <f t="shared" si="100"/>
        <v>24.823873111889633</v>
      </c>
      <c r="CZ51" s="133">
        <f t="shared" si="100"/>
        <v>43.593635563610704</v>
      </c>
      <c r="DA51" s="133">
        <f t="shared" si="100"/>
        <v>29.116728970715645</v>
      </c>
      <c r="DC51">
        <v>47</v>
      </c>
      <c r="DD51" s="84">
        <v>70.272039844022757</v>
      </c>
      <c r="DE51" s="84">
        <v>-9.4370146115245177</v>
      </c>
      <c r="DF51" s="84">
        <v>11.387055579182617</v>
      </c>
      <c r="DG51" s="84">
        <v>69.645917677459821</v>
      </c>
      <c r="DH51" s="84">
        <v>-9.1522163765280098</v>
      </c>
      <c r="DI51" s="84">
        <v>11.890370611163316</v>
      </c>
      <c r="DJ51" s="84">
        <v>0.85232917557497956</v>
      </c>
      <c r="DK51" s="84">
        <f t="shared" si="0"/>
        <v>0.72646502353632436</v>
      </c>
      <c r="DL51" s="84">
        <f t="shared" si="1"/>
        <v>2.2628231798139762</v>
      </c>
      <c r="DM51" s="84">
        <f t="shared" si="2"/>
        <v>129.6502179877134</v>
      </c>
      <c r="DN51" s="85">
        <v>3</v>
      </c>
      <c r="DO51">
        <v>3</v>
      </c>
      <c r="DP51">
        <f t="shared" si="88"/>
        <v>112.5</v>
      </c>
      <c r="DQ51" s="270">
        <v>-7.6536686473017941</v>
      </c>
      <c r="DR51" s="270">
        <v>18.477590650225736</v>
      </c>
    </row>
    <row r="52" spans="1:122">
      <c r="A52">
        <v>595</v>
      </c>
      <c r="B52" s="90">
        <f>'Color metric'!B46</f>
        <v>0.99767166544191965</v>
      </c>
      <c r="C52" s="82">
        <f>Reference!N52</f>
        <v>5.5067964093205042</v>
      </c>
      <c r="D52" s="82"/>
      <c r="E52" s="137" t="s">
        <v>53</v>
      </c>
      <c r="F52" s="133">
        <f t="shared" ref="F52:W53" si="101">F6</f>
        <v>100</v>
      </c>
      <c r="G52" s="133">
        <f t="shared" si="101"/>
        <v>62.580067382508659</v>
      </c>
      <c r="H52" s="133">
        <f t="shared" si="101"/>
        <v>26.621171922832588</v>
      </c>
      <c r="I52" s="133">
        <f t="shared" si="101"/>
        <v>5.9177711359505194</v>
      </c>
      <c r="J52" s="133">
        <f t="shared" si="101"/>
        <v>35.377685855408991</v>
      </c>
      <c r="K52" s="133">
        <f t="shared" si="101"/>
        <v>16.069158427921824</v>
      </c>
      <c r="L52" s="133">
        <f t="shared" si="101"/>
        <v>16.767876705630066</v>
      </c>
      <c r="M52" s="133">
        <f t="shared" si="101"/>
        <v>11.239284141808891</v>
      </c>
      <c r="N52" s="133">
        <f t="shared" si="101"/>
        <v>10.784031134561683</v>
      </c>
      <c r="O52" s="133">
        <f t="shared" si="101"/>
        <v>4.997510090183293</v>
      </c>
      <c r="P52" s="133">
        <f t="shared" si="101"/>
        <v>43.138352590478917</v>
      </c>
      <c r="Q52" s="133">
        <f t="shared" si="101"/>
        <v>22.465626129540443</v>
      </c>
      <c r="R52" s="133">
        <f t="shared" si="101"/>
        <v>28.750104531664014</v>
      </c>
      <c r="S52" s="133">
        <f t="shared" si="101"/>
        <v>11.754898880989915</v>
      </c>
      <c r="T52" s="133">
        <f t="shared" si="101"/>
        <v>42.346851366070645</v>
      </c>
      <c r="U52" s="133">
        <f t="shared" si="101"/>
        <v>38.538969697830154</v>
      </c>
      <c r="V52" s="133">
        <f t="shared" si="101"/>
        <v>14.658864074778169</v>
      </c>
      <c r="W52" s="133">
        <f t="shared" si="101"/>
        <v>15.957277729162668</v>
      </c>
      <c r="X52" s="133">
        <f t="shared" si="99"/>
        <v>21.491478315662647</v>
      </c>
      <c r="Y52" s="133">
        <f t="shared" si="99"/>
        <v>38.325116924148723</v>
      </c>
      <c r="Z52" s="133">
        <f t="shared" si="99"/>
        <v>32.564713511975903</v>
      </c>
      <c r="AA52" s="133">
        <f t="shared" si="99"/>
        <v>63.575156102550778</v>
      </c>
      <c r="AB52" s="133">
        <f t="shared" si="99"/>
        <v>49.258670007606369</v>
      </c>
      <c r="AC52" s="133">
        <f t="shared" si="99"/>
        <v>76.4725949897215</v>
      </c>
      <c r="AD52" s="133">
        <f t="shared" si="99"/>
        <v>73.830717195584754</v>
      </c>
      <c r="AE52" s="133">
        <f t="shared" si="99"/>
        <v>38.711210696606166</v>
      </c>
      <c r="AF52" s="133">
        <f t="shared" si="99"/>
        <v>71.954102901956105</v>
      </c>
      <c r="AG52" s="133">
        <f t="shared" si="99"/>
        <v>41.66870484137074</v>
      </c>
      <c r="AH52" s="133">
        <f t="shared" si="99"/>
        <v>11.101962494576007</v>
      </c>
      <c r="AI52" s="133">
        <f t="shared" si="99"/>
        <v>66.043267109837487</v>
      </c>
      <c r="AJ52" s="133">
        <f t="shared" si="99"/>
        <v>30.051705266011552</v>
      </c>
      <c r="AK52" s="133">
        <f t="shared" si="99"/>
        <v>69.996415259935858</v>
      </c>
      <c r="AL52" s="133">
        <f t="shared" si="99"/>
        <v>44.950350803339887</v>
      </c>
      <c r="AM52" s="133">
        <f t="shared" si="99"/>
        <v>72.707808592791253</v>
      </c>
      <c r="AN52" s="133">
        <f t="shared" si="99"/>
        <v>27.713712520390999</v>
      </c>
      <c r="AO52" s="133">
        <f t="shared" si="99"/>
        <v>11.447131690108142</v>
      </c>
      <c r="AP52" s="133">
        <f t="shared" si="99"/>
        <v>53.669609424192515</v>
      </c>
      <c r="AQ52" s="133">
        <f t="shared" si="99"/>
        <v>15.155063787205441</v>
      </c>
      <c r="AR52" s="133">
        <f t="shared" si="99"/>
        <v>65.385680596299721</v>
      </c>
      <c r="AS52" s="133">
        <f t="shared" si="99"/>
        <v>7.699813466823664</v>
      </c>
      <c r="AT52" s="133">
        <f t="shared" si="99"/>
        <v>16.782469840796466</v>
      </c>
      <c r="AU52" s="133">
        <f t="shared" si="99"/>
        <v>69.295513386411045</v>
      </c>
      <c r="AV52" s="133">
        <f t="shared" si="99"/>
        <v>36.349649512158322</v>
      </c>
      <c r="AW52" s="133">
        <f t="shared" si="99"/>
        <v>41.761261968293084</v>
      </c>
      <c r="AX52" s="133">
        <f t="shared" si="99"/>
        <v>4.9624858796544791</v>
      </c>
      <c r="AY52" s="133">
        <f t="shared" si="99"/>
        <v>24.462072062392682</v>
      </c>
      <c r="AZ52" s="133">
        <f t="shared" si="99"/>
        <v>33.346280845357029</v>
      </c>
      <c r="BA52" s="133">
        <f t="shared" si="99"/>
        <v>37.658929299092279</v>
      </c>
      <c r="BB52" s="133">
        <f t="shared" si="99"/>
        <v>49.596715245533048</v>
      </c>
      <c r="BC52" s="133">
        <f t="shared" si="99"/>
        <v>14.308004455830137</v>
      </c>
      <c r="BD52" s="133">
        <f t="shared" si="99"/>
        <v>20.77942846607349</v>
      </c>
      <c r="BE52" s="133">
        <f t="shared" si="99"/>
        <v>24.323252402779691</v>
      </c>
      <c r="BF52" s="133">
        <f t="shared" si="99"/>
        <v>11.162821272593041</v>
      </c>
      <c r="BG52" s="133">
        <f t="shared" si="99"/>
        <v>17.114502368094861</v>
      </c>
      <c r="BH52" s="133">
        <f t="shared" si="99"/>
        <v>67.071993876888357</v>
      </c>
      <c r="BI52" s="133">
        <f t="shared" si="99"/>
        <v>60.020530129480271</v>
      </c>
      <c r="BJ52" s="133">
        <f t="shared" si="99"/>
        <v>39.76232782696502</v>
      </c>
      <c r="BK52" s="133">
        <f t="shared" si="99"/>
        <v>23.911831953059501</v>
      </c>
      <c r="BL52" s="133">
        <f t="shared" si="99"/>
        <v>20.426053371899055</v>
      </c>
      <c r="BM52" s="133">
        <f t="shared" si="99"/>
        <v>66.611078417097175</v>
      </c>
      <c r="BN52" s="133">
        <f t="shared" si="99"/>
        <v>69.321429858029191</v>
      </c>
      <c r="BO52" s="133">
        <f t="shared" si="99"/>
        <v>47.495216638238297</v>
      </c>
      <c r="BP52" s="133">
        <f t="shared" si="99"/>
        <v>33.246200276758678</v>
      </c>
      <c r="BQ52" s="133">
        <f t="shared" si="99"/>
        <v>7.3330157758110621</v>
      </c>
      <c r="BR52" s="133">
        <f t="shared" si="99"/>
        <v>24.40616937973002</v>
      </c>
      <c r="BS52" s="133">
        <f t="shared" si="100"/>
        <v>10.184734414632807</v>
      </c>
      <c r="BT52" s="133">
        <f t="shared" si="100"/>
        <v>13.009941700720951</v>
      </c>
      <c r="BU52" s="133">
        <f t="shared" si="100"/>
        <v>15.180003948609647</v>
      </c>
      <c r="BV52" s="133">
        <f t="shared" si="100"/>
        <v>29.602103634552876</v>
      </c>
      <c r="BW52" s="133">
        <f t="shared" si="100"/>
        <v>19.110437895127561</v>
      </c>
      <c r="BX52" s="133">
        <f t="shared" si="100"/>
        <v>40.439809471250918</v>
      </c>
      <c r="BY52" s="133">
        <f t="shared" si="100"/>
        <v>7.5699428198362604</v>
      </c>
      <c r="BZ52" s="133">
        <f t="shared" si="100"/>
        <v>46.858082861949256</v>
      </c>
      <c r="CA52" s="133">
        <f t="shared" si="100"/>
        <v>22.90959223009845</v>
      </c>
      <c r="CB52" s="133">
        <f t="shared" si="100"/>
        <v>4.8206639602198349</v>
      </c>
      <c r="CC52" s="133">
        <f t="shared" si="100"/>
        <v>6.6455102944701281</v>
      </c>
      <c r="CD52" s="133">
        <f t="shared" si="100"/>
        <v>14.759196959645008</v>
      </c>
      <c r="CE52" s="133">
        <f t="shared" si="100"/>
        <v>12.643324121507439</v>
      </c>
      <c r="CF52" s="133">
        <f t="shared" si="100"/>
        <v>12.199640913496751</v>
      </c>
      <c r="CG52" s="133">
        <f t="shared" si="100"/>
        <v>42.138619069874082</v>
      </c>
      <c r="CH52" s="133">
        <f t="shared" si="100"/>
        <v>31.329005213301951</v>
      </c>
      <c r="CI52" s="133">
        <f t="shared" si="100"/>
        <v>12.159607181756973</v>
      </c>
      <c r="CJ52" s="133">
        <f t="shared" si="100"/>
        <v>66.728822304021861</v>
      </c>
      <c r="CK52" s="133">
        <f t="shared" si="100"/>
        <v>40.819308625505549</v>
      </c>
      <c r="CL52" s="133">
        <f t="shared" si="100"/>
        <v>4.7457613889707293</v>
      </c>
      <c r="CM52" s="133">
        <f t="shared" si="100"/>
        <v>10.67315067505872</v>
      </c>
      <c r="CN52" s="133">
        <f t="shared" si="100"/>
        <v>31.057382746945333</v>
      </c>
      <c r="CO52" s="133">
        <f t="shared" si="100"/>
        <v>9.5301687293854336</v>
      </c>
      <c r="CP52" s="133">
        <f t="shared" si="100"/>
        <v>27.081800527702939</v>
      </c>
      <c r="CQ52" s="133">
        <f t="shared" si="100"/>
        <v>8.8513637759770543</v>
      </c>
      <c r="CR52" s="133">
        <f t="shared" si="100"/>
        <v>11.837067822066151</v>
      </c>
      <c r="CS52" s="133">
        <f t="shared" si="100"/>
        <v>53.493561730933031</v>
      </c>
      <c r="CT52" s="133">
        <f t="shared" si="100"/>
        <v>21.643351362666294</v>
      </c>
      <c r="CU52" s="133">
        <f t="shared" si="100"/>
        <v>33.43802695973973</v>
      </c>
      <c r="CV52" s="133">
        <f t="shared" si="100"/>
        <v>9.6089359917265682</v>
      </c>
      <c r="CW52" s="133">
        <f t="shared" si="100"/>
        <v>37.133507385146331</v>
      </c>
      <c r="CX52" s="133">
        <f t="shared" si="100"/>
        <v>49.306772154496109</v>
      </c>
      <c r="CY52" s="133">
        <f t="shared" si="100"/>
        <v>17.743065790958934</v>
      </c>
      <c r="CZ52" s="133">
        <f t="shared" si="100"/>
        <v>29.417201582324473</v>
      </c>
      <c r="DA52" s="133">
        <f t="shared" si="100"/>
        <v>18.191178323482891</v>
      </c>
      <c r="DC52">
        <v>48</v>
      </c>
      <c r="DD52" s="84">
        <v>77.581062703947211</v>
      </c>
      <c r="DE52" s="84">
        <v>-19.363635029691679</v>
      </c>
      <c r="DF52" s="84">
        <v>14.542216386130406</v>
      </c>
      <c r="DG52" s="84">
        <v>78.0069924781683</v>
      </c>
      <c r="DH52" s="84">
        <v>-17.290300850507471</v>
      </c>
      <c r="DI52" s="84">
        <v>15.092375010742897</v>
      </c>
      <c r="DJ52" s="84">
        <v>2.1869625747545358</v>
      </c>
      <c r="DK52" s="84">
        <f t="shared" si="0"/>
        <v>4.7828053033769891</v>
      </c>
      <c r="DL52" s="84">
        <f t="shared" si="1"/>
        <v>2.4974476756279063</v>
      </c>
      <c r="DM52" s="84">
        <f t="shared" si="2"/>
        <v>143.09321136823644</v>
      </c>
      <c r="DN52" s="85">
        <v>4</v>
      </c>
      <c r="DO52">
        <v>4</v>
      </c>
      <c r="DP52">
        <f t="shared" si="88"/>
        <v>157.5</v>
      </c>
      <c r="DQ52" s="270">
        <v>-18.477590650225736</v>
      </c>
      <c r="DR52" s="270">
        <v>7.6536686473017976</v>
      </c>
    </row>
    <row r="53" spans="1:122">
      <c r="A53">
        <v>600</v>
      </c>
      <c r="B53" s="90">
        <f>'Color metric'!B47</f>
        <v>0.99971044499709616</v>
      </c>
      <c r="C53" s="82">
        <f>Reference!N53</f>
        <v>5.6151854792280087</v>
      </c>
      <c r="D53" s="82"/>
      <c r="E53" s="137" t="s">
        <v>55</v>
      </c>
      <c r="F53" s="133">
        <f t="shared" si="101"/>
        <v>46.491694052237051</v>
      </c>
      <c r="G53" s="133">
        <f t="shared" si="101"/>
        <v>28.145835086612422</v>
      </c>
      <c r="H53" s="133">
        <f t="shared" si="101"/>
        <v>10.229657065750521</v>
      </c>
      <c r="I53" s="133">
        <f t="shared" si="101"/>
        <v>2.4231327098204032</v>
      </c>
      <c r="J53" s="133">
        <f t="shared" si="101"/>
        <v>13.205565269623712</v>
      </c>
      <c r="K53" s="133">
        <f t="shared" si="101"/>
        <v>4.2668346887792294</v>
      </c>
      <c r="L53" s="133">
        <f t="shared" si="101"/>
        <v>5.7848755699506125</v>
      </c>
      <c r="M53" s="133">
        <f t="shared" si="101"/>
        <v>2.5540803332926139</v>
      </c>
      <c r="N53" s="133">
        <f t="shared" si="101"/>
        <v>2.6542193160433145</v>
      </c>
      <c r="O53" s="133">
        <f t="shared" si="101"/>
        <v>2.2592492301525158</v>
      </c>
      <c r="P53" s="133">
        <f t="shared" si="101"/>
        <v>8.4595441114639875</v>
      </c>
      <c r="Q53" s="133">
        <f t="shared" si="101"/>
        <v>3.2823519874764773</v>
      </c>
      <c r="R53" s="133">
        <f t="shared" si="101"/>
        <v>3.9519312295834061</v>
      </c>
      <c r="S53" s="133">
        <f t="shared" si="101"/>
        <v>2.2830860198077363</v>
      </c>
      <c r="T53" s="133">
        <f t="shared" si="101"/>
        <v>16.634141067049917</v>
      </c>
      <c r="U53" s="133">
        <f t="shared" si="101"/>
        <v>12.321503409271262</v>
      </c>
      <c r="V53" s="133">
        <f t="shared" si="101"/>
        <v>2.6399214545691589</v>
      </c>
      <c r="W53" s="133">
        <f t="shared" si="101"/>
        <v>2.8605878535538993</v>
      </c>
      <c r="X53" s="133">
        <f t="shared" si="99"/>
        <v>5.4731232413279054</v>
      </c>
      <c r="Y53" s="133">
        <f t="shared" si="99"/>
        <v>5.894880070755117</v>
      </c>
      <c r="Z53" s="133">
        <f t="shared" si="99"/>
        <v>2.8149342494334273</v>
      </c>
      <c r="AA53" s="133">
        <f t="shared" si="99"/>
        <v>8.4155205214569975</v>
      </c>
      <c r="AB53" s="133">
        <f t="shared" si="99"/>
        <v>5.3053490641618426</v>
      </c>
      <c r="AC53" s="133">
        <f t="shared" si="99"/>
        <v>25.400714999616238</v>
      </c>
      <c r="AD53" s="133">
        <f t="shared" si="99"/>
        <v>14.038247283905278</v>
      </c>
      <c r="AE53" s="133">
        <f t="shared" si="99"/>
        <v>2.6655523947732678</v>
      </c>
      <c r="AF53" s="133">
        <f t="shared" si="99"/>
        <v>10.199573889388247</v>
      </c>
      <c r="AG53" s="133">
        <f t="shared" si="99"/>
        <v>11.556536659566323</v>
      </c>
      <c r="AH53" s="133">
        <f t="shared" si="99"/>
        <v>2.2761174935353483</v>
      </c>
      <c r="AI53" s="133">
        <f t="shared" si="99"/>
        <v>9.3019075961792961</v>
      </c>
      <c r="AJ53" s="133">
        <f t="shared" si="99"/>
        <v>7.0955538231089781</v>
      </c>
      <c r="AK53" s="133">
        <f t="shared" si="99"/>
        <v>10.222930810146359</v>
      </c>
      <c r="AL53" s="133">
        <f t="shared" si="99"/>
        <v>4.3135015996272292</v>
      </c>
      <c r="AM53" s="133">
        <f t="shared" si="99"/>
        <v>18.29430862982753</v>
      </c>
      <c r="AN53" s="133">
        <f t="shared" si="99"/>
        <v>2.8066759212392061</v>
      </c>
      <c r="AO53" s="133">
        <f t="shared" si="99"/>
        <v>2.4694557984579832</v>
      </c>
      <c r="AP53" s="133">
        <f t="shared" si="99"/>
        <v>20.796316269663105</v>
      </c>
      <c r="AQ53" s="133">
        <f t="shared" si="99"/>
        <v>2.7621354829768365</v>
      </c>
      <c r="AR53" s="133">
        <f t="shared" si="99"/>
        <v>18.692594740377405</v>
      </c>
      <c r="AS53" s="133">
        <f t="shared" si="99"/>
        <v>2.6380993056101838</v>
      </c>
      <c r="AT53" s="133">
        <f t="shared" si="99"/>
        <v>4.5457419835149206</v>
      </c>
      <c r="AU53" s="133">
        <f t="shared" si="99"/>
        <v>26.554223651302816</v>
      </c>
      <c r="AV53" s="133">
        <f t="shared" si="99"/>
        <v>4.3906772112564525</v>
      </c>
      <c r="AW53" s="133">
        <f t="shared" si="99"/>
        <v>5.1116876693820217</v>
      </c>
      <c r="AX53" s="133">
        <f t="shared" si="99"/>
        <v>2.196904935645176</v>
      </c>
      <c r="AY53" s="133">
        <f t="shared" si="99"/>
        <v>4.6179049051457515</v>
      </c>
      <c r="AZ53" s="133">
        <f t="shared" si="99"/>
        <v>8.779319213474869</v>
      </c>
      <c r="BA53" s="133">
        <f t="shared" si="99"/>
        <v>12.440612467215942</v>
      </c>
      <c r="BB53" s="133">
        <f t="shared" si="99"/>
        <v>14.560527458822408</v>
      </c>
      <c r="BC53" s="133">
        <f t="shared" si="99"/>
        <v>3.6268881795909911</v>
      </c>
      <c r="BD53" s="133">
        <f t="shared" si="99"/>
        <v>7.4312572398559045</v>
      </c>
      <c r="BE53" s="133">
        <f t="shared" si="99"/>
        <v>9.2886870190015429</v>
      </c>
      <c r="BF53" s="133">
        <f t="shared" si="99"/>
        <v>3.630681853753182</v>
      </c>
      <c r="BG53" s="133">
        <f t="shared" si="99"/>
        <v>6.5130634186802006</v>
      </c>
      <c r="BH53" s="133">
        <f t="shared" si="99"/>
        <v>31.253230262356137</v>
      </c>
      <c r="BI53" s="133">
        <f t="shared" si="99"/>
        <v>28.859306089969024</v>
      </c>
      <c r="BJ53" s="133">
        <f t="shared" si="99"/>
        <v>20.040544550094822</v>
      </c>
      <c r="BK53" s="133">
        <f t="shared" si="99"/>
        <v>12.349722489426959</v>
      </c>
      <c r="BL53" s="133">
        <f t="shared" si="99"/>
        <v>11.4642161016468</v>
      </c>
      <c r="BM53" s="133">
        <f t="shared" si="99"/>
        <v>32.66805690771217</v>
      </c>
      <c r="BN53" s="133">
        <f t="shared" si="99"/>
        <v>33.443413698582603</v>
      </c>
      <c r="BO53" s="133">
        <f t="shared" si="99"/>
        <v>24.499912444991899</v>
      </c>
      <c r="BP53" s="133">
        <f t="shared" si="99"/>
        <v>16.541363710752478</v>
      </c>
      <c r="BQ53" s="133">
        <f t="shared" si="99"/>
        <v>3.6130399373808664</v>
      </c>
      <c r="BR53" s="133">
        <f t="shared" si="99"/>
        <v>17.946731281876232</v>
      </c>
      <c r="BS53" s="133">
        <f t="shared" si="100"/>
        <v>6.667221929741256</v>
      </c>
      <c r="BT53" s="133">
        <f t="shared" si="100"/>
        <v>11.154716006246677</v>
      </c>
      <c r="BU53" s="133">
        <f t="shared" si="100"/>
        <v>13.435728682258983</v>
      </c>
      <c r="BV53" s="133">
        <f t="shared" si="100"/>
        <v>20.049342069900057</v>
      </c>
      <c r="BW53" s="133">
        <f t="shared" si="100"/>
        <v>11.285374883054557</v>
      </c>
      <c r="BX53" s="133">
        <f t="shared" si="100"/>
        <v>31.343270145361419</v>
      </c>
      <c r="BY53" s="133">
        <f t="shared" si="100"/>
        <v>7.6424582034310546</v>
      </c>
      <c r="BZ53" s="133">
        <f t="shared" si="100"/>
        <v>24.968787347691677</v>
      </c>
      <c r="CA53" s="133">
        <f t="shared" si="100"/>
        <v>23.898820335052488</v>
      </c>
      <c r="CB53" s="133">
        <f t="shared" si="100"/>
        <v>2.4780590525827306</v>
      </c>
      <c r="CC53" s="133">
        <f t="shared" si="100"/>
        <v>7.257805158561963</v>
      </c>
      <c r="CD53" s="133">
        <f t="shared" si="100"/>
        <v>20.260948529506763</v>
      </c>
      <c r="CE53" s="133">
        <f t="shared" si="100"/>
        <v>12.396597309389492</v>
      </c>
      <c r="CF53" s="133">
        <f t="shared" si="100"/>
        <v>17.246875573639038</v>
      </c>
      <c r="CG53" s="133">
        <f t="shared" si="100"/>
        <v>29.540232797134774</v>
      </c>
      <c r="CH53" s="133">
        <f t="shared" si="100"/>
        <v>25.197674550333289</v>
      </c>
      <c r="CI53" s="133">
        <f t="shared" si="100"/>
        <v>14.332768162900958</v>
      </c>
      <c r="CJ53" s="133">
        <f t="shared" si="100"/>
        <v>35.909778033253872</v>
      </c>
      <c r="CK53" s="133">
        <f t="shared" si="100"/>
        <v>26.40109150305404</v>
      </c>
      <c r="CL53" s="133">
        <f t="shared" si="100"/>
        <v>2.7431061477080609</v>
      </c>
      <c r="CM53" s="133">
        <f t="shared" si="100"/>
        <v>7.136562536594738</v>
      </c>
      <c r="CN53" s="133">
        <f t="shared" si="100"/>
        <v>24.703593181717142</v>
      </c>
      <c r="CO53" s="133">
        <f t="shared" si="100"/>
        <v>9.5523014315694414</v>
      </c>
      <c r="CP53" s="133">
        <f t="shared" si="100"/>
        <v>20.15077799565022</v>
      </c>
      <c r="CQ53" s="133">
        <f t="shared" si="100"/>
        <v>7.2564365234639689</v>
      </c>
      <c r="CR53" s="133">
        <f t="shared" si="100"/>
        <v>9.6691582762466339</v>
      </c>
      <c r="CS53" s="133">
        <f t="shared" si="100"/>
        <v>25.468655749849219</v>
      </c>
      <c r="CT53" s="133">
        <f t="shared" si="100"/>
        <v>12.690460039112942</v>
      </c>
      <c r="CU53" s="133">
        <f t="shared" si="100"/>
        <v>18.100571379754051</v>
      </c>
      <c r="CV53" s="133">
        <f t="shared" si="100"/>
        <v>6.0474575267333028</v>
      </c>
      <c r="CW53" s="133">
        <f t="shared" si="100"/>
        <v>19.770949557737474</v>
      </c>
      <c r="CX53" s="133">
        <f t="shared" si="100"/>
        <v>25.384671369039477</v>
      </c>
      <c r="CY53" s="133">
        <f t="shared" si="100"/>
        <v>9.3358957278566947</v>
      </c>
      <c r="CZ53" s="133">
        <f t="shared" si="100"/>
        <v>13.769853749928028</v>
      </c>
      <c r="DA53" s="133">
        <f t="shared" si="100"/>
        <v>8.4358108922157182</v>
      </c>
      <c r="DC53">
        <v>49</v>
      </c>
      <c r="DD53" s="84">
        <v>46.437341627509319</v>
      </c>
      <c r="DE53" s="84">
        <v>-17.329081248292034</v>
      </c>
      <c r="DF53" s="84">
        <v>13.486106258210597</v>
      </c>
      <c r="DG53" s="84">
        <v>46.240264334239605</v>
      </c>
      <c r="DH53" s="84">
        <v>-16.034577350297841</v>
      </c>
      <c r="DI53" s="84">
        <v>15.018213673105901</v>
      </c>
      <c r="DJ53" s="84">
        <v>2.0154237599626161</v>
      </c>
      <c r="DK53" s="84">
        <f t="shared" si="0"/>
        <v>4.0619329322218487</v>
      </c>
      <c r="DL53" s="84">
        <f t="shared" si="1"/>
        <v>2.4802643501012769</v>
      </c>
      <c r="DM53" s="84">
        <f t="shared" si="2"/>
        <v>142.1086793375612</v>
      </c>
      <c r="DN53" s="85">
        <v>4</v>
      </c>
      <c r="DO53">
        <v>4</v>
      </c>
      <c r="DP53">
        <f t="shared" si="88"/>
        <v>157.5</v>
      </c>
      <c r="DQ53" s="270">
        <v>-18.477590650225736</v>
      </c>
      <c r="DR53" s="270">
        <v>7.6536686473017976</v>
      </c>
    </row>
    <row r="54" spans="1:122">
      <c r="A54">
        <v>605</v>
      </c>
      <c r="B54" s="90">
        <f>'Color metric'!B48</f>
        <v>0.99249981705009171</v>
      </c>
      <c r="C54" s="82">
        <f>Reference!N54</f>
        <v>5.7219071248079381</v>
      </c>
      <c r="D54" s="82"/>
      <c r="E54" s="137" t="s">
        <v>125</v>
      </c>
      <c r="F54" s="133">
        <f t="shared" ref="F54:BQ56" si="102">$F5</f>
        <v>106.4864215382584</v>
      </c>
      <c r="G54" s="133">
        <f t="shared" si="102"/>
        <v>106.4864215382584</v>
      </c>
      <c r="H54" s="133">
        <f t="shared" si="102"/>
        <v>106.4864215382584</v>
      </c>
      <c r="I54" s="133">
        <f t="shared" si="102"/>
        <v>106.4864215382584</v>
      </c>
      <c r="J54" s="133">
        <f t="shared" si="102"/>
        <v>106.4864215382584</v>
      </c>
      <c r="K54" s="133">
        <f t="shared" si="102"/>
        <v>106.4864215382584</v>
      </c>
      <c r="L54" s="133">
        <f t="shared" si="102"/>
        <v>106.4864215382584</v>
      </c>
      <c r="M54" s="133">
        <f t="shared" si="102"/>
        <v>106.4864215382584</v>
      </c>
      <c r="N54" s="133">
        <f t="shared" si="102"/>
        <v>106.4864215382584</v>
      </c>
      <c r="O54" s="133">
        <f t="shared" si="102"/>
        <v>106.4864215382584</v>
      </c>
      <c r="P54" s="133">
        <f t="shared" si="102"/>
        <v>106.4864215382584</v>
      </c>
      <c r="Q54" s="133">
        <f t="shared" si="102"/>
        <v>106.4864215382584</v>
      </c>
      <c r="R54" s="133">
        <f t="shared" si="102"/>
        <v>106.4864215382584</v>
      </c>
      <c r="S54" s="133">
        <f t="shared" si="102"/>
        <v>106.4864215382584</v>
      </c>
      <c r="T54" s="133">
        <f t="shared" si="102"/>
        <v>106.4864215382584</v>
      </c>
      <c r="U54" s="133">
        <f t="shared" si="102"/>
        <v>106.4864215382584</v>
      </c>
      <c r="V54" s="133">
        <f t="shared" si="102"/>
        <v>106.4864215382584</v>
      </c>
      <c r="W54" s="133">
        <f t="shared" si="102"/>
        <v>106.4864215382584</v>
      </c>
      <c r="X54" s="133">
        <f t="shared" si="102"/>
        <v>106.4864215382584</v>
      </c>
      <c r="Y54" s="133">
        <f t="shared" si="102"/>
        <v>106.4864215382584</v>
      </c>
      <c r="Z54" s="133">
        <f t="shared" si="102"/>
        <v>106.4864215382584</v>
      </c>
      <c r="AA54" s="133">
        <f t="shared" si="102"/>
        <v>106.4864215382584</v>
      </c>
      <c r="AB54" s="133">
        <f t="shared" si="102"/>
        <v>106.4864215382584</v>
      </c>
      <c r="AC54" s="133">
        <f t="shared" si="102"/>
        <v>106.4864215382584</v>
      </c>
      <c r="AD54" s="133">
        <f t="shared" si="102"/>
        <v>106.4864215382584</v>
      </c>
      <c r="AE54" s="133">
        <f t="shared" si="102"/>
        <v>106.4864215382584</v>
      </c>
      <c r="AF54" s="133">
        <f t="shared" si="102"/>
        <v>106.4864215382584</v>
      </c>
      <c r="AG54" s="133">
        <f t="shared" si="102"/>
        <v>106.4864215382584</v>
      </c>
      <c r="AH54" s="133">
        <f t="shared" si="102"/>
        <v>106.4864215382584</v>
      </c>
      <c r="AI54" s="133">
        <f t="shared" si="102"/>
        <v>106.4864215382584</v>
      </c>
      <c r="AJ54" s="133">
        <f t="shared" si="102"/>
        <v>106.4864215382584</v>
      </c>
      <c r="AK54" s="133">
        <f t="shared" si="102"/>
        <v>106.4864215382584</v>
      </c>
      <c r="AL54" s="133">
        <f t="shared" si="102"/>
        <v>106.4864215382584</v>
      </c>
      <c r="AM54" s="133">
        <f t="shared" si="102"/>
        <v>106.4864215382584</v>
      </c>
      <c r="AN54" s="133">
        <f t="shared" si="102"/>
        <v>106.4864215382584</v>
      </c>
      <c r="AO54" s="133">
        <f t="shared" si="102"/>
        <v>106.4864215382584</v>
      </c>
      <c r="AP54" s="133">
        <f t="shared" si="102"/>
        <v>106.4864215382584</v>
      </c>
      <c r="AQ54" s="133">
        <f t="shared" si="102"/>
        <v>106.4864215382584</v>
      </c>
      <c r="AR54" s="133">
        <f t="shared" si="102"/>
        <v>106.4864215382584</v>
      </c>
      <c r="AS54" s="133">
        <f t="shared" si="102"/>
        <v>106.4864215382584</v>
      </c>
      <c r="AT54" s="133">
        <f t="shared" si="102"/>
        <v>106.4864215382584</v>
      </c>
      <c r="AU54" s="133">
        <f t="shared" si="102"/>
        <v>106.4864215382584</v>
      </c>
      <c r="AV54" s="133">
        <f t="shared" si="102"/>
        <v>106.4864215382584</v>
      </c>
      <c r="AW54" s="133">
        <f t="shared" si="102"/>
        <v>106.4864215382584</v>
      </c>
      <c r="AX54" s="133">
        <f t="shared" si="102"/>
        <v>106.4864215382584</v>
      </c>
      <c r="AY54" s="133">
        <f t="shared" si="102"/>
        <v>106.4864215382584</v>
      </c>
      <c r="AZ54" s="133">
        <f t="shared" si="102"/>
        <v>106.4864215382584</v>
      </c>
      <c r="BA54" s="133">
        <f t="shared" si="102"/>
        <v>106.4864215382584</v>
      </c>
      <c r="BB54" s="133">
        <f t="shared" si="102"/>
        <v>106.4864215382584</v>
      </c>
      <c r="BC54" s="133">
        <f t="shared" si="102"/>
        <v>106.4864215382584</v>
      </c>
      <c r="BD54" s="133">
        <f t="shared" si="102"/>
        <v>106.4864215382584</v>
      </c>
      <c r="BE54" s="133">
        <f t="shared" si="102"/>
        <v>106.4864215382584</v>
      </c>
      <c r="BF54" s="133">
        <f t="shared" si="102"/>
        <v>106.4864215382584</v>
      </c>
      <c r="BG54" s="133">
        <f t="shared" si="102"/>
        <v>106.4864215382584</v>
      </c>
      <c r="BH54" s="133">
        <f t="shared" si="102"/>
        <v>106.4864215382584</v>
      </c>
      <c r="BI54" s="133">
        <f t="shared" si="102"/>
        <v>106.4864215382584</v>
      </c>
      <c r="BJ54" s="133">
        <f t="shared" si="102"/>
        <v>106.4864215382584</v>
      </c>
      <c r="BK54" s="133">
        <f t="shared" si="102"/>
        <v>106.4864215382584</v>
      </c>
      <c r="BL54" s="133">
        <f t="shared" si="102"/>
        <v>106.4864215382584</v>
      </c>
      <c r="BM54" s="133">
        <f t="shared" si="102"/>
        <v>106.4864215382584</v>
      </c>
      <c r="BN54" s="133">
        <f t="shared" si="102"/>
        <v>106.4864215382584</v>
      </c>
      <c r="BO54" s="133">
        <f t="shared" si="102"/>
        <v>106.4864215382584</v>
      </c>
      <c r="BP54" s="133">
        <f t="shared" si="102"/>
        <v>106.4864215382584</v>
      </c>
      <c r="BQ54" s="133">
        <f t="shared" si="102"/>
        <v>106.4864215382584</v>
      </c>
      <c r="BR54" s="133">
        <f t="shared" ref="BR54:DA56" si="103">$F5</f>
        <v>106.4864215382584</v>
      </c>
      <c r="BS54" s="133">
        <f t="shared" si="103"/>
        <v>106.4864215382584</v>
      </c>
      <c r="BT54" s="133">
        <f t="shared" si="103"/>
        <v>106.4864215382584</v>
      </c>
      <c r="BU54" s="133">
        <f t="shared" si="103"/>
        <v>106.4864215382584</v>
      </c>
      <c r="BV54" s="133">
        <f t="shared" si="103"/>
        <v>106.4864215382584</v>
      </c>
      <c r="BW54" s="133">
        <f t="shared" si="103"/>
        <v>106.4864215382584</v>
      </c>
      <c r="BX54" s="133">
        <f t="shared" si="103"/>
        <v>106.4864215382584</v>
      </c>
      <c r="BY54" s="133">
        <f t="shared" si="103"/>
        <v>106.4864215382584</v>
      </c>
      <c r="BZ54" s="133">
        <f t="shared" si="103"/>
        <v>106.4864215382584</v>
      </c>
      <c r="CA54" s="133">
        <f t="shared" si="103"/>
        <v>106.4864215382584</v>
      </c>
      <c r="CB54" s="133">
        <f t="shared" si="103"/>
        <v>106.4864215382584</v>
      </c>
      <c r="CC54" s="133">
        <f t="shared" si="103"/>
        <v>106.4864215382584</v>
      </c>
      <c r="CD54" s="133">
        <f t="shared" si="103"/>
        <v>106.4864215382584</v>
      </c>
      <c r="CE54" s="133">
        <f t="shared" si="103"/>
        <v>106.4864215382584</v>
      </c>
      <c r="CF54" s="133">
        <f t="shared" si="103"/>
        <v>106.4864215382584</v>
      </c>
      <c r="CG54" s="133">
        <f t="shared" si="103"/>
        <v>106.4864215382584</v>
      </c>
      <c r="CH54" s="133">
        <f t="shared" si="103"/>
        <v>106.4864215382584</v>
      </c>
      <c r="CI54" s="133">
        <f t="shared" si="103"/>
        <v>106.4864215382584</v>
      </c>
      <c r="CJ54" s="133">
        <f t="shared" si="103"/>
        <v>106.4864215382584</v>
      </c>
      <c r="CK54" s="133">
        <f t="shared" si="103"/>
        <v>106.4864215382584</v>
      </c>
      <c r="CL54" s="133">
        <f t="shared" si="103"/>
        <v>106.4864215382584</v>
      </c>
      <c r="CM54" s="133">
        <f t="shared" si="103"/>
        <v>106.4864215382584</v>
      </c>
      <c r="CN54" s="133">
        <f t="shared" si="103"/>
        <v>106.4864215382584</v>
      </c>
      <c r="CO54" s="133">
        <f t="shared" si="103"/>
        <v>106.4864215382584</v>
      </c>
      <c r="CP54" s="133">
        <f t="shared" si="103"/>
        <v>106.4864215382584</v>
      </c>
      <c r="CQ54" s="133">
        <f t="shared" si="103"/>
        <v>106.4864215382584</v>
      </c>
      <c r="CR54" s="133">
        <f t="shared" si="103"/>
        <v>106.4864215382584</v>
      </c>
      <c r="CS54" s="133">
        <f t="shared" si="103"/>
        <v>106.4864215382584</v>
      </c>
      <c r="CT54" s="133">
        <f t="shared" si="103"/>
        <v>106.4864215382584</v>
      </c>
      <c r="CU54" s="133">
        <f t="shared" si="103"/>
        <v>106.4864215382584</v>
      </c>
      <c r="CV54" s="133">
        <f t="shared" si="103"/>
        <v>106.4864215382584</v>
      </c>
      <c r="CW54" s="133">
        <f t="shared" si="103"/>
        <v>106.4864215382584</v>
      </c>
      <c r="CX54" s="133">
        <f t="shared" si="103"/>
        <v>106.4864215382584</v>
      </c>
      <c r="CY54" s="133">
        <f t="shared" si="103"/>
        <v>106.4864215382584</v>
      </c>
      <c r="CZ54" s="133">
        <f t="shared" si="103"/>
        <v>106.4864215382584</v>
      </c>
      <c r="DA54" s="133">
        <f t="shared" si="103"/>
        <v>106.4864215382584</v>
      </c>
      <c r="DC54">
        <v>50</v>
      </c>
      <c r="DD54" s="84">
        <v>54.893345558707672</v>
      </c>
      <c r="DE54" s="84">
        <v>-18.085175206921971</v>
      </c>
      <c r="DF54" s="84">
        <v>7.4965768108545596</v>
      </c>
      <c r="DG54" s="84">
        <v>54.410339169644125</v>
      </c>
      <c r="DH54" s="84">
        <v>-16.703682546644099</v>
      </c>
      <c r="DI54" s="84">
        <v>7.7928859260795891</v>
      </c>
      <c r="DJ54" s="84">
        <v>1.4931899524317982</v>
      </c>
      <c r="DK54" s="84">
        <f t="shared" si="0"/>
        <v>2.2296162340432759</v>
      </c>
      <c r="DL54" s="84">
        <f t="shared" si="1"/>
        <v>2.7486362868618137</v>
      </c>
      <c r="DM54" s="84">
        <f t="shared" si="2"/>
        <v>157.48525865369177</v>
      </c>
      <c r="DN54" s="85">
        <v>4</v>
      </c>
      <c r="DO54">
        <v>6</v>
      </c>
      <c r="DP54">
        <f t="shared" si="88"/>
        <v>157.5</v>
      </c>
      <c r="DQ54" s="270">
        <v>-18.477590650225736</v>
      </c>
      <c r="DR54" s="270">
        <v>7.6536686473017976</v>
      </c>
    </row>
    <row r="55" spans="1:122">
      <c r="A55">
        <v>610</v>
      </c>
      <c r="B55" s="90">
        <f>'Color metric'!B49</f>
        <v>0.97762727685260553</v>
      </c>
      <c r="C55" s="82">
        <f>Reference!N55</f>
        <v>5.8268987342244092</v>
      </c>
      <c r="D55" s="82"/>
      <c r="E55" s="137" t="s">
        <v>126</v>
      </c>
      <c r="F55" s="133">
        <f t="shared" si="102"/>
        <v>100</v>
      </c>
      <c r="G55" s="133">
        <f t="shared" si="102"/>
        <v>100</v>
      </c>
      <c r="H55" s="133">
        <f t="shared" si="102"/>
        <v>100</v>
      </c>
      <c r="I55" s="133">
        <f t="shared" si="102"/>
        <v>100</v>
      </c>
      <c r="J55" s="133">
        <f t="shared" si="102"/>
        <v>100</v>
      </c>
      <c r="K55" s="133">
        <f t="shared" si="102"/>
        <v>100</v>
      </c>
      <c r="L55" s="133">
        <f t="shared" si="102"/>
        <v>100</v>
      </c>
      <c r="M55" s="133">
        <f t="shared" si="102"/>
        <v>100</v>
      </c>
      <c r="N55" s="133">
        <f t="shared" si="102"/>
        <v>100</v>
      </c>
      <c r="O55" s="133">
        <f t="shared" si="102"/>
        <v>100</v>
      </c>
      <c r="P55" s="133">
        <f t="shared" si="102"/>
        <v>100</v>
      </c>
      <c r="Q55" s="133">
        <f t="shared" si="102"/>
        <v>100</v>
      </c>
      <c r="R55" s="133">
        <f t="shared" si="102"/>
        <v>100</v>
      </c>
      <c r="S55" s="133">
        <f t="shared" si="102"/>
        <v>100</v>
      </c>
      <c r="T55" s="133">
        <f t="shared" si="102"/>
        <v>100</v>
      </c>
      <c r="U55" s="133">
        <f t="shared" si="102"/>
        <v>100</v>
      </c>
      <c r="V55" s="133">
        <f t="shared" si="102"/>
        <v>100</v>
      </c>
      <c r="W55" s="133">
        <f t="shared" si="102"/>
        <v>100</v>
      </c>
      <c r="X55" s="133">
        <f t="shared" si="102"/>
        <v>100</v>
      </c>
      <c r="Y55" s="133">
        <f t="shared" si="102"/>
        <v>100</v>
      </c>
      <c r="Z55" s="133">
        <f t="shared" si="102"/>
        <v>100</v>
      </c>
      <c r="AA55" s="133">
        <f t="shared" si="102"/>
        <v>100</v>
      </c>
      <c r="AB55" s="133">
        <f t="shared" si="102"/>
        <v>100</v>
      </c>
      <c r="AC55" s="133">
        <f t="shared" si="102"/>
        <v>100</v>
      </c>
      <c r="AD55" s="133">
        <f t="shared" si="102"/>
        <v>100</v>
      </c>
      <c r="AE55" s="133">
        <f t="shared" si="102"/>
        <v>100</v>
      </c>
      <c r="AF55" s="133">
        <f t="shared" si="102"/>
        <v>100</v>
      </c>
      <c r="AG55" s="133">
        <f t="shared" si="102"/>
        <v>100</v>
      </c>
      <c r="AH55" s="133">
        <f t="shared" si="102"/>
        <v>100</v>
      </c>
      <c r="AI55" s="133">
        <f t="shared" si="102"/>
        <v>100</v>
      </c>
      <c r="AJ55" s="133">
        <f t="shared" si="102"/>
        <v>100</v>
      </c>
      <c r="AK55" s="133">
        <f t="shared" si="102"/>
        <v>100</v>
      </c>
      <c r="AL55" s="133">
        <f t="shared" si="102"/>
        <v>100</v>
      </c>
      <c r="AM55" s="133">
        <f t="shared" si="102"/>
        <v>100</v>
      </c>
      <c r="AN55" s="133">
        <f t="shared" si="102"/>
        <v>100</v>
      </c>
      <c r="AO55" s="133">
        <f t="shared" si="102"/>
        <v>100</v>
      </c>
      <c r="AP55" s="133">
        <f t="shared" si="102"/>
        <v>100</v>
      </c>
      <c r="AQ55" s="133">
        <f t="shared" si="102"/>
        <v>100</v>
      </c>
      <c r="AR55" s="133">
        <f t="shared" si="102"/>
        <v>100</v>
      </c>
      <c r="AS55" s="133">
        <f t="shared" si="102"/>
        <v>100</v>
      </c>
      <c r="AT55" s="133">
        <f t="shared" si="102"/>
        <v>100</v>
      </c>
      <c r="AU55" s="133">
        <f t="shared" si="102"/>
        <v>100</v>
      </c>
      <c r="AV55" s="133">
        <f t="shared" si="102"/>
        <v>100</v>
      </c>
      <c r="AW55" s="133">
        <f t="shared" si="102"/>
        <v>100</v>
      </c>
      <c r="AX55" s="133">
        <f t="shared" si="102"/>
        <v>100</v>
      </c>
      <c r="AY55" s="133">
        <f t="shared" si="102"/>
        <v>100</v>
      </c>
      <c r="AZ55" s="133">
        <f t="shared" si="102"/>
        <v>100</v>
      </c>
      <c r="BA55" s="133">
        <f t="shared" si="102"/>
        <v>100</v>
      </c>
      <c r="BB55" s="133">
        <f t="shared" si="102"/>
        <v>100</v>
      </c>
      <c r="BC55" s="133">
        <f t="shared" si="102"/>
        <v>100</v>
      </c>
      <c r="BD55" s="133">
        <f t="shared" si="102"/>
        <v>100</v>
      </c>
      <c r="BE55" s="133">
        <f t="shared" si="102"/>
        <v>100</v>
      </c>
      <c r="BF55" s="133">
        <f t="shared" si="102"/>
        <v>100</v>
      </c>
      <c r="BG55" s="133">
        <f t="shared" si="102"/>
        <v>100</v>
      </c>
      <c r="BH55" s="133">
        <f t="shared" si="102"/>
        <v>100</v>
      </c>
      <c r="BI55" s="133">
        <f t="shared" si="102"/>
        <v>100</v>
      </c>
      <c r="BJ55" s="133">
        <f t="shared" si="102"/>
        <v>100</v>
      </c>
      <c r="BK55" s="133">
        <f t="shared" si="102"/>
        <v>100</v>
      </c>
      <c r="BL55" s="133">
        <f t="shared" si="102"/>
        <v>100</v>
      </c>
      <c r="BM55" s="133">
        <f t="shared" si="102"/>
        <v>100</v>
      </c>
      <c r="BN55" s="133">
        <f t="shared" si="102"/>
        <v>100</v>
      </c>
      <c r="BO55" s="133">
        <f t="shared" si="102"/>
        <v>100</v>
      </c>
      <c r="BP55" s="133">
        <f t="shared" si="102"/>
        <v>100</v>
      </c>
      <c r="BQ55" s="133">
        <f t="shared" si="102"/>
        <v>100</v>
      </c>
      <c r="BR55" s="133">
        <f t="shared" si="103"/>
        <v>100</v>
      </c>
      <c r="BS55" s="133">
        <f t="shared" si="103"/>
        <v>100</v>
      </c>
      <c r="BT55" s="133">
        <f t="shared" si="103"/>
        <v>100</v>
      </c>
      <c r="BU55" s="133">
        <f t="shared" si="103"/>
        <v>100</v>
      </c>
      <c r="BV55" s="133">
        <f t="shared" si="103"/>
        <v>100</v>
      </c>
      <c r="BW55" s="133">
        <f t="shared" si="103"/>
        <v>100</v>
      </c>
      <c r="BX55" s="133">
        <f t="shared" si="103"/>
        <v>100</v>
      </c>
      <c r="BY55" s="133">
        <f t="shared" si="103"/>
        <v>100</v>
      </c>
      <c r="BZ55" s="133">
        <f t="shared" si="103"/>
        <v>100</v>
      </c>
      <c r="CA55" s="133">
        <f t="shared" si="103"/>
        <v>100</v>
      </c>
      <c r="CB55" s="133">
        <f t="shared" si="103"/>
        <v>100</v>
      </c>
      <c r="CC55" s="133">
        <f t="shared" si="103"/>
        <v>100</v>
      </c>
      <c r="CD55" s="133">
        <f t="shared" si="103"/>
        <v>100</v>
      </c>
      <c r="CE55" s="133">
        <f t="shared" si="103"/>
        <v>100</v>
      </c>
      <c r="CF55" s="133">
        <f t="shared" si="103"/>
        <v>100</v>
      </c>
      <c r="CG55" s="133">
        <f t="shared" si="103"/>
        <v>100</v>
      </c>
      <c r="CH55" s="133">
        <f t="shared" si="103"/>
        <v>100</v>
      </c>
      <c r="CI55" s="133">
        <f t="shared" si="103"/>
        <v>100</v>
      </c>
      <c r="CJ55" s="133">
        <f t="shared" si="103"/>
        <v>100</v>
      </c>
      <c r="CK55" s="133">
        <f t="shared" si="103"/>
        <v>100</v>
      </c>
      <c r="CL55" s="133">
        <f t="shared" si="103"/>
        <v>100</v>
      </c>
      <c r="CM55" s="133">
        <f t="shared" si="103"/>
        <v>100</v>
      </c>
      <c r="CN55" s="133">
        <f t="shared" si="103"/>
        <v>100</v>
      </c>
      <c r="CO55" s="133">
        <f t="shared" si="103"/>
        <v>100</v>
      </c>
      <c r="CP55" s="133">
        <f t="shared" si="103"/>
        <v>100</v>
      </c>
      <c r="CQ55" s="133">
        <f t="shared" si="103"/>
        <v>100</v>
      </c>
      <c r="CR55" s="133">
        <f t="shared" si="103"/>
        <v>100</v>
      </c>
      <c r="CS55" s="133">
        <f t="shared" si="103"/>
        <v>100</v>
      </c>
      <c r="CT55" s="133">
        <f t="shared" si="103"/>
        <v>100</v>
      </c>
      <c r="CU55" s="133">
        <f t="shared" si="103"/>
        <v>100</v>
      </c>
      <c r="CV55" s="133">
        <f t="shared" si="103"/>
        <v>100</v>
      </c>
      <c r="CW55" s="133">
        <f t="shared" si="103"/>
        <v>100</v>
      </c>
      <c r="CX55" s="133">
        <f t="shared" si="103"/>
        <v>100</v>
      </c>
      <c r="CY55" s="133">
        <f t="shared" si="103"/>
        <v>100</v>
      </c>
      <c r="CZ55" s="133">
        <f t="shared" si="103"/>
        <v>100</v>
      </c>
      <c r="DA55" s="133">
        <f t="shared" si="103"/>
        <v>100</v>
      </c>
      <c r="DC55">
        <v>51</v>
      </c>
      <c r="DD55" s="84">
        <v>58.812247715158456</v>
      </c>
      <c r="DE55" s="84">
        <v>-16.017808981589852</v>
      </c>
      <c r="DF55" s="84">
        <v>6.2454788847322931</v>
      </c>
      <c r="DG55" s="84">
        <v>58.181566044800562</v>
      </c>
      <c r="DH55" s="84">
        <v>-14.556744352297962</v>
      </c>
      <c r="DI55" s="84">
        <v>6.247379823612941</v>
      </c>
      <c r="DJ55" s="84">
        <v>1.5913745108747659</v>
      </c>
      <c r="DK55" s="84">
        <f t="shared" si="0"/>
        <v>2.5324728338619003</v>
      </c>
      <c r="DL55" s="84">
        <f t="shared" si="1"/>
        <v>2.7698160559624649</v>
      </c>
      <c r="DM55" s="84">
        <f t="shared" si="2"/>
        <v>158.6987700342207</v>
      </c>
      <c r="DN55" s="85">
        <v>4</v>
      </c>
      <c r="DO55">
        <v>6</v>
      </c>
      <c r="DP55">
        <f t="shared" si="88"/>
        <v>157.5</v>
      </c>
      <c r="DQ55" s="270">
        <v>-18.477590650225736</v>
      </c>
      <c r="DR55" s="270">
        <v>7.6536686473017976</v>
      </c>
    </row>
    <row r="56" spans="1:122">
      <c r="A56">
        <v>615</v>
      </c>
      <c r="B56" s="90">
        <f>'Color metric'!B50</f>
        <v>0.95710292718056567</v>
      </c>
      <c r="C56" s="82">
        <f>Reference!N56</f>
        <v>5.930102090919565</v>
      </c>
      <c r="D56" s="82"/>
      <c r="E56" s="137" t="s">
        <v>127</v>
      </c>
      <c r="F56" s="133">
        <f t="shared" si="102"/>
        <v>46.491694052237051</v>
      </c>
      <c r="G56" s="133">
        <f t="shared" si="102"/>
        <v>46.491694052237051</v>
      </c>
      <c r="H56" s="133">
        <f t="shared" si="102"/>
        <v>46.491694052237051</v>
      </c>
      <c r="I56" s="133">
        <f t="shared" si="102"/>
        <v>46.491694052237051</v>
      </c>
      <c r="J56" s="133">
        <f t="shared" si="102"/>
        <v>46.491694052237051</v>
      </c>
      <c r="K56" s="133">
        <f t="shared" si="102"/>
        <v>46.491694052237051</v>
      </c>
      <c r="L56" s="133">
        <f t="shared" si="102"/>
        <v>46.491694052237051</v>
      </c>
      <c r="M56" s="133">
        <f t="shared" si="102"/>
        <v>46.491694052237051</v>
      </c>
      <c r="N56" s="133">
        <f t="shared" si="102"/>
        <v>46.491694052237051</v>
      </c>
      <c r="O56" s="133">
        <f t="shared" si="102"/>
        <v>46.491694052237051</v>
      </c>
      <c r="P56" s="133">
        <f t="shared" si="102"/>
        <v>46.491694052237051</v>
      </c>
      <c r="Q56" s="133">
        <f t="shared" si="102"/>
        <v>46.491694052237051</v>
      </c>
      <c r="R56" s="133">
        <f t="shared" si="102"/>
        <v>46.491694052237051</v>
      </c>
      <c r="S56" s="133">
        <f t="shared" si="102"/>
        <v>46.491694052237051</v>
      </c>
      <c r="T56" s="133">
        <f t="shared" si="102"/>
        <v>46.491694052237051</v>
      </c>
      <c r="U56" s="133">
        <f t="shared" si="102"/>
        <v>46.491694052237051</v>
      </c>
      <c r="V56" s="133">
        <f t="shared" si="102"/>
        <v>46.491694052237051</v>
      </c>
      <c r="W56" s="133">
        <f t="shared" si="102"/>
        <v>46.491694052237051</v>
      </c>
      <c r="X56" s="133">
        <f t="shared" si="102"/>
        <v>46.491694052237051</v>
      </c>
      <c r="Y56" s="133">
        <f t="shared" si="102"/>
        <v>46.491694052237051</v>
      </c>
      <c r="Z56" s="133">
        <f t="shared" si="102"/>
        <v>46.491694052237051</v>
      </c>
      <c r="AA56" s="133">
        <f t="shared" si="102"/>
        <v>46.491694052237051</v>
      </c>
      <c r="AB56" s="133">
        <f t="shared" si="102"/>
        <v>46.491694052237051</v>
      </c>
      <c r="AC56" s="133">
        <f t="shared" si="102"/>
        <v>46.491694052237051</v>
      </c>
      <c r="AD56" s="133">
        <f t="shared" si="102"/>
        <v>46.491694052237051</v>
      </c>
      <c r="AE56" s="133">
        <f t="shared" si="102"/>
        <v>46.491694052237051</v>
      </c>
      <c r="AF56" s="133">
        <f t="shared" si="102"/>
        <v>46.491694052237051</v>
      </c>
      <c r="AG56" s="133">
        <f t="shared" si="102"/>
        <v>46.491694052237051</v>
      </c>
      <c r="AH56" s="133">
        <f t="shared" si="102"/>
        <v>46.491694052237051</v>
      </c>
      <c r="AI56" s="133">
        <f t="shared" si="102"/>
        <v>46.491694052237051</v>
      </c>
      <c r="AJ56" s="133">
        <f t="shared" si="102"/>
        <v>46.491694052237051</v>
      </c>
      <c r="AK56" s="133">
        <f t="shared" si="102"/>
        <v>46.491694052237051</v>
      </c>
      <c r="AL56" s="133">
        <f t="shared" si="102"/>
        <v>46.491694052237051</v>
      </c>
      <c r="AM56" s="133">
        <f t="shared" si="102"/>
        <v>46.491694052237051</v>
      </c>
      <c r="AN56" s="133">
        <f t="shared" si="102"/>
        <v>46.491694052237051</v>
      </c>
      <c r="AO56" s="133">
        <f t="shared" si="102"/>
        <v>46.491694052237051</v>
      </c>
      <c r="AP56" s="133">
        <f t="shared" si="102"/>
        <v>46.491694052237051</v>
      </c>
      <c r="AQ56" s="133">
        <f t="shared" si="102"/>
        <v>46.491694052237051</v>
      </c>
      <c r="AR56" s="133">
        <f t="shared" si="102"/>
        <v>46.491694052237051</v>
      </c>
      <c r="AS56" s="133">
        <f t="shared" si="102"/>
        <v>46.491694052237051</v>
      </c>
      <c r="AT56" s="133">
        <f t="shared" si="102"/>
        <v>46.491694052237051</v>
      </c>
      <c r="AU56" s="133">
        <f t="shared" si="102"/>
        <v>46.491694052237051</v>
      </c>
      <c r="AV56" s="133">
        <f t="shared" si="102"/>
        <v>46.491694052237051</v>
      </c>
      <c r="AW56" s="133">
        <f t="shared" si="102"/>
        <v>46.491694052237051</v>
      </c>
      <c r="AX56" s="133">
        <f t="shared" si="102"/>
        <v>46.491694052237051</v>
      </c>
      <c r="AY56" s="133">
        <f t="shared" si="102"/>
        <v>46.491694052237051</v>
      </c>
      <c r="AZ56" s="133">
        <f t="shared" si="102"/>
        <v>46.491694052237051</v>
      </c>
      <c r="BA56" s="133">
        <f t="shared" si="102"/>
        <v>46.491694052237051</v>
      </c>
      <c r="BB56" s="133">
        <f t="shared" si="102"/>
        <v>46.491694052237051</v>
      </c>
      <c r="BC56" s="133">
        <f t="shared" si="102"/>
        <v>46.491694052237051</v>
      </c>
      <c r="BD56" s="133">
        <f t="shared" si="102"/>
        <v>46.491694052237051</v>
      </c>
      <c r="BE56" s="133">
        <f t="shared" si="102"/>
        <v>46.491694052237051</v>
      </c>
      <c r="BF56" s="133">
        <f t="shared" si="102"/>
        <v>46.491694052237051</v>
      </c>
      <c r="BG56" s="133">
        <f t="shared" si="102"/>
        <v>46.491694052237051</v>
      </c>
      <c r="BH56" s="133">
        <f t="shared" si="102"/>
        <v>46.491694052237051</v>
      </c>
      <c r="BI56" s="133">
        <f t="shared" si="102"/>
        <v>46.491694052237051</v>
      </c>
      <c r="BJ56" s="133">
        <f t="shared" si="102"/>
        <v>46.491694052237051</v>
      </c>
      <c r="BK56" s="133">
        <f t="shared" si="102"/>
        <v>46.491694052237051</v>
      </c>
      <c r="BL56" s="133">
        <f t="shared" si="102"/>
        <v>46.491694052237051</v>
      </c>
      <c r="BM56" s="133">
        <f t="shared" si="102"/>
        <v>46.491694052237051</v>
      </c>
      <c r="BN56" s="133">
        <f t="shared" si="102"/>
        <v>46.491694052237051</v>
      </c>
      <c r="BO56" s="133">
        <f t="shared" si="102"/>
        <v>46.491694052237051</v>
      </c>
      <c r="BP56" s="133">
        <f t="shared" si="102"/>
        <v>46.491694052237051</v>
      </c>
      <c r="BQ56" s="133">
        <f t="shared" si="102"/>
        <v>46.491694052237051</v>
      </c>
      <c r="BR56" s="133">
        <f t="shared" si="103"/>
        <v>46.491694052237051</v>
      </c>
      <c r="BS56" s="133">
        <f t="shared" si="103"/>
        <v>46.491694052237051</v>
      </c>
      <c r="BT56" s="133">
        <f t="shared" si="103"/>
        <v>46.491694052237051</v>
      </c>
      <c r="BU56" s="133">
        <f t="shared" si="103"/>
        <v>46.491694052237051</v>
      </c>
      <c r="BV56" s="133">
        <f t="shared" si="103"/>
        <v>46.491694052237051</v>
      </c>
      <c r="BW56" s="133">
        <f t="shared" si="103"/>
        <v>46.491694052237051</v>
      </c>
      <c r="BX56" s="133">
        <f t="shared" si="103"/>
        <v>46.491694052237051</v>
      </c>
      <c r="BY56" s="133">
        <f t="shared" si="103"/>
        <v>46.491694052237051</v>
      </c>
      <c r="BZ56" s="133">
        <f t="shared" si="103"/>
        <v>46.491694052237051</v>
      </c>
      <c r="CA56" s="133">
        <f t="shared" si="103"/>
        <v>46.491694052237051</v>
      </c>
      <c r="CB56" s="133">
        <f t="shared" si="103"/>
        <v>46.491694052237051</v>
      </c>
      <c r="CC56" s="133">
        <f t="shared" si="103"/>
        <v>46.491694052237051</v>
      </c>
      <c r="CD56" s="133">
        <f t="shared" si="103"/>
        <v>46.491694052237051</v>
      </c>
      <c r="CE56" s="133">
        <f t="shared" si="103"/>
        <v>46.491694052237051</v>
      </c>
      <c r="CF56" s="133">
        <f t="shared" si="103"/>
        <v>46.491694052237051</v>
      </c>
      <c r="CG56" s="133">
        <f t="shared" si="103"/>
        <v>46.491694052237051</v>
      </c>
      <c r="CH56" s="133">
        <f t="shared" si="103"/>
        <v>46.491694052237051</v>
      </c>
      <c r="CI56" s="133">
        <f t="shared" si="103"/>
        <v>46.491694052237051</v>
      </c>
      <c r="CJ56" s="133">
        <f t="shared" si="103"/>
        <v>46.491694052237051</v>
      </c>
      <c r="CK56" s="133">
        <f t="shared" si="103"/>
        <v>46.491694052237051</v>
      </c>
      <c r="CL56" s="133">
        <f t="shared" si="103"/>
        <v>46.491694052237051</v>
      </c>
      <c r="CM56" s="133">
        <f t="shared" si="103"/>
        <v>46.491694052237051</v>
      </c>
      <c r="CN56" s="133">
        <f t="shared" si="103"/>
        <v>46.491694052237051</v>
      </c>
      <c r="CO56" s="133">
        <f t="shared" si="103"/>
        <v>46.491694052237051</v>
      </c>
      <c r="CP56" s="133">
        <f t="shared" si="103"/>
        <v>46.491694052237051</v>
      </c>
      <c r="CQ56" s="133">
        <f t="shared" si="103"/>
        <v>46.491694052237051</v>
      </c>
      <c r="CR56" s="133">
        <f t="shared" si="103"/>
        <v>46.491694052237051</v>
      </c>
      <c r="CS56" s="133">
        <f t="shared" si="103"/>
        <v>46.491694052237051</v>
      </c>
      <c r="CT56" s="133">
        <f t="shared" si="103"/>
        <v>46.491694052237051</v>
      </c>
      <c r="CU56" s="133">
        <f t="shared" si="103"/>
        <v>46.491694052237051</v>
      </c>
      <c r="CV56" s="133">
        <f t="shared" si="103"/>
        <v>46.491694052237051</v>
      </c>
      <c r="CW56" s="133">
        <f t="shared" si="103"/>
        <v>46.491694052237051</v>
      </c>
      <c r="CX56" s="133">
        <f t="shared" si="103"/>
        <v>46.491694052237051</v>
      </c>
      <c r="CY56" s="133">
        <f t="shared" si="103"/>
        <v>46.491694052237051</v>
      </c>
      <c r="CZ56" s="133">
        <f t="shared" si="103"/>
        <v>46.491694052237051</v>
      </c>
      <c r="DA56" s="133">
        <f t="shared" si="103"/>
        <v>46.491694052237051</v>
      </c>
      <c r="DC56">
        <v>52</v>
      </c>
      <c r="DD56" s="84">
        <v>41.448945897073578</v>
      </c>
      <c r="DE56" s="84">
        <v>-21.218286152673926</v>
      </c>
      <c r="DF56" s="84">
        <v>7.9255569155457657</v>
      </c>
      <c r="DG56" s="84">
        <v>40.792572485481038</v>
      </c>
      <c r="DH56" s="84">
        <v>-19.63914563122152</v>
      </c>
      <c r="DI56" s="84">
        <v>8.4282354374283521</v>
      </c>
      <c r="DJ56" s="84">
        <v>1.782469225064115</v>
      </c>
      <c r="DK56" s="84">
        <f t="shared" si="0"/>
        <v>3.1771965383006666</v>
      </c>
      <c r="DL56" s="84">
        <f t="shared" si="1"/>
        <v>2.7841159021077369</v>
      </c>
      <c r="DM56" s="84">
        <f t="shared" si="2"/>
        <v>159.51809086603117</v>
      </c>
      <c r="DN56" s="85">
        <v>4</v>
      </c>
      <c r="DO56">
        <v>6</v>
      </c>
      <c r="DP56">
        <f t="shared" si="88"/>
        <v>157.5</v>
      </c>
      <c r="DQ56" s="270">
        <v>-18.477590650225736</v>
      </c>
      <c r="DR56" s="270">
        <v>7.6536686473017976</v>
      </c>
    </row>
    <row r="57" spans="1:122">
      <c r="A57">
        <v>620</v>
      </c>
      <c r="B57" s="90">
        <f>'Color metric'!B51</f>
        <v>0.92699444845237799</v>
      </c>
      <c r="C57" s="82">
        <f>Reference!N57</f>
        <v>6.0314632915569035</v>
      </c>
      <c r="D57" s="82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  <c r="AZ57" s="125"/>
      <c r="BA57" s="125"/>
      <c r="BB57" s="125"/>
      <c r="BC57" s="125"/>
      <c r="BD57" s="125"/>
      <c r="BE57" s="125"/>
      <c r="BF57" s="125"/>
      <c r="BG57" s="125"/>
      <c r="BH57" s="125"/>
      <c r="BI57" s="125"/>
      <c r="BJ57" s="125"/>
      <c r="BK57" s="125"/>
      <c r="BL57" s="125"/>
      <c r="BM57" s="125"/>
      <c r="BN57" s="125"/>
      <c r="BO57" s="125"/>
      <c r="BP57" s="125"/>
      <c r="BQ57" s="125"/>
      <c r="BR57" s="125"/>
      <c r="BS57" s="125"/>
      <c r="BT57" s="125"/>
      <c r="BU57" s="125"/>
      <c r="BV57" s="125"/>
      <c r="BW57" s="125"/>
      <c r="BX57" s="125"/>
      <c r="BY57" s="125"/>
      <c r="BZ57" s="125"/>
      <c r="CA57" s="125"/>
      <c r="CB57" s="125"/>
      <c r="CC57" s="125"/>
      <c r="CD57" s="125"/>
      <c r="CE57" s="125"/>
      <c r="CF57" s="125"/>
      <c r="CG57" s="125"/>
      <c r="CH57" s="125"/>
      <c r="CI57" s="125"/>
      <c r="CJ57" s="125"/>
      <c r="CK57" s="125"/>
      <c r="CL57" s="125"/>
      <c r="CM57" s="125"/>
      <c r="CN57" s="125"/>
      <c r="CO57" s="125"/>
      <c r="CP57" s="125"/>
      <c r="CQ57" s="125"/>
      <c r="CR57" s="125"/>
      <c r="CS57" s="125"/>
      <c r="CT57" s="125"/>
      <c r="CU57" s="125"/>
      <c r="CV57" s="125"/>
      <c r="CW57" s="125"/>
      <c r="CX57" s="125"/>
      <c r="CY57" s="125"/>
      <c r="CZ57" s="125"/>
      <c r="DA57" s="125"/>
      <c r="DC57">
        <v>53</v>
      </c>
      <c r="DD57" s="84">
        <v>49.871617931903494</v>
      </c>
      <c r="DE57" s="84">
        <v>-30.57912914939282</v>
      </c>
      <c r="DF57" s="84">
        <v>4.4474296278289698</v>
      </c>
      <c r="DG57" s="84">
        <v>49.081381317528717</v>
      </c>
      <c r="DH57" s="84">
        <v>-28.391155197978385</v>
      </c>
      <c r="DI57" s="84">
        <v>5.1902345254659465</v>
      </c>
      <c r="DJ57" s="84">
        <v>2.4420202772950277</v>
      </c>
      <c r="DK57" s="84">
        <f t="shared" si="0"/>
        <v>5.9634630347200837</v>
      </c>
      <c r="DL57" s="84">
        <f t="shared" si="1"/>
        <v>2.9971652846109684</v>
      </c>
      <c r="DM57" s="84">
        <f t="shared" si="2"/>
        <v>171.72492131133467</v>
      </c>
      <c r="DN57" s="85">
        <v>4</v>
      </c>
      <c r="DO57">
        <v>5</v>
      </c>
      <c r="DP57">
        <f t="shared" si="88"/>
        <v>157.5</v>
      </c>
      <c r="DQ57" s="270">
        <v>-18.477590650225736</v>
      </c>
      <c r="DR57" s="270">
        <v>7.6536686473017976</v>
      </c>
    </row>
    <row r="58" spans="1:122">
      <c r="A58">
        <v>625</v>
      </c>
      <c r="B58" s="90">
        <f>'Color metric'!B52</f>
        <v>0.88815042302655034</v>
      </c>
      <c r="C58" s="82">
        <f>Reference!N58</f>
        <v>6.1309326563582918</v>
      </c>
      <c r="D58" s="82"/>
      <c r="E58" s="137" t="s">
        <v>128</v>
      </c>
      <c r="F58" s="133">
        <f>1/(5*$F$43+1)</f>
        <v>1.996007984031936E-3</v>
      </c>
      <c r="G58" s="133">
        <f t="shared" ref="G58:BR58" si="104">1/(5*$F$43+1)</f>
        <v>1.996007984031936E-3</v>
      </c>
      <c r="H58" s="133">
        <f t="shared" si="104"/>
        <v>1.996007984031936E-3</v>
      </c>
      <c r="I58" s="133">
        <f t="shared" si="104"/>
        <v>1.996007984031936E-3</v>
      </c>
      <c r="J58" s="133">
        <f t="shared" si="104"/>
        <v>1.996007984031936E-3</v>
      </c>
      <c r="K58" s="133">
        <f t="shared" si="104"/>
        <v>1.996007984031936E-3</v>
      </c>
      <c r="L58" s="133">
        <f t="shared" si="104"/>
        <v>1.996007984031936E-3</v>
      </c>
      <c r="M58" s="133">
        <f t="shared" si="104"/>
        <v>1.996007984031936E-3</v>
      </c>
      <c r="N58" s="133">
        <f t="shared" si="104"/>
        <v>1.996007984031936E-3</v>
      </c>
      <c r="O58" s="133">
        <f t="shared" si="104"/>
        <v>1.996007984031936E-3</v>
      </c>
      <c r="P58" s="133">
        <f t="shared" si="104"/>
        <v>1.996007984031936E-3</v>
      </c>
      <c r="Q58" s="133">
        <f t="shared" si="104"/>
        <v>1.996007984031936E-3</v>
      </c>
      <c r="R58" s="133">
        <f t="shared" si="104"/>
        <v>1.996007984031936E-3</v>
      </c>
      <c r="S58" s="133">
        <f t="shared" si="104"/>
        <v>1.996007984031936E-3</v>
      </c>
      <c r="T58" s="133">
        <f t="shared" si="104"/>
        <v>1.996007984031936E-3</v>
      </c>
      <c r="U58" s="133">
        <f t="shared" si="104"/>
        <v>1.996007984031936E-3</v>
      </c>
      <c r="V58" s="133">
        <f t="shared" si="104"/>
        <v>1.996007984031936E-3</v>
      </c>
      <c r="W58" s="133">
        <f t="shared" si="104"/>
        <v>1.996007984031936E-3</v>
      </c>
      <c r="X58" s="133">
        <f t="shared" si="104"/>
        <v>1.996007984031936E-3</v>
      </c>
      <c r="Y58" s="133">
        <f t="shared" si="104"/>
        <v>1.996007984031936E-3</v>
      </c>
      <c r="Z58" s="133">
        <f t="shared" si="104"/>
        <v>1.996007984031936E-3</v>
      </c>
      <c r="AA58" s="133">
        <f t="shared" si="104"/>
        <v>1.996007984031936E-3</v>
      </c>
      <c r="AB58" s="133">
        <f t="shared" si="104"/>
        <v>1.996007984031936E-3</v>
      </c>
      <c r="AC58" s="133">
        <f t="shared" si="104"/>
        <v>1.996007984031936E-3</v>
      </c>
      <c r="AD58" s="133">
        <f t="shared" si="104"/>
        <v>1.996007984031936E-3</v>
      </c>
      <c r="AE58" s="133">
        <f t="shared" si="104"/>
        <v>1.996007984031936E-3</v>
      </c>
      <c r="AF58" s="133">
        <f t="shared" si="104"/>
        <v>1.996007984031936E-3</v>
      </c>
      <c r="AG58" s="133">
        <f t="shared" si="104"/>
        <v>1.996007984031936E-3</v>
      </c>
      <c r="AH58" s="133">
        <f t="shared" si="104"/>
        <v>1.996007984031936E-3</v>
      </c>
      <c r="AI58" s="133">
        <f t="shared" si="104"/>
        <v>1.996007984031936E-3</v>
      </c>
      <c r="AJ58" s="133">
        <f t="shared" si="104"/>
        <v>1.996007984031936E-3</v>
      </c>
      <c r="AK58" s="133">
        <f t="shared" si="104"/>
        <v>1.996007984031936E-3</v>
      </c>
      <c r="AL58" s="133">
        <f t="shared" si="104"/>
        <v>1.996007984031936E-3</v>
      </c>
      <c r="AM58" s="133">
        <f t="shared" si="104"/>
        <v>1.996007984031936E-3</v>
      </c>
      <c r="AN58" s="133">
        <f t="shared" si="104"/>
        <v>1.996007984031936E-3</v>
      </c>
      <c r="AO58" s="133">
        <f t="shared" si="104"/>
        <v>1.996007984031936E-3</v>
      </c>
      <c r="AP58" s="133">
        <f t="shared" si="104"/>
        <v>1.996007984031936E-3</v>
      </c>
      <c r="AQ58" s="133">
        <f t="shared" si="104"/>
        <v>1.996007984031936E-3</v>
      </c>
      <c r="AR58" s="133">
        <f t="shared" si="104"/>
        <v>1.996007984031936E-3</v>
      </c>
      <c r="AS58" s="133">
        <f t="shared" si="104"/>
        <v>1.996007984031936E-3</v>
      </c>
      <c r="AT58" s="133">
        <f t="shared" si="104"/>
        <v>1.996007984031936E-3</v>
      </c>
      <c r="AU58" s="133">
        <f t="shared" si="104"/>
        <v>1.996007984031936E-3</v>
      </c>
      <c r="AV58" s="133">
        <f t="shared" si="104"/>
        <v>1.996007984031936E-3</v>
      </c>
      <c r="AW58" s="133">
        <f t="shared" si="104"/>
        <v>1.996007984031936E-3</v>
      </c>
      <c r="AX58" s="133">
        <f t="shared" si="104"/>
        <v>1.996007984031936E-3</v>
      </c>
      <c r="AY58" s="133">
        <f t="shared" si="104"/>
        <v>1.996007984031936E-3</v>
      </c>
      <c r="AZ58" s="133">
        <f t="shared" si="104"/>
        <v>1.996007984031936E-3</v>
      </c>
      <c r="BA58" s="133">
        <f t="shared" si="104"/>
        <v>1.996007984031936E-3</v>
      </c>
      <c r="BB58" s="133">
        <f t="shared" si="104"/>
        <v>1.996007984031936E-3</v>
      </c>
      <c r="BC58" s="133">
        <f t="shared" si="104"/>
        <v>1.996007984031936E-3</v>
      </c>
      <c r="BD58" s="133">
        <f t="shared" si="104"/>
        <v>1.996007984031936E-3</v>
      </c>
      <c r="BE58" s="133">
        <f t="shared" si="104"/>
        <v>1.996007984031936E-3</v>
      </c>
      <c r="BF58" s="133">
        <f t="shared" si="104"/>
        <v>1.996007984031936E-3</v>
      </c>
      <c r="BG58" s="133">
        <f t="shared" si="104"/>
        <v>1.996007984031936E-3</v>
      </c>
      <c r="BH58" s="133">
        <f t="shared" si="104"/>
        <v>1.996007984031936E-3</v>
      </c>
      <c r="BI58" s="133">
        <f t="shared" si="104"/>
        <v>1.996007984031936E-3</v>
      </c>
      <c r="BJ58" s="133">
        <f t="shared" si="104"/>
        <v>1.996007984031936E-3</v>
      </c>
      <c r="BK58" s="133">
        <f t="shared" si="104"/>
        <v>1.996007984031936E-3</v>
      </c>
      <c r="BL58" s="133">
        <f t="shared" si="104"/>
        <v>1.996007984031936E-3</v>
      </c>
      <c r="BM58" s="133">
        <f t="shared" si="104"/>
        <v>1.996007984031936E-3</v>
      </c>
      <c r="BN58" s="133">
        <f t="shared" si="104"/>
        <v>1.996007984031936E-3</v>
      </c>
      <c r="BO58" s="133">
        <f t="shared" si="104"/>
        <v>1.996007984031936E-3</v>
      </c>
      <c r="BP58" s="133">
        <f t="shared" si="104"/>
        <v>1.996007984031936E-3</v>
      </c>
      <c r="BQ58" s="133">
        <f t="shared" si="104"/>
        <v>1.996007984031936E-3</v>
      </c>
      <c r="BR58" s="133">
        <f t="shared" si="104"/>
        <v>1.996007984031936E-3</v>
      </c>
      <c r="BS58" s="133">
        <f t="shared" ref="BS58:DA58" si="105">1/(5*$F$43+1)</f>
        <v>1.996007984031936E-3</v>
      </c>
      <c r="BT58" s="133">
        <f t="shared" si="105"/>
        <v>1.996007984031936E-3</v>
      </c>
      <c r="BU58" s="133">
        <f t="shared" si="105"/>
        <v>1.996007984031936E-3</v>
      </c>
      <c r="BV58" s="133">
        <f t="shared" si="105"/>
        <v>1.996007984031936E-3</v>
      </c>
      <c r="BW58" s="133">
        <f t="shared" si="105"/>
        <v>1.996007984031936E-3</v>
      </c>
      <c r="BX58" s="133">
        <f t="shared" si="105"/>
        <v>1.996007984031936E-3</v>
      </c>
      <c r="BY58" s="133">
        <f t="shared" si="105"/>
        <v>1.996007984031936E-3</v>
      </c>
      <c r="BZ58" s="133">
        <f t="shared" si="105"/>
        <v>1.996007984031936E-3</v>
      </c>
      <c r="CA58" s="133">
        <f t="shared" si="105"/>
        <v>1.996007984031936E-3</v>
      </c>
      <c r="CB58" s="133">
        <f t="shared" si="105"/>
        <v>1.996007984031936E-3</v>
      </c>
      <c r="CC58" s="133">
        <f t="shared" si="105"/>
        <v>1.996007984031936E-3</v>
      </c>
      <c r="CD58" s="133">
        <f t="shared" si="105"/>
        <v>1.996007984031936E-3</v>
      </c>
      <c r="CE58" s="133">
        <f t="shared" si="105"/>
        <v>1.996007984031936E-3</v>
      </c>
      <c r="CF58" s="133">
        <f t="shared" si="105"/>
        <v>1.996007984031936E-3</v>
      </c>
      <c r="CG58" s="133">
        <f t="shared" si="105"/>
        <v>1.996007984031936E-3</v>
      </c>
      <c r="CH58" s="133">
        <f t="shared" si="105"/>
        <v>1.996007984031936E-3</v>
      </c>
      <c r="CI58" s="133">
        <f t="shared" si="105"/>
        <v>1.996007984031936E-3</v>
      </c>
      <c r="CJ58" s="133">
        <f t="shared" si="105"/>
        <v>1.996007984031936E-3</v>
      </c>
      <c r="CK58" s="133">
        <f t="shared" si="105"/>
        <v>1.996007984031936E-3</v>
      </c>
      <c r="CL58" s="133">
        <f t="shared" si="105"/>
        <v>1.996007984031936E-3</v>
      </c>
      <c r="CM58" s="133">
        <f t="shared" si="105"/>
        <v>1.996007984031936E-3</v>
      </c>
      <c r="CN58" s="133">
        <f t="shared" si="105"/>
        <v>1.996007984031936E-3</v>
      </c>
      <c r="CO58" s="133">
        <f t="shared" si="105"/>
        <v>1.996007984031936E-3</v>
      </c>
      <c r="CP58" s="133">
        <f t="shared" si="105"/>
        <v>1.996007984031936E-3</v>
      </c>
      <c r="CQ58" s="133">
        <f t="shared" si="105"/>
        <v>1.996007984031936E-3</v>
      </c>
      <c r="CR58" s="133">
        <f t="shared" si="105"/>
        <v>1.996007984031936E-3</v>
      </c>
      <c r="CS58" s="133">
        <f t="shared" si="105"/>
        <v>1.996007984031936E-3</v>
      </c>
      <c r="CT58" s="133">
        <f t="shared" si="105"/>
        <v>1.996007984031936E-3</v>
      </c>
      <c r="CU58" s="133">
        <f t="shared" si="105"/>
        <v>1.996007984031936E-3</v>
      </c>
      <c r="CV58" s="133">
        <f t="shared" si="105"/>
        <v>1.996007984031936E-3</v>
      </c>
      <c r="CW58" s="133">
        <f t="shared" si="105"/>
        <v>1.996007984031936E-3</v>
      </c>
      <c r="CX58" s="133">
        <f t="shared" si="105"/>
        <v>1.996007984031936E-3</v>
      </c>
      <c r="CY58" s="133">
        <f t="shared" si="105"/>
        <v>1.996007984031936E-3</v>
      </c>
      <c r="CZ58" s="133">
        <f t="shared" si="105"/>
        <v>1.996007984031936E-3</v>
      </c>
      <c r="DA58" s="133">
        <f t="shared" si="105"/>
        <v>1.996007984031936E-3</v>
      </c>
      <c r="DC58">
        <v>54</v>
      </c>
      <c r="DD58" s="84">
        <v>87.16018301015761</v>
      </c>
      <c r="DE58" s="84">
        <v>-15.907708248561086</v>
      </c>
      <c r="DF58" s="84">
        <v>-0.21969015388302601</v>
      </c>
      <c r="DG58" s="84">
        <v>87.174628453502166</v>
      </c>
      <c r="DH58" s="84">
        <v>-14.405813094540694</v>
      </c>
      <c r="DI58" s="84">
        <v>-0.5846255182207325</v>
      </c>
      <c r="DJ58" s="84">
        <v>1.5456634642274665</v>
      </c>
      <c r="DK58" s="84">
        <f t="shared" si="0"/>
        <v>2.3890755446476524</v>
      </c>
      <c r="DL58" s="84">
        <f t="shared" si="1"/>
        <v>3.1554020713450628</v>
      </c>
      <c r="DM58" s="84">
        <f t="shared" si="2"/>
        <v>180.79122135490999</v>
      </c>
      <c r="DN58" s="85">
        <v>4</v>
      </c>
      <c r="DO58">
        <v>6</v>
      </c>
      <c r="DP58">
        <f t="shared" si="88"/>
        <v>157.5</v>
      </c>
      <c r="DQ58" s="270">
        <v>-18.477590650225736</v>
      </c>
      <c r="DR58" s="270">
        <v>7.6536686473017976</v>
      </c>
    </row>
    <row r="59" spans="1:122">
      <c r="A59">
        <v>630</v>
      </c>
      <c r="B59" s="90">
        <f>'Color metric'!B53</f>
        <v>0.84397584865890107</v>
      </c>
      <c r="C59" s="82">
        <f>Reference!N59</f>
        <v>6.2284646327691586</v>
      </c>
      <c r="D59" s="82"/>
      <c r="E59" s="137" t="s">
        <v>129</v>
      </c>
      <c r="F59" s="133">
        <f>0.2*F58^4*5*$F$43+0.1*(1-F58^4)^2*(5*$F$43)^(1/3)</f>
        <v>0.79370052754616693</v>
      </c>
      <c r="G59" s="133">
        <f t="shared" ref="G59:BR59" si="106">0.2*G58^4*5*$F$43+0.1*(1-G58^4)^2*(5*$F$43)^(1/3)</f>
        <v>0.79370052754616693</v>
      </c>
      <c r="H59" s="133">
        <f t="shared" si="106"/>
        <v>0.79370052754616693</v>
      </c>
      <c r="I59" s="133">
        <f t="shared" si="106"/>
        <v>0.79370052754616693</v>
      </c>
      <c r="J59" s="133">
        <f t="shared" si="106"/>
        <v>0.79370052754616693</v>
      </c>
      <c r="K59" s="133">
        <f t="shared" si="106"/>
        <v>0.79370052754616693</v>
      </c>
      <c r="L59" s="133">
        <f t="shared" si="106"/>
        <v>0.79370052754616693</v>
      </c>
      <c r="M59" s="133">
        <f t="shared" si="106"/>
        <v>0.79370052754616693</v>
      </c>
      <c r="N59" s="133">
        <f t="shared" si="106"/>
        <v>0.79370052754616693</v>
      </c>
      <c r="O59" s="133">
        <f t="shared" si="106"/>
        <v>0.79370052754616693</v>
      </c>
      <c r="P59" s="133">
        <f t="shared" si="106"/>
        <v>0.79370052754616693</v>
      </c>
      <c r="Q59" s="133">
        <f t="shared" si="106"/>
        <v>0.79370052754616693</v>
      </c>
      <c r="R59" s="133">
        <f t="shared" si="106"/>
        <v>0.79370052754616693</v>
      </c>
      <c r="S59" s="133">
        <f t="shared" si="106"/>
        <v>0.79370052754616693</v>
      </c>
      <c r="T59" s="133">
        <f t="shared" si="106"/>
        <v>0.79370052754616693</v>
      </c>
      <c r="U59" s="133">
        <f t="shared" si="106"/>
        <v>0.79370052754616693</v>
      </c>
      <c r="V59" s="133">
        <f t="shared" si="106"/>
        <v>0.79370052754616693</v>
      </c>
      <c r="W59" s="133">
        <f t="shared" si="106"/>
        <v>0.79370052754616693</v>
      </c>
      <c r="X59" s="133">
        <f t="shared" si="106"/>
        <v>0.79370052754616693</v>
      </c>
      <c r="Y59" s="133">
        <f t="shared" si="106"/>
        <v>0.79370052754616693</v>
      </c>
      <c r="Z59" s="133">
        <f t="shared" si="106"/>
        <v>0.79370052754616693</v>
      </c>
      <c r="AA59" s="133">
        <f t="shared" si="106"/>
        <v>0.79370052754616693</v>
      </c>
      <c r="AB59" s="133">
        <f t="shared" si="106"/>
        <v>0.79370052754616693</v>
      </c>
      <c r="AC59" s="133">
        <f t="shared" si="106"/>
        <v>0.79370052754616693</v>
      </c>
      <c r="AD59" s="133">
        <f t="shared" si="106"/>
        <v>0.79370052754616693</v>
      </c>
      <c r="AE59" s="133">
        <f t="shared" si="106"/>
        <v>0.79370052754616693</v>
      </c>
      <c r="AF59" s="133">
        <f t="shared" si="106"/>
        <v>0.79370052754616693</v>
      </c>
      <c r="AG59" s="133">
        <f t="shared" si="106"/>
        <v>0.79370052754616693</v>
      </c>
      <c r="AH59" s="133">
        <f t="shared" si="106"/>
        <v>0.79370052754616693</v>
      </c>
      <c r="AI59" s="133">
        <f t="shared" si="106"/>
        <v>0.79370052754616693</v>
      </c>
      <c r="AJ59" s="133">
        <f t="shared" si="106"/>
        <v>0.79370052754616693</v>
      </c>
      <c r="AK59" s="133">
        <f t="shared" si="106"/>
        <v>0.79370052754616693</v>
      </c>
      <c r="AL59" s="133">
        <f t="shared" si="106"/>
        <v>0.79370052754616693</v>
      </c>
      <c r="AM59" s="133">
        <f t="shared" si="106"/>
        <v>0.79370052754616693</v>
      </c>
      <c r="AN59" s="133">
        <f t="shared" si="106"/>
        <v>0.79370052754616693</v>
      </c>
      <c r="AO59" s="133">
        <f t="shared" si="106"/>
        <v>0.79370052754616693</v>
      </c>
      <c r="AP59" s="133">
        <f t="shared" si="106"/>
        <v>0.79370052754616693</v>
      </c>
      <c r="AQ59" s="133">
        <f t="shared" si="106"/>
        <v>0.79370052754616693</v>
      </c>
      <c r="AR59" s="133">
        <f t="shared" si="106"/>
        <v>0.79370052754616693</v>
      </c>
      <c r="AS59" s="133">
        <f t="shared" si="106"/>
        <v>0.79370052754616693</v>
      </c>
      <c r="AT59" s="133">
        <f t="shared" si="106"/>
        <v>0.79370052754616693</v>
      </c>
      <c r="AU59" s="133">
        <f t="shared" si="106"/>
        <v>0.79370052754616693</v>
      </c>
      <c r="AV59" s="133">
        <f t="shared" si="106"/>
        <v>0.79370052754616693</v>
      </c>
      <c r="AW59" s="133">
        <f t="shared" si="106"/>
        <v>0.79370052754616693</v>
      </c>
      <c r="AX59" s="133">
        <f t="shared" si="106"/>
        <v>0.79370052754616693</v>
      </c>
      <c r="AY59" s="133">
        <f t="shared" si="106"/>
        <v>0.79370052754616693</v>
      </c>
      <c r="AZ59" s="133">
        <f t="shared" si="106"/>
        <v>0.79370052754616693</v>
      </c>
      <c r="BA59" s="133">
        <f t="shared" si="106"/>
        <v>0.79370052754616693</v>
      </c>
      <c r="BB59" s="133">
        <f t="shared" si="106"/>
        <v>0.79370052754616693</v>
      </c>
      <c r="BC59" s="133">
        <f t="shared" si="106"/>
        <v>0.79370052754616693</v>
      </c>
      <c r="BD59" s="133">
        <f t="shared" si="106"/>
        <v>0.79370052754616693</v>
      </c>
      <c r="BE59" s="133">
        <f t="shared" si="106"/>
        <v>0.79370052754616693</v>
      </c>
      <c r="BF59" s="133">
        <f t="shared" si="106"/>
        <v>0.79370052754616693</v>
      </c>
      <c r="BG59" s="133">
        <f t="shared" si="106"/>
        <v>0.79370052754616693</v>
      </c>
      <c r="BH59" s="133">
        <f t="shared" si="106"/>
        <v>0.79370052754616693</v>
      </c>
      <c r="BI59" s="133">
        <f t="shared" si="106"/>
        <v>0.79370052754616693</v>
      </c>
      <c r="BJ59" s="133">
        <f t="shared" si="106"/>
        <v>0.79370052754616693</v>
      </c>
      <c r="BK59" s="133">
        <f t="shared" si="106"/>
        <v>0.79370052754616693</v>
      </c>
      <c r="BL59" s="133">
        <f t="shared" si="106"/>
        <v>0.79370052754616693</v>
      </c>
      <c r="BM59" s="133">
        <f t="shared" si="106"/>
        <v>0.79370052754616693</v>
      </c>
      <c r="BN59" s="133">
        <f t="shared" si="106"/>
        <v>0.79370052754616693</v>
      </c>
      <c r="BO59" s="133">
        <f t="shared" si="106"/>
        <v>0.79370052754616693</v>
      </c>
      <c r="BP59" s="133">
        <f t="shared" si="106"/>
        <v>0.79370052754616693</v>
      </c>
      <c r="BQ59" s="133">
        <f t="shared" si="106"/>
        <v>0.79370052754616693</v>
      </c>
      <c r="BR59" s="133">
        <f t="shared" si="106"/>
        <v>0.79370052754616693</v>
      </c>
      <c r="BS59" s="133">
        <f t="shared" ref="BS59:DA59" si="107">0.2*BS58^4*5*$F$43+0.1*(1-BS58^4)^2*(5*$F$43)^(1/3)</f>
        <v>0.79370052754616693</v>
      </c>
      <c r="BT59" s="133">
        <f t="shared" si="107"/>
        <v>0.79370052754616693</v>
      </c>
      <c r="BU59" s="133">
        <f t="shared" si="107"/>
        <v>0.79370052754616693</v>
      </c>
      <c r="BV59" s="133">
        <f t="shared" si="107"/>
        <v>0.79370052754616693</v>
      </c>
      <c r="BW59" s="133">
        <f t="shared" si="107"/>
        <v>0.79370052754616693</v>
      </c>
      <c r="BX59" s="133">
        <f t="shared" si="107"/>
        <v>0.79370052754616693</v>
      </c>
      <c r="BY59" s="133">
        <f t="shared" si="107"/>
        <v>0.79370052754616693</v>
      </c>
      <c r="BZ59" s="133">
        <f t="shared" si="107"/>
        <v>0.79370052754616693</v>
      </c>
      <c r="CA59" s="133">
        <f t="shared" si="107"/>
        <v>0.79370052754616693</v>
      </c>
      <c r="CB59" s="133">
        <f t="shared" si="107"/>
        <v>0.79370052754616693</v>
      </c>
      <c r="CC59" s="133">
        <f t="shared" si="107"/>
        <v>0.79370052754616693</v>
      </c>
      <c r="CD59" s="133">
        <f t="shared" si="107"/>
        <v>0.79370052754616693</v>
      </c>
      <c r="CE59" s="133">
        <f t="shared" si="107"/>
        <v>0.79370052754616693</v>
      </c>
      <c r="CF59" s="133">
        <f t="shared" si="107"/>
        <v>0.79370052754616693</v>
      </c>
      <c r="CG59" s="133">
        <f t="shared" si="107"/>
        <v>0.79370052754616693</v>
      </c>
      <c r="CH59" s="133">
        <f t="shared" si="107"/>
        <v>0.79370052754616693</v>
      </c>
      <c r="CI59" s="133">
        <f t="shared" si="107"/>
        <v>0.79370052754616693</v>
      </c>
      <c r="CJ59" s="133">
        <f t="shared" si="107"/>
        <v>0.79370052754616693</v>
      </c>
      <c r="CK59" s="133">
        <f t="shared" si="107"/>
        <v>0.79370052754616693</v>
      </c>
      <c r="CL59" s="133">
        <f t="shared" si="107"/>
        <v>0.79370052754616693</v>
      </c>
      <c r="CM59" s="133">
        <f t="shared" si="107"/>
        <v>0.79370052754616693</v>
      </c>
      <c r="CN59" s="133">
        <f t="shared" si="107"/>
        <v>0.79370052754616693</v>
      </c>
      <c r="CO59" s="133">
        <f t="shared" si="107"/>
        <v>0.79370052754616693</v>
      </c>
      <c r="CP59" s="133">
        <f t="shared" si="107"/>
        <v>0.79370052754616693</v>
      </c>
      <c r="CQ59" s="133">
        <f t="shared" si="107"/>
        <v>0.79370052754616693</v>
      </c>
      <c r="CR59" s="133">
        <f t="shared" si="107"/>
        <v>0.79370052754616693</v>
      </c>
      <c r="CS59" s="133">
        <f t="shared" si="107"/>
        <v>0.79370052754616693</v>
      </c>
      <c r="CT59" s="133">
        <f t="shared" si="107"/>
        <v>0.79370052754616693</v>
      </c>
      <c r="CU59" s="133">
        <f t="shared" si="107"/>
        <v>0.79370052754616693</v>
      </c>
      <c r="CV59" s="133">
        <f t="shared" si="107"/>
        <v>0.79370052754616693</v>
      </c>
      <c r="CW59" s="133">
        <f t="shared" si="107"/>
        <v>0.79370052754616693</v>
      </c>
      <c r="CX59" s="133">
        <f t="shared" si="107"/>
        <v>0.79370052754616693</v>
      </c>
      <c r="CY59" s="133">
        <f t="shared" si="107"/>
        <v>0.79370052754616693</v>
      </c>
      <c r="CZ59" s="133">
        <f t="shared" si="107"/>
        <v>0.79370052754616693</v>
      </c>
      <c r="DA59" s="133">
        <f t="shared" si="107"/>
        <v>0.79370052754616693</v>
      </c>
      <c r="DC59">
        <v>55</v>
      </c>
      <c r="DD59" s="84">
        <v>83.767421350539507</v>
      </c>
      <c r="DE59" s="84">
        <v>-17.867779352062637</v>
      </c>
      <c r="DF59" s="84">
        <v>-1.7140835915601682</v>
      </c>
      <c r="DG59" s="84">
        <v>83.561240995634918</v>
      </c>
      <c r="DH59" s="84">
        <v>-16.06187919000606</v>
      </c>
      <c r="DI59" s="84">
        <v>-2.4880430407815513</v>
      </c>
      <c r="DJ59" s="84">
        <v>1.9755502937418781</v>
      </c>
      <c r="DK59" s="84">
        <f t="shared" si="0"/>
        <v>3.9027989631036206</v>
      </c>
      <c r="DL59" s="84">
        <f t="shared" si="1"/>
        <v>3.2372315265081761</v>
      </c>
      <c r="DM59" s="84">
        <f t="shared" si="2"/>
        <v>185.4797037756114</v>
      </c>
      <c r="DN59" s="85">
        <v>4</v>
      </c>
      <c r="DO59">
        <v>7</v>
      </c>
      <c r="DP59">
        <f t="shared" si="88"/>
        <v>157.5</v>
      </c>
      <c r="DQ59" s="270">
        <v>-18.477590650225736</v>
      </c>
      <c r="DR59" s="270">
        <v>7.6536686473017976</v>
      </c>
    </row>
    <row r="60" spans="1:122">
      <c r="A60">
        <v>635</v>
      </c>
      <c r="B60" s="90">
        <f>'Color metric'!B54</f>
        <v>0.79876622891989113</v>
      </c>
      <c r="C60" s="82">
        <f>Reference!N60</f>
        <v>6.3240176933330536</v>
      </c>
      <c r="D60" s="82"/>
      <c r="E60" s="137" t="s">
        <v>130</v>
      </c>
      <c r="F60" s="133">
        <f>$F$44/F55</f>
        <v>0.2</v>
      </c>
      <c r="G60" s="133">
        <f t="shared" ref="G60:BR60" si="108">$F$44/G55</f>
        <v>0.2</v>
      </c>
      <c r="H60" s="133">
        <f t="shared" si="108"/>
        <v>0.2</v>
      </c>
      <c r="I60" s="133">
        <f t="shared" si="108"/>
        <v>0.2</v>
      </c>
      <c r="J60" s="133">
        <f t="shared" si="108"/>
        <v>0.2</v>
      </c>
      <c r="K60" s="133">
        <f t="shared" si="108"/>
        <v>0.2</v>
      </c>
      <c r="L60" s="133">
        <f t="shared" si="108"/>
        <v>0.2</v>
      </c>
      <c r="M60" s="133">
        <f t="shared" si="108"/>
        <v>0.2</v>
      </c>
      <c r="N60" s="133">
        <f t="shared" si="108"/>
        <v>0.2</v>
      </c>
      <c r="O60" s="133">
        <f t="shared" si="108"/>
        <v>0.2</v>
      </c>
      <c r="P60" s="133">
        <f t="shared" si="108"/>
        <v>0.2</v>
      </c>
      <c r="Q60" s="133">
        <f t="shared" si="108"/>
        <v>0.2</v>
      </c>
      <c r="R60" s="133">
        <f t="shared" si="108"/>
        <v>0.2</v>
      </c>
      <c r="S60" s="133">
        <f t="shared" si="108"/>
        <v>0.2</v>
      </c>
      <c r="T60" s="133">
        <f t="shared" si="108"/>
        <v>0.2</v>
      </c>
      <c r="U60" s="133">
        <f t="shared" si="108"/>
        <v>0.2</v>
      </c>
      <c r="V60" s="133">
        <f t="shared" si="108"/>
        <v>0.2</v>
      </c>
      <c r="W60" s="133">
        <f t="shared" si="108"/>
        <v>0.2</v>
      </c>
      <c r="X60" s="133">
        <f t="shared" si="108"/>
        <v>0.2</v>
      </c>
      <c r="Y60" s="133">
        <f t="shared" si="108"/>
        <v>0.2</v>
      </c>
      <c r="Z60" s="133">
        <f t="shared" si="108"/>
        <v>0.2</v>
      </c>
      <c r="AA60" s="133">
        <f t="shared" si="108"/>
        <v>0.2</v>
      </c>
      <c r="AB60" s="133">
        <f t="shared" si="108"/>
        <v>0.2</v>
      </c>
      <c r="AC60" s="133">
        <f t="shared" si="108"/>
        <v>0.2</v>
      </c>
      <c r="AD60" s="133">
        <f t="shared" si="108"/>
        <v>0.2</v>
      </c>
      <c r="AE60" s="133">
        <f t="shared" si="108"/>
        <v>0.2</v>
      </c>
      <c r="AF60" s="133">
        <f t="shared" si="108"/>
        <v>0.2</v>
      </c>
      <c r="AG60" s="133">
        <f t="shared" si="108"/>
        <v>0.2</v>
      </c>
      <c r="AH60" s="133">
        <f t="shared" si="108"/>
        <v>0.2</v>
      </c>
      <c r="AI60" s="133">
        <f t="shared" si="108"/>
        <v>0.2</v>
      </c>
      <c r="AJ60" s="133">
        <f t="shared" si="108"/>
        <v>0.2</v>
      </c>
      <c r="AK60" s="133">
        <f t="shared" si="108"/>
        <v>0.2</v>
      </c>
      <c r="AL60" s="133">
        <f t="shared" si="108"/>
        <v>0.2</v>
      </c>
      <c r="AM60" s="133">
        <f t="shared" si="108"/>
        <v>0.2</v>
      </c>
      <c r="AN60" s="133">
        <f t="shared" si="108"/>
        <v>0.2</v>
      </c>
      <c r="AO60" s="133">
        <f t="shared" si="108"/>
        <v>0.2</v>
      </c>
      <c r="AP60" s="133">
        <f t="shared" si="108"/>
        <v>0.2</v>
      </c>
      <c r="AQ60" s="133">
        <f t="shared" si="108"/>
        <v>0.2</v>
      </c>
      <c r="AR60" s="133">
        <f t="shared" si="108"/>
        <v>0.2</v>
      </c>
      <c r="AS60" s="133">
        <f t="shared" si="108"/>
        <v>0.2</v>
      </c>
      <c r="AT60" s="133">
        <f t="shared" si="108"/>
        <v>0.2</v>
      </c>
      <c r="AU60" s="133">
        <f t="shared" si="108"/>
        <v>0.2</v>
      </c>
      <c r="AV60" s="133">
        <f t="shared" si="108"/>
        <v>0.2</v>
      </c>
      <c r="AW60" s="133">
        <f t="shared" si="108"/>
        <v>0.2</v>
      </c>
      <c r="AX60" s="133">
        <f t="shared" si="108"/>
        <v>0.2</v>
      </c>
      <c r="AY60" s="133">
        <f t="shared" si="108"/>
        <v>0.2</v>
      </c>
      <c r="AZ60" s="133">
        <f t="shared" si="108"/>
        <v>0.2</v>
      </c>
      <c r="BA60" s="133">
        <f t="shared" si="108"/>
        <v>0.2</v>
      </c>
      <c r="BB60" s="133">
        <f t="shared" si="108"/>
        <v>0.2</v>
      </c>
      <c r="BC60" s="133">
        <f t="shared" si="108"/>
        <v>0.2</v>
      </c>
      <c r="BD60" s="133">
        <f t="shared" si="108"/>
        <v>0.2</v>
      </c>
      <c r="BE60" s="133">
        <f t="shared" si="108"/>
        <v>0.2</v>
      </c>
      <c r="BF60" s="133">
        <f t="shared" si="108"/>
        <v>0.2</v>
      </c>
      <c r="BG60" s="133">
        <f t="shared" si="108"/>
        <v>0.2</v>
      </c>
      <c r="BH60" s="133">
        <f t="shared" si="108"/>
        <v>0.2</v>
      </c>
      <c r="BI60" s="133">
        <f t="shared" si="108"/>
        <v>0.2</v>
      </c>
      <c r="BJ60" s="133">
        <f t="shared" si="108"/>
        <v>0.2</v>
      </c>
      <c r="BK60" s="133">
        <f t="shared" si="108"/>
        <v>0.2</v>
      </c>
      <c r="BL60" s="133">
        <f t="shared" si="108"/>
        <v>0.2</v>
      </c>
      <c r="BM60" s="133">
        <f t="shared" si="108"/>
        <v>0.2</v>
      </c>
      <c r="BN60" s="133">
        <f t="shared" si="108"/>
        <v>0.2</v>
      </c>
      <c r="BO60" s="133">
        <f t="shared" si="108"/>
        <v>0.2</v>
      </c>
      <c r="BP60" s="133">
        <f t="shared" si="108"/>
        <v>0.2</v>
      </c>
      <c r="BQ60" s="133">
        <f t="shared" si="108"/>
        <v>0.2</v>
      </c>
      <c r="BR60" s="133">
        <f t="shared" si="108"/>
        <v>0.2</v>
      </c>
      <c r="BS60" s="133">
        <f t="shared" ref="BS60:DA60" si="109">$F$44/BS55</f>
        <v>0.2</v>
      </c>
      <c r="BT60" s="133">
        <f t="shared" si="109"/>
        <v>0.2</v>
      </c>
      <c r="BU60" s="133">
        <f t="shared" si="109"/>
        <v>0.2</v>
      </c>
      <c r="BV60" s="133">
        <f t="shared" si="109"/>
        <v>0.2</v>
      </c>
      <c r="BW60" s="133">
        <f t="shared" si="109"/>
        <v>0.2</v>
      </c>
      <c r="BX60" s="133">
        <f t="shared" si="109"/>
        <v>0.2</v>
      </c>
      <c r="BY60" s="133">
        <f t="shared" si="109"/>
        <v>0.2</v>
      </c>
      <c r="BZ60" s="133">
        <f t="shared" si="109"/>
        <v>0.2</v>
      </c>
      <c r="CA60" s="133">
        <f t="shared" si="109"/>
        <v>0.2</v>
      </c>
      <c r="CB60" s="133">
        <f t="shared" si="109"/>
        <v>0.2</v>
      </c>
      <c r="CC60" s="133">
        <f t="shared" si="109"/>
        <v>0.2</v>
      </c>
      <c r="CD60" s="133">
        <f t="shared" si="109"/>
        <v>0.2</v>
      </c>
      <c r="CE60" s="133">
        <f t="shared" si="109"/>
        <v>0.2</v>
      </c>
      <c r="CF60" s="133">
        <f t="shared" si="109"/>
        <v>0.2</v>
      </c>
      <c r="CG60" s="133">
        <f t="shared" si="109"/>
        <v>0.2</v>
      </c>
      <c r="CH60" s="133">
        <f t="shared" si="109"/>
        <v>0.2</v>
      </c>
      <c r="CI60" s="133">
        <f t="shared" si="109"/>
        <v>0.2</v>
      </c>
      <c r="CJ60" s="133">
        <f t="shared" si="109"/>
        <v>0.2</v>
      </c>
      <c r="CK60" s="133">
        <f t="shared" si="109"/>
        <v>0.2</v>
      </c>
      <c r="CL60" s="133">
        <f t="shared" si="109"/>
        <v>0.2</v>
      </c>
      <c r="CM60" s="133">
        <f t="shared" si="109"/>
        <v>0.2</v>
      </c>
      <c r="CN60" s="133">
        <f t="shared" si="109"/>
        <v>0.2</v>
      </c>
      <c r="CO60" s="133">
        <f t="shared" si="109"/>
        <v>0.2</v>
      </c>
      <c r="CP60" s="133">
        <f t="shared" si="109"/>
        <v>0.2</v>
      </c>
      <c r="CQ60" s="133">
        <f t="shared" si="109"/>
        <v>0.2</v>
      </c>
      <c r="CR60" s="133">
        <f t="shared" si="109"/>
        <v>0.2</v>
      </c>
      <c r="CS60" s="133">
        <f t="shared" si="109"/>
        <v>0.2</v>
      </c>
      <c r="CT60" s="133">
        <f t="shared" si="109"/>
        <v>0.2</v>
      </c>
      <c r="CU60" s="133">
        <f t="shared" si="109"/>
        <v>0.2</v>
      </c>
      <c r="CV60" s="133">
        <f t="shared" si="109"/>
        <v>0.2</v>
      </c>
      <c r="CW60" s="133">
        <f t="shared" si="109"/>
        <v>0.2</v>
      </c>
      <c r="CX60" s="133">
        <f t="shared" si="109"/>
        <v>0.2</v>
      </c>
      <c r="CY60" s="133">
        <f t="shared" si="109"/>
        <v>0.2</v>
      </c>
      <c r="CZ60" s="133">
        <f t="shared" si="109"/>
        <v>0.2</v>
      </c>
      <c r="DA60" s="133">
        <f t="shared" si="109"/>
        <v>0.2</v>
      </c>
      <c r="DC60">
        <v>56</v>
      </c>
      <c r="DD60" s="84">
        <v>71.294857446490312</v>
      </c>
      <c r="DE60" s="84">
        <v>-30.043134094407971</v>
      </c>
      <c r="DF60" s="84">
        <v>-2.9510177242368796</v>
      </c>
      <c r="DG60" s="84">
        <v>70.744054864760585</v>
      </c>
      <c r="DH60" s="84">
        <v>-27.330366137391781</v>
      </c>
      <c r="DI60" s="84">
        <v>-2.9131538636976591</v>
      </c>
      <c r="DJ60" s="84">
        <v>2.7683798772185981</v>
      </c>
      <c r="DK60" s="84">
        <f t="shared" si="0"/>
        <v>7.6639271445888602</v>
      </c>
      <c r="DL60" s="84">
        <f t="shared" si="1"/>
        <v>3.2395045912009763</v>
      </c>
      <c r="DM60" s="84">
        <f t="shared" si="2"/>
        <v>185.60994078906904</v>
      </c>
      <c r="DN60" s="85">
        <v>4</v>
      </c>
      <c r="DO60">
        <v>7</v>
      </c>
      <c r="DP60">
        <f t="shared" si="88"/>
        <v>157.5</v>
      </c>
      <c r="DQ60" s="270">
        <v>-18.477590650225736</v>
      </c>
      <c r="DR60" s="270">
        <v>7.6536686473017976</v>
      </c>
    </row>
    <row r="61" spans="1:122">
      <c r="A61">
        <v>640</v>
      </c>
      <c r="B61" s="90">
        <f>'Color metric'!B55</f>
        <v>0.75022952971835399</v>
      </c>
      <c r="C61" s="82">
        <f>Reference!N61</f>
        <v>6.4175542286035236</v>
      </c>
      <c r="D61" s="82"/>
      <c r="E61" s="137" t="s">
        <v>131</v>
      </c>
      <c r="F61" s="133">
        <f>0.725*(1/F60)^0.2</f>
        <v>1.0003040045593807</v>
      </c>
      <c r="G61" s="133">
        <f t="shared" ref="G61:BR61" si="110">0.725*(1/G60)^0.2</f>
        <v>1.0003040045593807</v>
      </c>
      <c r="H61" s="133">
        <f t="shared" si="110"/>
        <v>1.0003040045593807</v>
      </c>
      <c r="I61" s="133">
        <f t="shared" si="110"/>
        <v>1.0003040045593807</v>
      </c>
      <c r="J61" s="133">
        <f t="shared" si="110"/>
        <v>1.0003040045593807</v>
      </c>
      <c r="K61" s="133">
        <f t="shared" si="110"/>
        <v>1.0003040045593807</v>
      </c>
      <c r="L61" s="133">
        <f t="shared" si="110"/>
        <v>1.0003040045593807</v>
      </c>
      <c r="M61" s="133">
        <f t="shared" si="110"/>
        <v>1.0003040045593807</v>
      </c>
      <c r="N61" s="133">
        <f t="shared" si="110"/>
        <v>1.0003040045593807</v>
      </c>
      <c r="O61" s="133">
        <f t="shared" si="110"/>
        <v>1.0003040045593807</v>
      </c>
      <c r="P61" s="133">
        <f t="shared" si="110"/>
        <v>1.0003040045593807</v>
      </c>
      <c r="Q61" s="133">
        <f t="shared" si="110"/>
        <v>1.0003040045593807</v>
      </c>
      <c r="R61" s="133">
        <f t="shared" si="110"/>
        <v>1.0003040045593807</v>
      </c>
      <c r="S61" s="133">
        <f t="shared" si="110"/>
        <v>1.0003040045593807</v>
      </c>
      <c r="T61" s="133">
        <f t="shared" si="110"/>
        <v>1.0003040045593807</v>
      </c>
      <c r="U61" s="133">
        <f t="shared" si="110"/>
        <v>1.0003040045593807</v>
      </c>
      <c r="V61" s="133">
        <f t="shared" si="110"/>
        <v>1.0003040045593807</v>
      </c>
      <c r="W61" s="133">
        <f t="shared" si="110"/>
        <v>1.0003040045593807</v>
      </c>
      <c r="X61" s="133">
        <f t="shared" si="110"/>
        <v>1.0003040045593807</v>
      </c>
      <c r="Y61" s="133">
        <f t="shared" si="110"/>
        <v>1.0003040045593807</v>
      </c>
      <c r="Z61" s="133">
        <f t="shared" si="110"/>
        <v>1.0003040045593807</v>
      </c>
      <c r="AA61" s="133">
        <f t="shared" si="110"/>
        <v>1.0003040045593807</v>
      </c>
      <c r="AB61" s="133">
        <f t="shared" si="110"/>
        <v>1.0003040045593807</v>
      </c>
      <c r="AC61" s="133">
        <f t="shared" si="110"/>
        <v>1.0003040045593807</v>
      </c>
      <c r="AD61" s="133">
        <f t="shared" si="110"/>
        <v>1.0003040045593807</v>
      </c>
      <c r="AE61" s="133">
        <f t="shared" si="110"/>
        <v>1.0003040045593807</v>
      </c>
      <c r="AF61" s="133">
        <f t="shared" si="110"/>
        <v>1.0003040045593807</v>
      </c>
      <c r="AG61" s="133">
        <f t="shared" si="110"/>
        <v>1.0003040045593807</v>
      </c>
      <c r="AH61" s="133">
        <f t="shared" si="110"/>
        <v>1.0003040045593807</v>
      </c>
      <c r="AI61" s="133">
        <f t="shared" si="110"/>
        <v>1.0003040045593807</v>
      </c>
      <c r="AJ61" s="133">
        <f t="shared" si="110"/>
        <v>1.0003040045593807</v>
      </c>
      <c r="AK61" s="133">
        <f t="shared" si="110"/>
        <v>1.0003040045593807</v>
      </c>
      <c r="AL61" s="133">
        <f t="shared" si="110"/>
        <v>1.0003040045593807</v>
      </c>
      <c r="AM61" s="133">
        <f t="shared" si="110"/>
        <v>1.0003040045593807</v>
      </c>
      <c r="AN61" s="133">
        <f t="shared" si="110"/>
        <v>1.0003040045593807</v>
      </c>
      <c r="AO61" s="133">
        <f t="shared" si="110"/>
        <v>1.0003040045593807</v>
      </c>
      <c r="AP61" s="133">
        <f t="shared" si="110"/>
        <v>1.0003040045593807</v>
      </c>
      <c r="AQ61" s="133">
        <f t="shared" si="110"/>
        <v>1.0003040045593807</v>
      </c>
      <c r="AR61" s="133">
        <f t="shared" si="110"/>
        <v>1.0003040045593807</v>
      </c>
      <c r="AS61" s="133">
        <f t="shared" si="110"/>
        <v>1.0003040045593807</v>
      </c>
      <c r="AT61" s="133">
        <f t="shared" si="110"/>
        <v>1.0003040045593807</v>
      </c>
      <c r="AU61" s="133">
        <f t="shared" si="110"/>
        <v>1.0003040045593807</v>
      </c>
      <c r="AV61" s="133">
        <f t="shared" si="110"/>
        <v>1.0003040045593807</v>
      </c>
      <c r="AW61" s="133">
        <f t="shared" si="110"/>
        <v>1.0003040045593807</v>
      </c>
      <c r="AX61" s="133">
        <f t="shared" si="110"/>
        <v>1.0003040045593807</v>
      </c>
      <c r="AY61" s="133">
        <f t="shared" si="110"/>
        <v>1.0003040045593807</v>
      </c>
      <c r="AZ61" s="133">
        <f t="shared" si="110"/>
        <v>1.0003040045593807</v>
      </c>
      <c r="BA61" s="133">
        <f t="shared" si="110"/>
        <v>1.0003040045593807</v>
      </c>
      <c r="BB61" s="133">
        <f t="shared" si="110"/>
        <v>1.0003040045593807</v>
      </c>
      <c r="BC61" s="133">
        <f t="shared" si="110"/>
        <v>1.0003040045593807</v>
      </c>
      <c r="BD61" s="133">
        <f t="shared" si="110"/>
        <v>1.0003040045593807</v>
      </c>
      <c r="BE61" s="133">
        <f t="shared" si="110"/>
        <v>1.0003040045593807</v>
      </c>
      <c r="BF61" s="133">
        <f t="shared" si="110"/>
        <v>1.0003040045593807</v>
      </c>
      <c r="BG61" s="133">
        <f t="shared" si="110"/>
        <v>1.0003040045593807</v>
      </c>
      <c r="BH61" s="133">
        <f t="shared" si="110"/>
        <v>1.0003040045593807</v>
      </c>
      <c r="BI61" s="133">
        <f t="shared" si="110"/>
        <v>1.0003040045593807</v>
      </c>
      <c r="BJ61" s="133">
        <f t="shared" si="110"/>
        <v>1.0003040045593807</v>
      </c>
      <c r="BK61" s="133">
        <f t="shared" si="110"/>
        <v>1.0003040045593807</v>
      </c>
      <c r="BL61" s="133">
        <f t="shared" si="110"/>
        <v>1.0003040045593807</v>
      </c>
      <c r="BM61" s="133">
        <f t="shared" si="110"/>
        <v>1.0003040045593807</v>
      </c>
      <c r="BN61" s="133">
        <f t="shared" si="110"/>
        <v>1.0003040045593807</v>
      </c>
      <c r="BO61" s="133">
        <f t="shared" si="110"/>
        <v>1.0003040045593807</v>
      </c>
      <c r="BP61" s="133">
        <f t="shared" si="110"/>
        <v>1.0003040045593807</v>
      </c>
      <c r="BQ61" s="133">
        <f t="shared" si="110"/>
        <v>1.0003040045593807</v>
      </c>
      <c r="BR61" s="133">
        <f t="shared" si="110"/>
        <v>1.0003040045593807</v>
      </c>
      <c r="BS61" s="133">
        <f t="shared" ref="BS61:DA61" si="111">0.725*(1/BS60)^0.2</f>
        <v>1.0003040045593807</v>
      </c>
      <c r="BT61" s="133">
        <f t="shared" si="111"/>
        <v>1.0003040045593807</v>
      </c>
      <c r="BU61" s="133">
        <f t="shared" si="111"/>
        <v>1.0003040045593807</v>
      </c>
      <c r="BV61" s="133">
        <f t="shared" si="111"/>
        <v>1.0003040045593807</v>
      </c>
      <c r="BW61" s="133">
        <f t="shared" si="111"/>
        <v>1.0003040045593807</v>
      </c>
      <c r="BX61" s="133">
        <f t="shared" si="111"/>
        <v>1.0003040045593807</v>
      </c>
      <c r="BY61" s="133">
        <f t="shared" si="111"/>
        <v>1.0003040045593807</v>
      </c>
      <c r="BZ61" s="133">
        <f t="shared" si="111"/>
        <v>1.0003040045593807</v>
      </c>
      <c r="CA61" s="133">
        <f t="shared" si="111"/>
        <v>1.0003040045593807</v>
      </c>
      <c r="CB61" s="133">
        <f t="shared" si="111"/>
        <v>1.0003040045593807</v>
      </c>
      <c r="CC61" s="133">
        <f t="shared" si="111"/>
        <v>1.0003040045593807</v>
      </c>
      <c r="CD61" s="133">
        <f t="shared" si="111"/>
        <v>1.0003040045593807</v>
      </c>
      <c r="CE61" s="133">
        <f t="shared" si="111"/>
        <v>1.0003040045593807</v>
      </c>
      <c r="CF61" s="133">
        <f t="shared" si="111"/>
        <v>1.0003040045593807</v>
      </c>
      <c r="CG61" s="133">
        <f t="shared" si="111"/>
        <v>1.0003040045593807</v>
      </c>
      <c r="CH61" s="133">
        <f t="shared" si="111"/>
        <v>1.0003040045593807</v>
      </c>
      <c r="CI61" s="133">
        <f t="shared" si="111"/>
        <v>1.0003040045593807</v>
      </c>
      <c r="CJ61" s="133">
        <f t="shared" si="111"/>
        <v>1.0003040045593807</v>
      </c>
      <c r="CK61" s="133">
        <f t="shared" si="111"/>
        <v>1.0003040045593807</v>
      </c>
      <c r="CL61" s="133">
        <f t="shared" si="111"/>
        <v>1.0003040045593807</v>
      </c>
      <c r="CM61" s="133">
        <f t="shared" si="111"/>
        <v>1.0003040045593807</v>
      </c>
      <c r="CN61" s="133">
        <f t="shared" si="111"/>
        <v>1.0003040045593807</v>
      </c>
      <c r="CO61" s="133">
        <f t="shared" si="111"/>
        <v>1.0003040045593807</v>
      </c>
      <c r="CP61" s="133">
        <f t="shared" si="111"/>
        <v>1.0003040045593807</v>
      </c>
      <c r="CQ61" s="133">
        <f t="shared" si="111"/>
        <v>1.0003040045593807</v>
      </c>
      <c r="CR61" s="133">
        <f t="shared" si="111"/>
        <v>1.0003040045593807</v>
      </c>
      <c r="CS61" s="133">
        <f t="shared" si="111"/>
        <v>1.0003040045593807</v>
      </c>
      <c r="CT61" s="133">
        <f t="shared" si="111"/>
        <v>1.0003040045593807</v>
      </c>
      <c r="CU61" s="133">
        <f t="shared" si="111"/>
        <v>1.0003040045593807</v>
      </c>
      <c r="CV61" s="133">
        <f t="shared" si="111"/>
        <v>1.0003040045593807</v>
      </c>
      <c r="CW61" s="133">
        <f t="shared" si="111"/>
        <v>1.0003040045593807</v>
      </c>
      <c r="CX61" s="133">
        <f t="shared" si="111"/>
        <v>1.0003040045593807</v>
      </c>
      <c r="CY61" s="133">
        <f t="shared" si="111"/>
        <v>1.0003040045593807</v>
      </c>
      <c r="CZ61" s="133">
        <f t="shared" si="111"/>
        <v>1.0003040045593807</v>
      </c>
      <c r="DA61" s="133">
        <f t="shared" si="111"/>
        <v>1.0003040045593807</v>
      </c>
      <c r="DC61">
        <v>57</v>
      </c>
      <c r="DD61" s="84">
        <v>57.843066492605203</v>
      </c>
      <c r="DE61" s="84">
        <v>-31.744832783869111</v>
      </c>
      <c r="DF61" s="84">
        <v>-3.2187263909015416</v>
      </c>
      <c r="DG61" s="84">
        <v>57.122874946077296</v>
      </c>
      <c r="DH61" s="84">
        <v>-28.904618552231504</v>
      </c>
      <c r="DI61" s="84">
        <v>-3.4245234437711192</v>
      </c>
      <c r="DJ61" s="84">
        <v>2.9373193854698303</v>
      </c>
      <c r="DK61" s="84">
        <f t="shared" si="0"/>
        <v>8.6278451722568619</v>
      </c>
      <c r="DL61" s="84">
        <f t="shared" si="1"/>
        <v>3.2426410263814014</v>
      </c>
      <c r="DM61" s="84">
        <f t="shared" si="2"/>
        <v>185.78964528762376</v>
      </c>
      <c r="DN61" s="85">
        <v>4</v>
      </c>
      <c r="DO61">
        <v>3</v>
      </c>
      <c r="DP61">
        <f t="shared" si="88"/>
        <v>157.5</v>
      </c>
      <c r="DQ61" s="270">
        <v>-18.477590650225736</v>
      </c>
      <c r="DR61" s="270">
        <v>7.6536686473017976</v>
      </c>
    </row>
    <row r="62" spans="1:122">
      <c r="A62">
        <v>645</v>
      </c>
      <c r="B62" s="90">
        <f>'Color metric'!B56</f>
        <v>0.69795008845549134</v>
      </c>
      <c r="C62" s="82">
        <f>Reference!N62</f>
        <v>6.5090404358692204</v>
      </c>
      <c r="D62" s="82"/>
      <c r="E62" s="137" t="s">
        <v>132</v>
      </c>
      <c r="F62" s="133">
        <f>0.725*(1/F60)^0.2</f>
        <v>1.0003040045593807</v>
      </c>
      <c r="G62" s="133">
        <f t="shared" ref="G62:BR62" si="112">0.725*(1/G60)^0.2</f>
        <v>1.0003040045593807</v>
      </c>
      <c r="H62" s="133">
        <f t="shared" si="112"/>
        <v>1.0003040045593807</v>
      </c>
      <c r="I62" s="133">
        <f t="shared" si="112"/>
        <v>1.0003040045593807</v>
      </c>
      <c r="J62" s="133">
        <f t="shared" si="112"/>
        <v>1.0003040045593807</v>
      </c>
      <c r="K62" s="133">
        <f t="shared" si="112"/>
        <v>1.0003040045593807</v>
      </c>
      <c r="L62" s="133">
        <f t="shared" si="112"/>
        <v>1.0003040045593807</v>
      </c>
      <c r="M62" s="133">
        <f t="shared" si="112"/>
        <v>1.0003040045593807</v>
      </c>
      <c r="N62" s="133">
        <f t="shared" si="112"/>
        <v>1.0003040045593807</v>
      </c>
      <c r="O62" s="133">
        <f t="shared" si="112"/>
        <v>1.0003040045593807</v>
      </c>
      <c r="P62" s="133">
        <f t="shared" si="112"/>
        <v>1.0003040045593807</v>
      </c>
      <c r="Q62" s="133">
        <f t="shared" si="112"/>
        <v>1.0003040045593807</v>
      </c>
      <c r="R62" s="133">
        <f t="shared" si="112"/>
        <v>1.0003040045593807</v>
      </c>
      <c r="S62" s="133">
        <f t="shared" si="112"/>
        <v>1.0003040045593807</v>
      </c>
      <c r="T62" s="133">
        <f t="shared" si="112"/>
        <v>1.0003040045593807</v>
      </c>
      <c r="U62" s="133">
        <f t="shared" si="112"/>
        <v>1.0003040045593807</v>
      </c>
      <c r="V62" s="133">
        <f t="shared" si="112"/>
        <v>1.0003040045593807</v>
      </c>
      <c r="W62" s="133">
        <f t="shared" si="112"/>
        <v>1.0003040045593807</v>
      </c>
      <c r="X62" s="133">
        <f t="shared" si="112"/>
        <v>1.0003040045593807</v>
      </c>
      <c r="Y62" s="133">
        <f t="shared" si="112"/>
        <v>1.0003040045593807</v>
      </c>
      <c r="Z62" s="133">
        <f t="shared" si="112"/>
        <v>1.0003040045593807</v>
      </c>
      <c r="AA62" s="133">
        <f t="shared" si="112"/>
        <v>1.0003040045593807</v>
      </c>
      <c r="AB62" s="133">
        <f t="shared" si="112"/>
        <v>1.0003040045593807</v>
      </c>
      <c r="AC62" s="133">
        <f t="shared" si="112"/>
        <v>1.0003040045593807</v>
      </c>
      <c r="AD62" s="133">
        <f t="shared" si="112"/>
        <v>1.0003040045593807</v>
      </c>
      <c r="AE62" s="133">
        <f t="shared" si="112"/>
        <v>1.0003040045593807</v>
      </c>
      <c r="AF62" s="133">
        <f t="shared" si="112"/>
        <v>1.0003040045593807</v>
      </c>
      <c r="AG62" s="133">
        <f t="shared" si="112"/>
        <v>1.0003040045593807</v>
      </c>
      <c r="AH62" s="133">
        <f t="shared" si="112"/>
        <v>1.0003040045593807</v>
      </c>
      <c r="AI62" s="133">
        <f t="shared" si="112"/>
        <v>1.0003040045593807</v>
      </c>
      <c r="AJ62" s="133">
        <f t="shared" si="112"/>
        <v>1.0003040045593807</v>
      </c>
      <c r="AK62" s="133">
        <f t="shared" si="112"/>
        <v>1.0003040045593807</v>
      </c>
      <c r="AL62" s="133">
        <f t="shared" si="112"/>
        <v>1.0003040045593807</v>
      </c>
      <c r="AM62" s="133">
        <f t="shared" si="112"/>
        <v>1.0003040045593807</v>
      </c>
      <c r="AN62" s="133">
        <f t="shared" si="112"/>
        <v>1.0003040045593807</v>
      </c>
      <c r="AO62" s="133">
        <f t="shared" si="112"/>
        <v>1.0003040045593807</v>
      </c>
      <c r="AP62" s="133">
        <f t="shared" si="112"/>
        <v>1.0003040045593807</v>
      </c>
      <c r="AQ62" s="133">
        <f t="shared" si="112"/>
        <v>1.0003040045593807</v>
      </c>
      <c r="AR62" s="133">
        <f t="shared" si="112"/>
        <v>1.0003040045593807</v>
      </c>
      <c r="AS62" s="133">
        <f t="shared" si="112"/>
        <v>1.0003040045593807</v>
      </c>
      <c r="AT62" s="133">
        <f t="shared" si="112"/>
        <v>1.0003040045593807</v>
      </c>
      <c r="AU62" s="133">
        <f t="shared" si="112"/>
        <v>1.0003040045593807</v>
      </c>
      <c r="AV62" s="133">
        <f t="shared" si="112"/>
        <v>1.0003040045593807</v>
      </c>
      <c r="AW62" s="133">
        <f t="shared" si="112"/>
        <v>1.0003040045593807</v>
      </c>
      <c r="AX62" s="133">
        <f t="shared" si="112"/>
        <v>1.0003040045593807</v>
      </c>
      <c r="AY62" s="133">
        <f t="shared" si="112"/>
        <v>1.0003040045593807</v>
      </c>
      <c r="AZ62" s="133">
        <f t="shared" si="112"/>
        <v>1.0003040045593807</v>
      </c>
      <c r="BA62" s="133">
        <f t="shared" si="112"/>
        <v>1.0003040045593807</v>
      </c>
      <c r="BB62" s="133">
        <f t="shared" si="112"/>
        <v>1.0003040045593807</v>
      </c>
      <c r="BC62" s="133">
        <f t="shared" si="112"/>
        <v>1.0003040045593807</v>
      </c>
      <c r="BD62" s="133">
        <f t="shared" si="112"/>
        <v>1.0003040045593807</v>
      </c>
      <c r="BE62" s="133">
        <f t="shared" si="112"/>
        <v>1.0003040045593807</v>
      </c>
      <c r="BF62" s="133">
        <f t="shared" si="112"/>
        <v>1.0003040045593807</v>
      </c>
      <c r="BG62" s="133">
        <f t="shared" si="112"/>
        <v>1.0003040045593807</v>
      </c>
      <c r="BH62" s="133">
        <f t="shared" si="112"/>
        <v>1.0003040045593807</v>
      </c>
      <c r="BI62" s="133">
        <f t="shared" si="112"/>
        <v>1.0003040045593807</v>
      </c>
      <c r="BJ62" s="133">
        <f t="shared" si="112"/>
        <v>1.0003040045593807</v>
      </c>
      <c r="BK62" s="133">
        <f t="shared" si="112"/>
        <v>1.0003040045593807</v>
      </c>
      <c r="BL62" s="133">
        <f t="shared" si="112"/>
        <v>1.0003040045593807</v>
      </c>
      <c r="BM62" s="133">
        <f t="shared" si="112"/>
        <v>1.0003040045593807</v>
      </c>
      <c r="BN62" s="133">
        <f t="shared" si="112"/>
        <v>1.0003040045593807</v>
      </c>
      <c r="BO62" s="133">
        <f t="shared" si="112"/>
        <v>1.0003040045593807</v>
      </c>
      <c r="BP62" s="133">
        <f t="shared" si="112"/>
        <v>1.0003040045593807</v>
      </c>
      <c r="BQ62" s="133">
        <f t="shared" si="112"/>
        <v>1.0003040045593807</v>
      </c>
      <c r="BR62" s="133">
        <f t="shared" si="112"/>
        <v>1.0003040045593807</v>
      </c>
      <c r="BS62" s="133">
        <f t="shared" ref="BS62:DA62" si="113">0.725*(1/BS60)^0.2</f>
        <v>1.0003040045593807</v>
      </c>
      <c r="BT62" s="133">
        <f t="shared" si="113"/>
        <v>1.0003040045593807</v>
      </c>
      <c r="BU62" s="133">
        <f t="shared" si="113"/>
        <v>1.0003040045593807</v>
      </c>
      <c r="BV62" s="133">
        <f t="shared" si="113"/>
        <v>1.0003040045593807</v>
      </c>
      <c r="BW62" s="133">
        <f t="shared" si="113"/>
        <v>1.0003040045593807</v>
      </c>
      <c r="BX62" s="133">
        <f t="shared" si="113"/>
        <v>1.0003040045593807</v>
      </c>
      <c r="BY62" s="133">
        <f t="shared" si="113"/>
        <v>1.0003040045593807</v>
      </c>
      <c r="BZ62" s="133">
        <f t="shared" si="113"/>
        <v>1.0003040045593807</v>
      </c>
      <c r="CA62" s="133">
        <f t="shared" si="113"/>
        <v>1.0003040045593807</v>
      </c>
      <c r="CB62" s="133">
        <f t="shared" si="113"/>
        <v>1.0003040045593807</v>
      </c>
      <c r="CC62" s="133">
        <f t="shared" si="113"/>
        <v>1.0003040045593807</v>
      </c>
      <c r="CD62" s="133">
        <f t="shared" si="113"/>
        <v>1.0003040045593807</v>
      </c>
      <c r="CE62" s="133">
        <f t="shared" si="113"/>
        <v>1.0003040045593807</v>
      </c>
      <c r="CF62" s="133">
        <f t="shared" si="113"/>
        <v>1.0003040045593807</v>
      </c>
      <c r="CG62" s="133">
        <f t="shared" si="113"/>
        <v>1.0003040045593807</v>
      </c>
      <c r="CH62" s="133">
        <f t="shared" si="113"/>
        <v>1.0003040045593807</v>
      </c>
      <c r="CI62" s="133">
        <f t="shared" si="113"/>
        <v>1.0003040045593807</v>
      </c>
      <c r="CJ62" s="133">
        <f t="shared" si="113"/>
        <v>1.0003040045593807</v>
      </c>
      <c r="CK62" s="133">
        <f t="shared" si="113"/>
        <v>1.0003040045593807</v>
      </c>
      <c r="CL62" s="133">
        <f t="shared" si="113"/>
        <v>1.0003040045593807</v>
      </c>
      <c r="CM62" s="133">
        <f t="shared" si="113"/>
        <v>1.0003040045593807</v>
      </c>
      <c r="CN62" s="133">
        <f t="shared" si="113"/>
        <v>1.0003040045593807</v>
      </c>
      <c r="CO62" s="133">
        <f t="shared" si="113"/>
        <v>1.0003040045593807</v>
      </c>
      <c r="CP62" s="133">
        <f t="shared" si="113"/>
        <v>1.0003040045593807</v>
      </c>
      <c r="CQ62" s="133">
        <f t="shared" si="113"/>
        <v>1.0003040045593807</v>
      </c>
      <c r="CR62" s="133">
        <f t="shared" si="113"/>
        <v>1.0003040045593807</v>
      </c>
      <c r="CS62" s="133">
        <f t="shared" si="113"/>
        <v>1.0003040045593807</v>
      </c>
      <c r="CT62" s="133">
        <f t="shared" si="113"/>
        <v>1.0003040045593807</v>
      </c>
      <c r="CU62" s="133">
        <f t="shared" si="113"/>
        <v>1.0003040045593807</v>
      </c>
      <c r="CV62" s="133">
        <f t="shared" si="113"/>
        <v>1.0003040045593807</v>
      </c>
      <c r="CW62" s="133">
        <f t="shared" si="113"/>
        <v>1.0003040045593807</v>
      </c>
      <c r="CX62" s="133">
        <f t="shared" si="113"/>
        <v>1.0003040045593807</v>
      </c>
      <c r="CY62" s="133">
        <f t="shared" si="113"/>
        <v>1.0003040045593807</v>
      </c>
      <c r="CZ62" s="133">
        <f t="shared" si="113"/>
        <v>1.0003040045593807</v>
      </c>
      <c r="DA62" s="133">
        <f t="shared" si="113"/>
        <v>1.0003040045593807</v>
      </c>
      <c r="DC62">
        <v>58</v>
      </c>
      <c r="DD62" s="84">
        <v>54.14256372994182</v>
      </c>
      <c r="DE62" s="84">
        <v>-31.347115496415498</v>
      </c>
      <c r="DF62" s="84">
        <v>-5.3819120377214169</v>
      </c>
      <c r="DG62" s="84">
        <v>53.351043306035457</v>
      </c>
      <c r="DH62" s="84">
        <v>-28.605931873500445</v>
      </c>
      <c r="DI62" s="84">
        <v>-5.7856062286217318</v>
      </c>
      <c r="DJ62" s="84">
        <v>2.8815900533846346</v>
      </c>
      <c r="DK62" s="84">
        <f t="shared" si="0"/>
        <v>8.3035612357652617</v>
      </c>
      <c r="DL62" s="84">
        <f t="shared" si="1"/>
        <v>3.3116225816577343</v>
      </c>
      <c r="DM62" s="84">
        <f t="shared" si="2"/>
        <v>189.741997269206</v>
      </c>
      <c r="DN62" s="85">
        <v>5</v>
      </c>
      <c r="DO62">
        <v>4</v>
      </c>
      <c r="DP62">
        <f t="shared" si="88"/>
        <v>202.5</v>
      </c>
      <c r="DQ62" s="270">
        <v>-18.477590650225736</v>
      </c>
      <c r="DR62" s="270">
        <v>-7.6536686473017932</v>
      </c>
    </row>
    <row r="63" spans="1:122">
      <c r="A63">
        <v>650</v>
      </c>
      <c r="B63" s="90">
        <f>'Color metric'!B57</f>
        <v>0.64430444475501958</v>
      </c>
      <c r="C63" s="82">
        <f>Reference!N63</f>
        <v>6.5984462044166099</v>
      </c>
      <c r="D63" s="82"/>
      <c r="E63" s="137" t="s">
        <v>133</v>
      </c>
      <c r="F63" s="133">
        <f>1.48+F60^(1/2)</f>
        <v>1.9272135954999579</v>
      </c>
      <c r="G63" s="133">
        <f t="shared" ref="G63:BR63" si="114">1.48+G60^(1/2)</f>
        <v>1.9272135954999579</v>
      </c>
      <c r="H63" s="133">
        <f t="shared" si="114"/>
        <v>1.9272135954999579</v>
      </c>
      <c r="I63" s="133">
        <f t="shared" si="114"/>
        <v>1.9272135954999579</v>
      </c>
      <c r="J63" s="133">
        <f t="shared" si="114"/>
        <v>1.9272135954999579</v>
      </c>
      <c r="K63" s="133">
        <f t="shared" si="114"/>
        <v>1.9272135954999579</v>
      </c>
      <c r="L63" s="133">
        <f t="shared" si="114"/>
        <v>1.9272135954999579</v>
      </c>
      <c r="M63" s="133">
        <f t="shared" si="114"/>
        <v>1.9272135954999579</v>
      </c>
      <c r="N63" s="133">
        <f t="shared" si="114"/>
        <v>1.9272135954999579</v>
      </c>
      <c r="O63" s="133">
        <f t="shared" si="114"/>
        <v>1.9272135954999579</v>
      </c>
      <c r="P63" s="133">
        <f t="shared" si="114"/>
        <v>1.9272135954999579</v>
      </c>
      <c r="Q63" s="133">
        <f t="shared" si="114"/>
        <v>1.9272135954999579</v>
      </c>
      <c r="R63" s="133">
        <f t="shared" si="114"/>
        <v>1.9272135954999579</v>
      </c>
      <c r="S63" s="133">
        <f t="shared" si="114"/>
        <v>1.9272135954999579</v>
      </c>
      <c r="T63" s="133">
        <f t="shared" si="114"/>
        <v>1.9272135954999579</v>
      </c>
      <c r="U63" s="133">
        <f t="shared" si="114"/>
        <v>1.9272135954999579</v>
      </c>
      <c r="V63" s="133">
        <f t="shared" si="114"/>
        <v>1.9272135954999579</v>
      </c>
      <c r="W63" s="133">
        <f t="shared" si="114"/>
        <v>1.9272135954999579</v>
      </c>
      <c r="X63" s="133">
        <f t="shared" si="114"/>
        <v>1.9272135954999579</v>
      </c>
      <c r="Y63" s="133">
        <f t="shared" si="114"/>
        <v>1.9272135954999579</v>
      </c>
      <c r="Z63" s="133">
        <f t="shared" si="114"/>
        <v>1.9272135954999579</v>
      </c>
      <c r="AA63" s="133">
        <f t="shared" si="114"/>
        <v>1.9272135954999579</v>
      </c>
      <c r="AB63" s="133">
        <f t="shared" si="114"/>
        <v>1.9272135954999579</v>
      </c>
      <c r="AC63" s="133">
        <f t="shared" si="114"/>
        <v>1.9272135954999579</v>
      </c>
      <c r="AD63" s="133">
        <f t="shared" si="114"/>
        <v>1.9272135954999579</v>
      </c>
      <c r="AE63" s="133">
        <f t="shared" si="114"/>
        <v>1.9272135954999579</v>
      </c>
      <c r="AF63" s="133">
        <f t="shared" si="114"/>
        <v>1.9272135954999579</v>
      </c>
      <c r="AG63" s="133">
        <f t="shared" si="114"/>
        <v>1.9272135954999579</v>
      </c>
      <c r="AH63" s="133">
        <f t="shared" si="114"/>
        <v>1.9272135954999579</v>
      </c>
      <c r="AI63" s="133">
        <f t="shared" si="114"/>
        <v>1.9272135954999579</v>
      </c>
      <c r="AJ63" s="133">
        <f t="shared" si="114"/>
        <v>1.9272135954999579</v>
      </c>
      <c r="AK63" s="133">
        <f t="shared" si="114"/>
        <v>1.9272135954999579</v>
      </c>
      <c r="AL63" s="133">
        <f t="shared" si="114"/>
        <v>1.9272135954999579</v>
      </c>
      <c r="AM63" s="133">
        <f t="shared" si="114"/>
        <v>1.9272135954999579</v>
      </c>
      <c r="AN63" s="133">
        <f t="shared" si="114"/>
        <v>1.9272135954999579</v>
      </c>
      <c r="AO63" s="133">
        <f t="shared" si="114"/>
        <v>1.9272135954999579</v>
      </c>
      <c r="AP63" s="133">
        <f t="shared" si="114"/>
        <v>1.9272135954999579</v>
      </c>
      <c r="AQ63" s="133">
        <f t="shared" si="114"/>
        <v>1.9272135954999579</v>
      </c>
      <c r="AR63" s="133">
        <f t="shared" si="114"/>
        <v>1.9272135954999579</v>
      </c>
      <c r="AS63" s="133">
        <f t="shared" si="114"/>
        <v>1.9272135954999579</v>
      </c>
      <c r="AT63" s="133">
        <f t="shared" si="114"/>
        <v>1.9272135954999579</v>
      </c>
      <c r="AU63" s="133">
        <f t="shared" si="114"/>
        <v>1.9272135954999579</v>
      </c>
      <c r="AV63" s="133">
        <f t="shared" si="114"/>
        <v>1.9272135954999579</v>
      </c>
      <c r="AW63" s="133">
        <f t="shared" si="114"/>
        <v>1.9272135954999579</v>
      </c>
      <c r="AX63" s="133">
        <f t="shared" si="114"/>
        <v>1.9272135954999579</v>
      </c>
      <c r="AY63" s="133">
        <f t="shared" si="114"/>
        <v>1.9272135954999579</v>
      </c>
      <c r="AZ63" s="133">
        <f t="shared" si="114"/>
        <v>1.9272135954999579</v>
      </c>
      <c r="BA63" s="133">
        <f t="shared" si="114"/>
        <v>1.9272135954999579</v>
      </c>
      <c r="BB63" s="133">
        <f t="shared" si="114"/>
        <v>1.9272135954999579</v>
      </c>
      <c r="BC63" s="133">
        <f t="shared" si="114"/>
        <v>1.9272135954999579</v>
      </c>
      <c r="BD63" s="133">
        <f t="shared" si="114"/>
        <v>1.9272135954999579</v>
      </c>
      <c r="BE63" s="133">
        <f t="shared" si="114"/>
        <v>1.9272135954999579</v>
      </c>
      <c r="BF63" s="133">
        <f t="shared" si="114"/>
        <v>1.9272135954999579</v>
      </c>
      <c r="BG63" s="133">
        <f t="shared" si="114"/>
        <v>1.9272135954999579</v>
      </c>
      <c r="BH63" s="133">
        <f t="shared" si="114"/>
        <v>1.9272135954999579</v>
      </c>
      <c r="BI63" s="133">
        <f t="shared" si="114"/>
        <v>1.9272135954999579</v>
      </c>
      <c r="BJ63" s="133">
        <f t="shared" si="114"/>
        <v>1.9272135954999579</v>
      </c>
      <c r="BK63" s="133">
        <f t="shared" si="114"/>
        <v>1.9272135954999579</v>
      </c>
      <c r="BL63" s="133">
        <f t="shared" si="114"/>
        <v>1.9272135954999579</v>
      </c>
      <c r="BM63" s="133">
        <f t="shared" si="114"/>
        <v>1.9272135954999579</v>
      </c>
      <c r="BN63" s="133">
        <f t="shared" si="114"/>
        <v>1.9272135954999579</v>
      </c>
      <c r="BO63" s="133">
        <f t="shared" si="114"/>
        <v>1.9272135954999579</v>
      </c>
      <c r="BP63" s="133">
        <f t="shared" si="114"/>
        <v>1.9272135954999579</v>
      </c>
      <c r="BQ63" s="133">
        <f t="shared" si="114"/>
        <v>1.9272135954999579</v>
      </c>
      <c r="BR63" s="133">
        <f t="shared" si="114"/>
        <v>1.9272135954999579</v>
      </c>
      <c r="BS63" s="133">
        <f t="shared" ref="BS63:DA63" si="115">1.48+BS60^(1/2)</f>
        <v>1.9272135954999579</v>
      </c>
      <c r="BT63" s="133">
        <f t="shared" si="115"/>
        <v>1.9272135954999579</v>
      </c>
      <c r="BU63" s="133">
        <f t="shared" si="115"/>
        <v>1.9272135954999579</v>
      </c>
      <c r="BV63" s="133">
        <f t="shared" si="115"/>
        <v>1.9272135954999579</v>
      </c>
      <c r="BW63" s="133">
        <f t="shared" si="115"/>
        <v>1.9272135954999579</v>
      </c>
      <c r="BX63" s="133">
        <f t="shared" si="115"/>
        <v>1.9272135954999579</v>
      </c>
      <c r="BY63" s="133">
        <f t="shared" si="115"/>
        <v>1.9272135954999579</v>
      </c>
      <c r="BZ63" s="133">
        <f t="shared" si="115"/>
        <v>1.9272135954999579</v>
      </c>
      <c r="CA63" s="133">
        <f t="shared" si="115"/>
        <v>1.9272135954999579</v>
      </c>
      <c r="CB63" s="133">
        <f t="shared" si="115"/>
        <v>1.9272135954999579</v>
      </c>
      <c r="CC63" s="133">
        <f t="shared" si="115"/>
        <v>1.9272135954999579</v>
      </c>
      <c r="CD63" s="133">
        <f t="shared" si="115"/>
        <v>1.9272135954999579</v>
      </c>
      <c r="CE63" s="133">
        <f t="shared" si="115"/>
        <v>1.9272135954999579</v>
      </c>
      <c r="CF63" s="133">
        <f t="shared" si="115"/>
        <v>1.9272135954999579</v>
      </c>
      <c r="CG63" s="133">
        <f t="shared" si="115"/>
        <v>1.9272135954999579</v>
      </c>
      <c r="CH63" s="133">
        <f t="shared" si="115"/>
        <v>1.9272135954999579</v>
      </c>
      <c r="CI63" s="133">
        <f t="shared" si="115"/>
        <v>1.9272135954999579</v>
      </c>
      <c r="CJ63" s="133">
        <f t="shared" si="115"/>
        <v>1.9272135954999579</v>
      </c>
      <c r="CK63" s="133">
        <f t="shared" si="115"/>
        <v>1.9272135954999579</v>
      </c>
      <c r="CL63" s="133">
        <f t="shared" si="115"/>
        <v>1.9272135954999579</v>
      </c>
      <c r="CM63" s="133">
        <f t="shared" si="115"/>
        <v>1.9272135954999579</v>
      </c>
      <c r="CN63" s="133">
        <f t="shared" si="115"/>
        <v>1.9272135954999579</v>
      </c>
      <c r="CO63" s="133">
        <f t="shared" si="115"/>
        <v>1.9272135954999579</v>
      </c>
      <c r="CP63" s="133">
        <f t="shared" si="115"/>
        <v>1.9272135954999579</v>
      </c>
      <c r="CQ63" s="133">
        <f t="shared" si="115"/>
        <v>1.9272135954999579</v>
      </c>
      <c r="CR63" s="133">
        <f t="shared" si="115"/>
        <v>1.9272135954999579</v>
      </c>
      <c r="CS63" s="133">
        <f t="shared" si="115"/>
        <v>1.9272135954999579</v>
      </c>
      <c r="CT63" s="133">
        <f t="shared" si="115"/>
        <v>1.9272135954999579</v>
      </c>
      <c r="CU63" s="133">
        <f t="shared" si="115"/>
        <v>1.9272135954999579</v>
      </c>
      <c r="CV63" s="133">
        <f t="shared" si="115"/>
        <v>1.9272135954999579</v>
      </c>
      <c r="CW63" s="133">
        <f t="shared" si="115"/>
        <v>1.9272135954999579</v>
      </c>
      <c r="CX63" s="133">
        <f t="shared" si="115"/>
        <v>1.9272135954999579</v>
      </c>
      <c r="CY63" s="133">
        <f t="shared" si="115"/>
        <v>1.9272135954999579</v>
      </c>
      <c r="CZ63" s="133">
        <f t="shared" si="115"/>
        <v>1.9272135954999579</v>
      </c>
      <c r="DA63" s="133">
        <f t="shared" si="115"/>
        <v>1.9272135954999579</v>
      </c>
      <c r="DC63">
        <v>59</v>
      </c>
      <c r="DD63" s="84">
        <v>87.011602249537845</v>
      </c>
      <c r="DE63" s="84">
        <v>-15.839994824588887</v>
      </c>
      <c r="DF63" s="84">
        <v>-2.8567934913142987</v>
      </c>
      <c r="DG63" s="84">
        <v>86.814172587531218</v>
      </c>
      <c r="DH63" s="84">
        <v>-14.173438470285973</v>
      </c>
      <c r="DI63" s="84">
        <v>-3.1653519346363868</v>
      </c>
      <c r="DJ63" s="84">
        <v>1.706340196576527</v>
      </c>
      <c r="DK63" s="84">
        <f t="shared" si="0"/>
        <v>2.9115968664528209</v>
      </c>
      <c r="DL63" s="84">
        <f t="shared" si="1"/>
        <v>3.3200276701024944</v>
      </c>
      <c r="DM63" s="84">
        <f t="shared" si="2"/>
        <v>190.22357336352493</v>
      </c>
      <c r="DN63" s="85">
        <v>5</v>
      </c>
      <c r="DO63">
        <v>5</v>
      </c>
      <c r="DP63">
        <f t="shared" si="88"/>
        <v>202.5</v>
      </c>
      <c r="DQ63" s="270">
        <v>-18.477590650225736</v>
      </c>
      <c r="DR63" s="270">
        <v>-7.6536686473017932</v>
      </c>
    </row>
    <row r="64" spans="1:122">
      <c r="A64">
        <v>655</v>
      </c>
      <c r="B64" s="90">
        <f>'Color metric'!B58</f>
        <v>0.59120222539010536</v>
      </c>
      <c r="C64" s="82">
        <f>Reference!N64</f>
        <v>6.6857449980050321</v>
      </c>
      <c r="D64" s="82"/>
      <c r="E64" s="137" t="s">
        <v>134</v>
      </c>
      <c r="F64" s="133">
        <f t="array" ref="F64:F66">MMULT($I$43:$K$45,F51:F53)</f>
        <v>113.44299858915247</v>
      </c>
      <c r="G64" s="133">
        <f t="array" ref="G64:G66">MMULT($I$43:$K$45,G51:G53)</f>
        <v>78.032921255451498</v>
      </c>
      <c r="H64" s="133">
        <f t="array" ref="H64:H66">MMULT($I$43:$K$45,H51:H53)</f>
        <v>39.607734983724541</v>
      </c>
      <c r="I64" s="133">
        <f t="array" ref="I64:I66">MMULT($I$43:$K$45,I51:I53)</f>
        <v>7.8965913628547577</v>
      </c>
      <c r="J64" s="133">
        <f t="array" ref="J64:J66">MMULT($I$43:$K$45,J51:J53)</f>
        <v>47.141465015284091</v>
      </c>
      <c r="K64" s="133">
        <f t="array" ref="K64:K66">MMULT($I$43:$K$45,K51:K53)</f>
        <v>26.020906778573959</v>
      </c>
      <c r="L64" s="133">
        <f t="array" ref="L64:L66">MMULT($I$43:$K$45,L51:L53)</f>
        <v>22.562280178184896</v>
      </c>
      <c r="M64" s="133">
        <f t="array" ref="M64:M66">MMULT($I$43:$K$45,M51:M53)</f>
        <v>18.376181444777021</v>
      </c>
      <c r="N64" s="133">
        <f t="array" ref="N64:N66">MMULT($I$43:$K$45,N51:N53)</f>
        <v>17.149989234136797</v>
      </c>
      <c r="O64" s="133">
        <f t="array" ref="O64:O66">MMULT($I$43:$K$45,O51:O53)</f>
        <v>5.8323022222511218</v>
      </c>
      <c r="P64" s="133">
        <f t="array" ref="P64:P66">MMULT($I$43:$K$45,P51:P53)</f>
        <v>64.290199497808288</v>
      </c>
      <c r="Q64" s="133">
        <f t="array" ref="Q64:Q66">MMULT($I$43:$K$45,Q51:Q53)</f>
        <v>34.790720908901385</v>
      </c>
      <c r="R64" s="133">
        <f t="array" ref="R64:R66">MMULT($I$43:$K$45,R51:R53)</f>
        <v>44.838265842851463</v>
      </c>
      <c r="S64" s="133">
        <f t="array" ref="S64:S66">MMULT($I$43:$K$45,S51:S53)</f>
        <v>16.742824074391677</v>
      </c>
      <c r="T64" s="133">
        <f t="array" ref="T64:T66">MMULT($I$43:$K$45,T51:T53)</f>
        <v>50.462175563582115</v>
      </c>
      <c r="U64" s="133">
        <f t="array" ref="U64:U66">MMULT($I$43:$K$45,U51:U53)</f>
        <v>48.753099216214252</v>
      </c>
      <c r="V64" s="133">
        <f t="array" ref="V64:V66">MMULT($I$43:$K$45,V51:V53)</f>
        <v>20.5546392779843</v>
      </c>
      <c r="W64" s="133">
        <f t="array" ref="W64:W66">MMULT($I$43:$K$45,W51:W53)</f>
        <v>21.834354695859105</v>
      </c>
      <c r="X64" s="133">
        <f t="array" ref="X64:X66">MMULT($I$43:$K$45,X51:X53)</f>
        <v>27.788059631899035</v>
      </c>
      <c r="Y64" s="133">
        <f t="array" ref="Y64:Y66">MMULT($I$43:$K$45,Y51:Y53)</f>
        <v>51.366793915100374</v>
      </c>
      <c r="Z64" s="133">
        <f t="array" ref="Z64:Z66">MMULT($I$43:$K$45,Z51:Z53)</f>
        <v>46.857161763622599</v>
      </c>
      <c r="AA64" s="133">
        <f t="array" ref="AA64:AA66">MMULT($I$43:$K$45,AA51:AA53)</f>
        <v>85.0322067284974</v>
      </c>
      <c r="AB64" s="133">
        <f t="array" ref="AB64:AB66">MMULT($I$43:$K$45,AB51:AB53)</f>
        <v>67.381658969642331</v>
      </c>
      <c r="AC64" s="133">
        <f t="array" ref="AC64:AC66">MMULT($I$43:$K$45,AC51:AC53)</f>
        <v>90.538228541403356</v>
      </c>
      <c r="AD64" s="133">
        <f t="array" ref="AD64:AD66">MMULT($I$43:$K$45,AD51:AD53)</f>
        <v>92.014830717606969</v>
      </c>
      <c r="AE64" s="133">
        <f t="array" ref="AE64:AE66">MMULT($I$43:$K$45,AE51:AE53)</f>
        <v>51.418547720977323</v>
      </c>
      <c r="AF64" s="133">
        <f t="array" ref="AF64:AF66">MMULT($I$43:$K$45,AF51:AF53)</f>
        <v>91.153349059832223</v>
      </c>
      <c r="AG64" s="133">
        <f t="array" ref="AG64:AG66">MMULT($I$43:$K$45,AG51:AG53)</f>
        <v>49.277228337033755</v>
      </c>
      <c r="AH64" s="133">
        <f t="array" ref="AH64:AH66">MMULT($I$43:$K$45,AH51:AH53)</f>
        <v>13.278059560116867</v>
      </c>
      <c r="AI64" s="133">
        <f t="array" ref="AI64:AI66">MMULT($I$43:$K$45,AI51:AI53)</f>
        <v>81.086051738139105</v>
      </c>
      <c r="AJ64" s="133">
        <f t="array" ref="AJ64:AJ66">MMULT($I$43:$K$45,AJ51:AJ53)</f>
        <v>35.970460669468295</v>
      </c>
      <c r="AK64" s="133">
        <f t="array" ref="AK64:AK66">MMULT($I$43:$K$45,AK51:AK53)</f>
        <v>84.927066726014942</v>
      </c>
      <c r="AL64" s="133">
        <f t="array" ref="AL64:AL66">MMULT($I$43:$K$45,AL51:AL53)</f>
        <v>55.133200417507062</v>
      </c>
      <c r="AM64" s="133">
        <f t="array" ref="AM64:AM66">MMULT($I$43:$K$45,AM51:AM53)</f>
        <v>85.682095141073802</v>
      </c>
      <c r="AN64" s="133">
        <f t="array" ref="AN64:AN66">MMULT($I$43:$K$45,AN51:AN53)</f>
        <v>33.270521183293205</v>
      </c>
      <c r="AO64" s="133">
        <f t="array" ref="AO64:AO66">MMULT($I$43:$K$45,AO51:AO53)</f>
        <v>13.309750654050754</v>
      </c>
      <c r="AP64" s="133">
        <f t="array" ref="AP64:AP66">MMULT($I$43:$K$45,AP51:AP53)</f>
        <v>61.567900884834913</v>
      </c>
      <c r="AQ64" s="133">
        <f t="array" ref="AQ64:AQ66">MMULT($I$43:$K$45,AQ51:AQ53)</f>
        <v>17.438820524682843</v>
      </c>
      <c r="AR64" s="133">
        <f t="array" ref="AR64:AR66">MMULT($I$43:$K$45,AR51:AR53)</f>
        <v>75.24951553689759</v>
      </c>
      <c r="AS64" s="133">
        <f t="array" ref="AS64:AS66">MMULT($I$43:$K$45,AS51:AS53)</f>
        <v>8.7404292012048597</v>
      </c>
      <c r="AT64" s="133">
        <f t="array" ref="AT64:AT66">MMULT($I$43:$K$45,AT51:AT53)</f>
        <v>19.015087194878156</v>
      </c>
      <c r="AU64" s="133">
        <f t="array" ref="AU64:AU66">MMULT($I$43:$K$45,AU51:AU53)</f>
        <v>78.363068877909399</v>
      </c>
      <c r="AV64" s="133">
        <f t="array" ref="AV64:AV66">MMULT($I$43:$K$45,AV51:AV53)</f>
        <v>39.041715133284512</v>
      </c>
      <c r="AW64" s="133">
        <f t="array" ref="AW64:AW66">MMULT($I$43:$K$45,AW51:AW53)</f>
        <v>44.687017643312011</v>
      </c>
      <c r="AX64" s="133">
        <f t="array" ref="AX64:AX66">MMULT($I$43:$K$45,AX51:AX53)</f>
        <v>5.6135580862816719</v>
      </c>
      <c r="AY64" s="133">
        <f t="array" ref="AY64:AY66">MMULT($I$43:$K$45,AY51:AY53)</f>
        <v>25.264272214010198</v>
      </c>
      <c r="AZ64" s="133">
        <f t="array" ref="AZ64:AZ66">MMULT($I$43:$K$45,AZ51:AZ53)</f>
        <v>35.521079329588844</v>
      </c>
      <c r="BA64" s="133">
        <f t="array" ref="BA64:BA66">MMULT($I$43:$K$45,BA51:BA53)</f>
        <v>41.236899249896275</v>
      </c>
      <c r="BB64" s="133">
        <f t="array" ref="BB64:BB66">MMULT($I$43:$K$45,BB51:BB53)</f>
        <v>51.157419912691871</v>
      </c>
      <c r="BC64" s="133">
        <f t="array" ref="BC64:BC66">MMULT($I$43:$K$45,BC51:BC53)</f>
        <v>14.442494960796763</v>
      </c>
      <c r="BD64" s="133">
        <f t="array" ref="BD64:BD66">MMULT($I$43:$K$45,BD51:BD53)</f>
        <v>20.945897832439591</v>
      </c>
      <c r="BE64" s="133">
        <f t="array" ref="BE64:BE66">MMULT($I$43:$K$45,BE51:BE53)</f>
        <v>25.0824995874822</v>
      </c>
      <c r="BF64" s="133">
        <f t="array" ref="BF64:BF66">MMULT($I$43:$K$45,BF51:BF53)</f>
        <v>10.554220725622006</v>
      </c>
      <c r="BG64" s="133">
        <f t="array" ref="BG64:BG66">MMULT($I$43:$K$45,BG51:BG53)</f>
        <v>14.411182237427326</v>
      </c>
      <c r="BH64" s="133">
        <f t="array" ref="BH64:BH66">MMULT($I$43:$K$45,BH51:BH53)</f>
        <v>70.745357478578484</v>
      </c>
      <c r="BI64" s="133">
        <f t="array" ref="BI64:BI66">MMULT($I$43:$K$45,BI51:BI53)</f>
        <v>62.227451773140828</v>
      </c>
      <c r="BJ64" s="133">
        <f t="array" ref="BJ64:BJ66">MMULT($I$43:$K$45,BJ51:BJ53)</f>
        <v>35.759480790469908</v>
      </c>
      <c r="BK64" s="133">
        <f t="array" ref="BK64:BK66">MMULT($I$43:$K$45,BK51:BK53)</f>
        <v>19.954141854820293</v>
      </c>
      <c r="BL64" s="133">
        <f t="array" ref="BL64:BL66">MMULT($I$43:$K$45,BL51:BL53)</f>
        <v>16.702548532115916</v>
      </c>
      <c r="BM64" s="133">
        <f t="array" ref="BM64:BM66">MMULT($I$43:$K$45,BM51:BM53)</f>
        <v>70.109789987960781</v>
      </c>
      <c r="BN64" s="133">
        <f t="array" ref="BN64:BN66">MMULT($I$43:$K$45,BN51:BN53)</f>
        <v>76.635819484711931</v>
      </c>
      <c r="BO64" s="133">
        <f t="array" ref="BO64:BO66">MMULT($I$43:$K$45,BO51:BO53)</f>
        <v>49.845320926765261</v>
      </c>
      <c r="BP64" s="133">
        <f t="array" ref="BP64:BP66">MMULT($I$43:$K$45,BP51:BP53)</f>
        <v>36.517767589319895</v>
      </c>
      <c r="BQ64" s="133">
        <f t="array" ref="BQ64:BQ66">MMULT($I$43:$K$45,BQ51:BQ53)</f>
        <v>8.1749089328705278</v>
      </c>
      <c r="BR64" s="133">
        <f t="array" ref="BR64:BR66">MMULT($I$43:$K$45,BR51:BR53)</f>
        <v>20.302625534633822</v>
      </c>
      <c r="BS64" s="133">
        <f t="array" ref="BS64:BS66">MMULT($I$43:$K$45,BS51:BS53)</f>
        <v>9.533739068761772</v>
      </c>
      <c r="BT64" s="133">
        <f t="array" ref="BT64:BT66">MMULT($I$43:$K$45,BT51:BT53)</f>
        <v>10.474698334554573</v>
      </c>
      <c r="BU64" s="133">
        <f t="array" ref="BU64:BU66">MMULT($I$43:$K$45,BU51:BU53)</f>
        <v>12.242794063216621</v>
      </c>
      <c r="BV64" s="133">
        <f t="array" ref="BV64:BV66">MMULT($I$43:$K$45,BV51:BV53)</f>
        <v>29.08882140498832</v>
      </c>
      <c r="BW64" s="133">
        <f t="array" ref="BW64:BW66">MMULT($I$43:$K$45,BW51:BW53)</f>
        <v>20.383088816187673</v>
      </c>
      <c r="BX64" s="133">
        <f t="array" ref="BX64:BX66">MMULT($I$43:$K$45,BX51:BX53)</f>
        <v>39.21626466880484</v>
      </c>
      <c r="BY64" s="133">
        <f t="array" ref="BY64:BY66">MMULT($I$43:$K$45,BY51:BY53)</f>
        <v>6.7768306811995647</v>
      </c>
      <c r="BZ64" s="133">
        <f t="array" ref="BZ64:BZ66">MMULT($I$43:$K$45,BZ51:BZ53)</f>
        <v>51.371957651655343</v>
      </c>
      <c r="CA64" s="133">
        <f t="array" ref="CA64:CA66">MMULT($I$43:$K$45,CA51:CA53)</f>
        <v>19.940797435845063</v>
      </c>
      <c r="CB64" s="133">
        <f t="array" ref="CB64:CB66">MMULT($I$43:$K$45,CB51:CB53)</f>
        <v>5.3848212556900572</v>
      </c>
      <c r="CC64" s="133">
        <f t="array" ref="CC64:CC66">MMULT($I$43:$K$45,CC51:CC53)</f>
        <v>6.1034836863856148</v>
      </c>
      <c r="CD64" s="133">
        <f t="array" ref="CD64:CD66">MMULT($I$43:$K$45,CD51:CD53)</f>
        <v>13.069114266140149</v>
      </c>
      <c r="CE64" s="133">
        <f t="array" ref="CE64:CE66">MMULT($I$43:$K$45,CE51:CE53)</f>
        <v>12.519527566590456</v>
      </c>
      <c r="CF64" s="133">
        <f t="array" ref="CF64:CF66">MMULT($I$43:$K$45,CF51:CF53)</f>
        <v>10.991090839909759</v>
      </c>
      <c r="CG64" s="133">
        <f t="array" ref="CG64:CG66">MMULT($I$43:$K$45,CG51:CG53)</f>
        <v>45.54471799218507</v>
      </c>
      <c r="CH64" s="133">
        <f t="array" ref="CH64:CH66">MMULT($I$43:$K$45,CH51:CH53)</f>
        <v>34.323415598433265</v>
      </c>
      <c r="CI64" s="133">
        <f t="array" ref="CI64:CI66">MMULT($I$43:$K$45,CI51:CI53)</f>
        <v>13.383706571008579</v>
      </c>
      <c r="CJ64" s="133">
        <f t="array" ref="CJ64:CJ66">MMULT($I$43:$K$45,CJ51:CJ53)</f>
        <v>75.238590789279428</v>
      </c>
      <c r="CK64" s="133">
        <f t="array" ref="CK64:CK66">MMULT($I$43:$K$45,CK51:CK53)</f>
        <v>46.004477140250543</v>
      </c>
      <c r="CL64" s="133">
        <f t="array" ref="CL64:CL66">MMULT($I$43:$K$45,CL51:CL53)</f>
        <v>5.468803869131837</v>
      </c>
      <c r="CM64" s="133">
        <f t="array" ref="CM64:CM66">MMULT($I$43:$K$45,CM51:CM53)</f>
        <v>12.338522370223384</v>
      </c>
      <c r="CN64" s="133">
        <f t="array" ref="CN64:CN66">MMULT($I$43:$K$45,CN51:CN53)</f>
        <v>36.136155678000669</v>
      </c>
      <c r="CO64" s="133">
        <f t="array" ref="CO64:CO66">MMULT($I$43:$K$45,CO51:CO53)</f>
        <v>11.658254130442344</v>
      </c>
      <c r="CP64" s="133">
        <f t="array" ref="CP64:CP66">MMULT($I$43:$K$45,CP51:CP53)</f>
        <v>33.642198846127357</v>
      </c>
      <c r="CQ64" s="133">
        <f t="array" ref="CQ64:CQ66">MMULT($I$43:$K$45,CQ51:CQ53)</f>
        <v>11.426831691699524</v>
      </c>
      <c r="CR64" s="133">
        <f t="array" ref="CR64:CR66">MMULT($I$43:$K$45,CR51:CR53)</f>
        <v>15.5654296607061</v>
      </c>
      <c r="CS64" s="133">
        <f t="array" ref="CS64:CS66">MMULT($I$43:$K$45,CS51:CS53)</f>
        <v>61.389561707823233</v>
      </c>
      <c r="CT64" s="133">
        <f t="array" ref="CT64:CT66">MMULT($I$43:$K$45,CT51:CT53)</f>
        <v>26.970061367308759</v>
      </c>
      <c r="CU64" s="133">
        <f t="array" ref="CU64:CU66">MMULT($I$43:$K$45,CU51:CU53)</f>
        <v>40.618972678630641</v>
      </c>
      <c r="CV64" s="133">
        <f t="array" ref="CV64:CV66">MMULT($I$43:$K$45,CV51:CV53)</f>
        <v>13.405704595373129</v>
      </c>
      <c r="CW64" s="133">
        <f t="array" ref="CW64:CW66">MMULT($I$43:$K$45,CW51:CW53)</f>
        <v>46.628568937073311</v>
      </c>
      <c r="CX64" s="133">
        <f t="array" ref="CX64:CX66">MMULT($I$43:$K$45,CX51:CX53)</f>
        <v>61.205763272692757</v>
      </c>
      <c r="CY64" s="133">
        <f t="array" ref="CY64:CY66">MMULT($I$43:$K$45,CY51:CY53)</f>
        <v>24.297205813984753</v>
      </c>
      <c r="CZ64" s="133">
        <f t="array" ref="CZ64:CZ66">MMULT($I$43:$K$45,CZ51:CZ53)</f>
        <v>42.346821691792208</v>
      </c>
      <c r="DA64" s="133">
        <f t="array" ref="DA64:DA66">MMULT($I$43:$K$45,DA51:DA53)</f>
        <v>27.781693508612843</v>
      </c>
      <c r="DC64">
        <v>60</v>
      </c>
      <c r="DD64" s="84">
        <v>88.470635067075904</v>
      </c>
      <c r="DE64" s="84">
        <v>-6.8059756926562622</v>
      </c>
      <c r="DF64" s="84">
        <v>-2.480659395405902</v>
      </c>
      <c r="DG64" s="84">
        <v>88.302410998309057</v>
      </c>
      <c r="DH64" s="84">
        <v>-5.7370579140911291</v>
      </c>
      <c r="DI64" s="84">
        <v>-3.5695106817103914</v>
      </c>
      <c r="DJ64" s="84">
        <v>1.5350836063003321</v>
      </c>
      <c r="DK64" s="84">
        <f t="shared" si="0"/>
        <v>2.3564816783320333</v>
      </c>
      <c r="DL64" s="84">
        <f t="shared" si="1"/>
        <v>3.4911108182159674</v>
      </c>
      <c r="DM64" s="84">
        <f t="shared" si="2"/>
        <v>200.02591569623848</v>
      </c>
      <c r="DN64" s="85">
        <v>5</v>
      </c>
      <c r="DO64">
        <v>7</v>
      </c>
      <c r="DP64">
        <f t="shared" si="88"/>
        <v>202.5</v>
      </c>
      <c r="DQ64" s="270">
        <v>-18.477590650225736</v>
      </c>
      <c r="DR64" s="270">
        <v>-7.6536686473017932</v>
      </c>
    </row>
    <row r="65" spans="1:122">
      <c r="A65">
        <v>660</v>
      </c>
      <c r="B65" s="90">
        <f>'Color metric'!B59</f>
        <v>0.53890700305334471</v>
      </c>
      <c r="C65" s="82">
        <f>Reference!N65</f>
        <v>6.7709137351799749</v>
      </c>
      <c r="D65" s="82"/>
      <c r="E65" s="137" t="s">
        <v>135</v>
      </c>
      <c r="F65" s="133">
        <v>95.109753139400027</v>
      </c>
      <c r="G65" s="133">
        <v>52.90220630017123</v>
      </c>
      <c r="H65" s="133">
        <v>16.608007883290028</v>
      </c>
      <c r="I65" s="133">
        <v>4.5413988334208062</v>
      </c>
      <c r="J65" s="133">
        <v>27.404682589982016</v>
      </c>
      <c r="K65" s="133">
        <v>8.2822872521547293</v>
      </c>
      <c r="L65" s="133">
        <v>12.849933875228658</v>
      </c>
      <c r="M65" s="133">
        <v>5.6880657852286438</v>
      </c>
      <c r="N65" s="133">
        <v>5.8898185153422151</v>
      </c>
      <c r="O65" s="133">
        <v>4.6062524512222902</v>
      </c>
      <c r="P65" s="133">
        <v>28.025231731145901</v>
      </c>
      <c r="Q65" s="133">
        <v>13.505858740114864</v>
      </c>
      <c r="R65" s="133">
        <v>17.018491851470511</v>
      </c>
      <c r="S65" s="133">
        <v>8.3848789020302519</v>
      </c>
      <c r="T65" s="133">
        <v>38.407404870873293</v>
      </c>
      <c r="U65" s="133">
        <v>32.659976311274619</v>
      </c>
      <c r="V65" s="133">
        <v>10.798802780666898</v>
      </c>
      <c r="W65" s="133">
        <v>12.276647200479951</v>
      </c>
      <c r="X65" s="133">
        <v>17.845809147003301</v>
      </c>
      <c r="Y65" s="133">
        <v>30.662097894646202</v>
      </c>
      <c r="Z65" s="133">
        <v>23.299153105820551</v>
      </c>
      <c r="AA65" s="133">
        <v>51.237611203493039</v>
      </c>
      <c r="AB65" s="133">
        <v>38.443304969172658</v>
      </c>
      <c r="AC65" s="133">
        <v>70.61947657395055</v>
      </c>
      <c r="AD65" s="133">
        <v>65.329824252314097</v>
      </c>
      <c r="AE65" s="133">
        <v>31.910903467911492</v>
      </c>
      <c r="AF65" s="133">
        <v>62.772500478730777</v>
      </c>
      <c r="AG65" s="133">
        <v>38.875030066014183</v>
      </c>
      <c r="AH65" s="133">
        <v>10.334942670890021</v>
      </c>
      <c r="AI65" s="133">
        <v>60.101385746751916</v>
      </c>
      <c r="AJ65" s="133">
        <v>27.808288569907145</v>
      </c>
      <c r="AK65" s="133">
        <v>64.616498575026242</v>
      </c>
      <c r="AL65" s="133">
        <v>41.261830046762313</v>
      </c>
      <c r="AM65" s="133">
        <v>68.40322108067609</v>
      </c>
      <c r="AN65" s="133">
        <v>26.110118837380323</v>
      </c>
      <c r="AO65" s="133">
        <v>11.003847398782149</v>
      </c>
      <c r="AP65" s="133">
        <v>51.011409213964043</v>
      </c>
      <c r="AQ65" s="133">
        <v>14.819126109510606</v>
      </c>
      <c r="AR65" s="133">
        <v>62.910861481109428</v>
      </c>
      <c r="AS65" s="133">
        <v>7.4590539805594629</v>
      </c>
      <c r="AT65" s="133">
        <v>16.472230458424871</v>
      </c>
      <c r="AU65" s="133">
        <v>66.993151290996849</v>
      </c>
      <c r="AV65" s="133">
        <v>38.553230203759469</v>
      </c>
      <c r="AW65" s="133">
        <v>44.443251858294353</v>
      </c>
      <c r="AX65" s="133">
        <v>4.7517207845521225</v>
      </c>
      <c r="AY65" s="133">
        <v>26.665065477947117</v>
      </c>
      <c r="AZ65" s="133">
        <v>34.938980803604679</v>
      </c>
      <c r="BA65" s="133">
        <v>38.001961972551285</v>
      </c>
      <c r="BB65" s="133">
        <v>53.34763093645325</v>
      </c>
      <c r="BC65" s="133">
        <v>15.779212073957861</v>
      </c>
      <c r="BD65" s="133">
        <v>22.619533188251474</v>
      </c>
      <c r="BE65" s="133">
        <v>25.846870268427161</v>
      </c>
      <c r="BF65" s="133">
        <v>12.875702383672461</v>
      </c>
      <c r="BG65" s="133">
        <v>21.298503963012333</v>
      </c>
      <c r="BH65" s="133">
        <v>68.911686508783021</v>
      </c>
      <c r="BI65" s="133">
        <v>62.570397506663674</v>
      </c>
      <c r="BJ65" s="133">
        <v>46.560564306464592</v>
      </c>
      <c r="BK65" s="133">
        <v>29.444156563256666</v>
      </c>
      <c r="BL65" s="133">
        <v>25.343928624560579</v>
      </c>
      <c r="BM65" s="133">
        <v>68.337423464086569</v>
      </c>
      <c r="BN65" s="133">
        <v>67.6740587561806</v>
      </c>
      <c r="BO65" s="133">
        <v>48.684116649914159</v>
      </c>
      <c r="BP65" s="133">
        <v>32.607861602520813</v>
      </c>
      <c r="BQ65" s="133">
        <v>7.0820292652816317</v>
      </c>
      <c r="BR65" s="133">
        <v>29.314008644482715</v>
      </c>
      <c r="BS65" s="133">
        <v>11.336814192100103</v>
      </c>
      <c r="BT65" s="133">
        <v>15.722129093270299</v>
      </c>
      <c r="BU65" s="133">
        <v>18.261517063716617</v>
      </c>
      <c r="BV65" s="133">
        <v>31.52621202633452</v>
      </c>
      <c r="BW65" s="133">
        <v>19.060918465985825</v>
      </c>
      <c r="BX65" s="133">
        <v>42.977523248283923</v>
      </c>
      <c r="BY65" s="133">
        <v>8.3205867965144247</v>
      </c>
      <c r="BZ65" s="133">
        <v>45.803720508866128</v>
      </c>
      <c r="CA65" s="133">
        <v>25.611874097884503</v>
      </c>
      <c r="CB65" s="133">
        <v>4.6299764629422802</v>
      </c>
      <c r="CC65" s="133">
        <v>7.0741992631587767</v>
      </c>
      <c r="CD65" s="133">
        <v>15.557613704060591</v>
      </c>
      <c r="CE65" s="133">
        <v>12.799154522457602</v>
      </c>
      <c r="CF65" s="133">
        <v>12.603812478792516</v>
      </c>
      <c r="CG65" s="133">
        <v>40.755844882902799</v>
      </c>
      <c r="CH65" s="133">
        <v>29.372563626752772</v>
      </c>
      <c r="CI65" s="133">
        <v>10.658682531086528</v>
      </c>
      <c r="CJ65" s="133">
        <v>63.175725004761873</v>
      </c>
      <c r="CK65" s="133">
        <v>38.001018830158188</v>
      </c>
      <c r="CL65" s="133">
        <v>4.351585572929209</v>
      </c>
      <c r="CM65" s="133">
        <v>9.6040221459184565</v>
      </c>
      <c r="CN65" s="133">
        <v>27.132965300652049</v>
      </c>
      <c r="CO65" s="133">
        <v>7.4835653744706594</v>
      </c>
      <c r="CP65" s="133">
        <v>21.821282395079294</v>
      </c>
      <c r="CQ65" s="133">
        <v>6.6174870161781358</v>
      </c>
      <c r="CR65" s="133">
        <v>8.5820859512091445</v>
      </c>
      <c r="CS65" s="133">
        <v>50.111133561575137</v>
      </c>
      <c r="CT65" s="133">
        <v>17.870296783423555</v>
      </c>
      <c r="CU65" s="133">
        <v>28.841214431235951</v>
      </c>
      <c r="CV65" s="133">
        <v>6.4970699593680648</v>
      </c>
      <c r="CW65" s="133">
        <v>30.618208653158188</v>
      </c>
      <c r="CX65" s="133">
        <v>41.46614221351863</v>
      </c>
      <c r="CY65" s="133">
        <v>12.709726022567169</v>
      </c>
      <c r="CZ65" s="133">
        <v>19.347213811313864</v>
      </c>
      <c r="DA65" s="133">
        <v>10.444453146759196</v>
      </c>
      <c r="DC65">
        <v>61</v>
      </c>
      <c r="DD65" s="84">
        <v>77.076575358395232</v>
      </c>
      <c r="DE65" s="84">
        <v>-14.604105825920827</v>
      </c>
      <c r="DF65" s="84">
        <v>-5.1551462820375384</v>
      </c>
      <c r="DG65" s="84">
        <v>76.718512188429514</v>
      </c>
      <c r="DH65" s="84">
        <v>-12.768659762295957</v>
      </c>
      <c r="DI65" s="84">
        <v>-6.5813961597358057</v>
      </c>
      <c r="DJ65" s="84">
        <v>2.351863133729565</v>
      </c>
      <c r="DK65" s="84">
        <f t="shared" si="0"/>
        <v>5.5312601997962494</v>
      </c>
      <c r="DL65" s="84">
        <f t="shared" si="1"/>
        <v>3.4809312988746171</v>
      </c>
      <c r="DM65" s="84">
        <f t="shared" si="2"/>
        <v>199.44267220050733</v>
      </c>
      <c r="DN65" s="85">
        <v>5</v>
      </c>
      <c r="DO65">
        <v>6</v>
      </c>
      <c r="DP65">
        <f t="shared" si="88"/>
        <v>202.5</v>
      </c>
      <c r="DQ65" s="270">
        <v>-18.477590650225736</v>
      </c>
      <c r="DR65" s="270">
        <v>-7.6536686473017932</v>
      </c>
    </row>
    <row r="66" spans="1:122">
      <c r="A66">
        <v>665</v>
      </c>
      <c r="B66" s="90">
        <f>'Color metric'!B60</f>
        <v>0.48809961746466224</v>
      </c>
      <c r="C66" s="82">
        <f>Reference!N66</f>
        <v>6.8539326680038819</v>
      </c>
      <c r="D66" s="82"/>
      <c r="E66" s="137" t="s">
        <v>20</v>
      </c>
      <c r="F66" s="133">
        <v>47.399391195584698</v>
      </c>
      <c r="G66" s="133">
        <v>28.7578120704048</v>
      </c>
      <c r="H66" s="133">
        <v>10.544023874965836</v>
      </c>
      <c r="I66" s="133">
        <v>2.4869213725952304</v>
      </c>
      <c r="J66" s="133">
        <v>13.607040976165202</v>
      </c>
      <c r="K66" s="133">
        <v>4.4956478492658176</v>
      </c>
      <c r="L66" s="133">
        <v>5.9836130016090614</v>
      </c>
      <c r="M66" s="133">
        <v>2.7216980306698186</v>
      </c>
      <c r="N66" s="133">
        <v>2.809830619606188</v>
      </c>
      <c r="O66" s="133">
        <v>2.3063013796773846</v>
      </c>
      <c r="P66" s="133">
        <v>9.0987494845505328</v>
      </c>
      <c r="Q66" s="133">
        <v>3.6384979315426942</v>
      </c>
      <c r="R66" s="133">
        <v>4.4129570170704184</v>
      </c>
      <c r="S66" s="133">
        <v>2.4544408048347979</v>
      </c>
      <c r="T66" s="133">
        <v>17.077100251429126</v>
      </c>
      <c r="U66" s="133">
        <v>12.781098228181218</v>
      </c>
      <c r="V66" s="133">
        <v>2.8555817764710865</v>
      </c>
      <c r="W66" s="133">
        <v>3.0933456942344915</v>
      </c>
      <c r="X66" s="133">
        <v>5.7541556666706137</v>
      </c>
      <c r="Y66" s="133">
        <v>6.4650519964869009</v>
      </c>
      <c r="Z66" s="133">
        <v>3.3475131893103951</v>
      </c>
      <c r="AA66" s="133">
        <v>9.3823404740446534</v>
      </c>
      <c r="AB66" s="133">
        <v>6.0799454103307475</v>
      </c>
      <c r="AC66" s="133">
        <v>26.272136319793507</v>
      </c>
      <c r="AD66" s="133">
        <v>15.065493126722313</v>
      </c>
      <c r="AE66" s="133">
        <v>3.2919678639980781</v>
      </c>
      <c r="AF66" s="133">
        <v>11.262241281611921</v>
      </c>
      <c r="AG66" s="133">
        <v>12.067527093181239</v>
      </c>
      <c r="AH66" s="133">
        <v>2.4256673768737418</v>
      </c>
      <c r="AI66" s="133">
        <v>10.267673284643482</v>
      </c>
      <c r="AJ66" s="133">
        <v>7.4855943175570516</v>
      </c>
      <c r="AK66" s="133">
        <v>11.236554812458143</v>
      </c>
      <c r="AL66" s="133">
        <v>5.0027434327495435</v>
      </c>
      <c r="AM66" s="133">
        <v>19.214511324276717</v>
      </c>
      <c r="AN66" s="133">
        <v>3.2263222999608896</v>
      </c>
      <c r="AO66" s="133">
        <v>2.6201417864872907</v>
      </c>
      <c r="AP66" s="133">
        <v>21.352491928873601</v>
      </c>
      <c r="AQ66" s="133">
        <v>2.9689681304124735</v>
      </c>
      <c r="AR66" s="133">
        <v>19.477037620324783</v>
      </c>
      <c r="AS66" s="133">
        <v>2.7230186570616008</v>
      </c>
      <c r="AT66" s="133">
        <v>4.7498761941256218</v>
      </c>
      <c r="AU66" s="133">
        <v>27.272434178421374</v>
      </c>
      <c r="AV66" s="133">
        <v>4.9109693304339288</v>
      </c>
      <c r="AW66" s="133">
        <v>5.7076819488501513</v>
      </c>
      <c r="AX66" s="133">
        <v>2.2436403063680781</v>
      </c>
      <c r="AY66" s="133">
        <v>4.9374088580890225</v>
      </c>
      <c r="AZ66" s="133">
        <v>9.1797008799287987</v>
      </c>
      <c r="BA66" s="133">
        <v>12.857118003005986</v>
      </c>
      <c r="BB66" s="133">
        <v>15.125223813788944</v>
      </c>
      <c r="BC66" s="133">
        <v>3.7976439887955515</v>
      </c>
      <c r="BD66" s="133">
        <v>7.6446438951446396</v>
      </c>
      <c r="BE66" s="133">
        <v>9.5313733880228213</v>
      </c>
      <c r="BF66" s="133">
        <v>3.7482161050521956</v>
      </c>
      <c r="BG66" s="133">
        <v>6.6709318829586106</v>
      </c>
      <c r="BH66" s="133">
        <v>31.839046068559433</v>
      </c>
      <c r="BI66" s="133">
        <v>29.364899844312756</v>
      </c>
      <c r="BJ66" s="133">
        <v>20.338426979562406</v>
      </c>
      <c r="BK66" s="133">
        <v>12.517764136947115</v>
      </c>
      <c r="BL66" s="133">
        <v>11.591780742203326</v>
      </c>
      <c r="BM66" s="133">
        <v>33.223267471199762</v>
      </c>
      <c r="BN66" s="133">
        <v>34.045079650299897</v>
      </c>
      <c r="BO66" s="133">
        <v>24.875967192010588</v>
      </c>
      <c r="BP66" s="133">
        <v>16.82095125970605</v>
      </c>
      <c r="BQ66" s="133">
        <v>3.6757649359203897</v>
      </c>
      <c r="BR66" s="133">
        <v>18.032863972618614</v>
      </c>
      <c r="BS66" s="133">
        <v>6.7206089277652215</v>
      </c>
      <c r="BT66" s="133">
        <v>11.173900312741043</v>
      </c>
      <c r="BU66" s="133">
        <v>13.451499371432117</v>
      </c>
      <c r="BV66" s="133">
        <v>20.199465466290608</v>
      </c>
      <c r="BW66" s="133">
        <v>11.415278546499971</v>
      </c>
      <c r="BX66" s="133">
        <v>31.483215836316777</v>
      </c>
      <c r="BY66" s="133">
        <v>7.6380557486624232</v>
      </c>
      <c r="BZ66" s="133">
        <v>25.336075908133612</v>
      </c>
      <c r="CA66" s="133">
        <v>23.870902925188709</v>
      </c>
      <c r="CB66" s="133">
        <v>2.5176984157408411</v>
      </c>
      <c r="CC66" s="133">
        <v>7.2458291509271167</v>
      </c>
      <c r="CD66" s="133">
        <v>20.166358270701867</v>
      </c>
      <c r="CE66" s="133">
        <v>12.400022129809603</v>
      </c>
      <c r="CF66" s="133">
        <v>17.161499451132286</v>
      </c>
      <c r="CG66" s="133">
        <v>29.754934190177714</v>
      </c>
      <c r="CH66" s="133">
        <v>25.307637017690638</v>
      </c>
      <c r="CI66" s="133">
        <v>14.303149834442801</v>
      </c>
      <c r="CJ66" s="133">
        <v>36.435722240046893</v>
      </c>
      <c r="CK66" s="133">
        <v>26.65207548774822</v>
      </c>
      <c r="CL66" s="133">
        <v>2.777978818881881</v>
      </c>
      <c r="CM66" s="133">
        <v>7.1997364517462348</v>
      </c>
      <c r="CN66" s="133">
        <v>24.825633709292763</v>
      </c>
      <c r="CO66" s="133">
        <v>9.5606608835926572</v>
      </c>
      <c r="CP66" s="133">
        <v>20.288082424891982</v>
      </c>
      <c r="CQ66" s="133">
        <v>7.2923956062347024</v>
      </c>
      <c r="CR66" s="133">
        <v>9.7189677362590903</v>
      </c>
      <c r="CS66" s="133">
        <v>25.947562237356674</v>
      </c>
      <c r="CT66" s="133">
        <v>12.854932676679306</v>
      </c>
      <c r="CU66" s="133">
        <v>18.374374055042981</v>
      </c>
      <c r="CV66" s="133">
        <v>6.1197537699929052</v>
      </c>
      <c r="CW66" s="133">
        <v>20.086496274334944</v>
      </c>
      <c r="CX66" s="133">
        <v>25.814586819932746</v>
      </c>
      <c r="CY66" s="133">
        <v>9.496697172866984</v>
      </c>
      <c r="CZ66" s="133">
        <v>14.072129025889669</v>
      </c>
      <c r="DA66" s="133">
        <v>8.6305266435164523</v>
      </c>
      <c r="DC66">
        <v>62</v>
      </c>
      <c r="DD66" s="84">
        <v>67.380060983030546</v>
      </c>
      <c r="DE66" s="84">
        <v>-6.5217975455952661</v>
      </c>
      <c r="DF66" s="84">
        <v>-3.7022317974116681</v>
      </c>
      <c r="DG66" s="84">
        <v>66.999373844118011</v>
      </c>
      <c r="DH66" s="84">
        <v>-5.0181220472785872</v>
      </c>
      <c r="DI66" s="84">
        <v>-5.470820505644399</v>
      </c>
      <c r="DJ66" s="84">
        <v>2.3524176331722315</v>
      </c>
      <c r="DK66" s="84">
        <f t="shared" si="0"/>
        <v>5.533868720859644</v>
      </c>
      <c r="DL66" s="84">
        <f t="shared" si="1"/>
        <v>3.6579011420479457</v>
      </c>
      <c r="DM66" s="84">
        <f t="shared" si="2"/>
        <v>209.58229731543113</v>
      </c>
      <c r="DN66" s="85">
        <v>5</v>
      </c>
      <c r="DO66">
        <v>3</v>
      </c>
      <c r="DP66">
        <f t="shared" si="88"/>
        <v>202.5</v>
      </c>
      <c r="DQ66" s="270">
        <v>-18.477590650225736</v>
      </c>
      <c r="DR66" s="270">
        <v>-7.6536686473017932</v>
      </c>
    </row>
    <row r="67" spans="1:122">
      <c r="A67">
        <v>670</v>
      </c>
      <c r="B67" s="90">
        <f>'Color metric'!B61</f>
        <v>0.43955338944139394</v>
      </c>
      <c r="C67" s="82">
        <f>Reference!N67</f>
        <v>6.9347852597381578</v>
      </c>
      <c r="D67" s="82"/>
      <c r="E67" s="137" t="s">
        <v>136</v>
      </c>
      <c r="F67" s="133">
        <f t="array" ref="F67:F69">MMULT($I$43:$K$45,F54:F56)</f>
        <v>113.44299858915247</v>
      </c>
      <c r="G67" s="133">
        <f t="array" ref="G67:G69">MMULT($I$43:$K$45,G54:G56)</f>
        <v>113.44299858915247</v>
      </c>
      <c r="H67" s="133">
        <f t="array" ref="H67:H69">MMULT($I$43:$K$45,H54:H56)</f>
        <v>113.44299858915247</v>
      </c>
      <c r="I67" s="133">
        <f t="array" ref="I67:I69">MMULT($I$43:$K$45,I54:I56)</f>
        <v>113.44299858915247</v>
      </c>
      <c r="J67" s="133">
        <f t="array" ref="J67:J69">MMULT($I$43:$K$45,J54:J56)</f>
        <v>113.44299858915247</v>
      </c>
      <c r="K67" s="133">
        <f t="array" ref="K67:K69">MMULT($I$43:$K$45,K54:K56)</f>
        <v>113.44299858915247</v>
      </c>
      <c r="L67" s="133">
        <f t="array" ref="L67:L69">MMULT($I$43:$K$45,L54:L56)</f>
        <v>113.44299858915247</v>
      </c>
      <c r="M67" s="133">
        <f t="array" ref="M67:M69">MMULT($I$43:$K$45,M54:M56)</f>
        <v>113.44299858915247</v>
      </c>
      <c r="N67" s="133">
        <f t="array" ref="N67:N69">MMULT($I$43:$K$45,N54:N56)</f>
        <v>113.44299858915247</v>
      </c>
      <c r="O67" s="133">
        <f t="array" ref="O67:O69">MMULT($I$43:$K$45,O54:O56)</f>
        <v>113.44299858915247</v>
      </c>
      <c r="P67" s="133">
        <f t="array" ref="P67:P69">MMULT($I$43:$K$45,P54:P56)</f>
        <v>113.44299858915247</v>
      </c>
      <c r="Q67" s="133">
        <f t="array" ref="Q67:Q69">MMULT($I$43:$K$45,Q54:Q56)</f>
        <v>113.44299858915247</v>
      </c>
      <c r="R67" s="133">
        <f t="array" ref="R67:R69">MMULT($I$43:$K$45,R54:R56)</f>
        <v>113.44299858915247</v>
      </c>
      <c r="S67" s="133">
        <f t="array" ref="S67:S69">MMULT($I$43:$K$45,S54:S56)</f>
        <v>113.44299858915247</v>
      </c>
      <c r="T67" s="133">
        <f t="array" ref="T67:T69">MMULT($I$43:$K$45,T54:T56)</f>
        <v>113.44299858915247</v>
      </c>
      <c r="U67" s="133">
        <f t="array" ref="U67:U69">MMULT($I$43:$K$45,U54:U56)</f>
        <v>113.44299858915247</v>
      </c>
      <c r="V67" s="133">
        <f t="array" ref="V67:V69">MMULT($I$43:$K$45,V54:V56)</f>
        <v>113.44299858915247</v>
      </c>
      <c r="W67" s="133">
        <f t="array" ref="W67:W69">MMULT($I$43:$K$45,W54:W56)</f>
        <v>113.44299858915247</v>
      </c>
      <c r="X67" s="133">
        <f t="array" ref="X67:X69">MMULT($I$43:$K$45,X54:X56)</f>
        <v>113.44299858915247</v>
      </c>
      <c r="Y67" s="133">
        <f t="array" ref="Y67:Y69">MMULT($I$43:$K$45,Y54:Y56)</f>
        <v>113.44299858915247</v>
      </c>
      <c r="Z67" s="133">
        <f t="array" ref="Z67:Z69">MMULT($I$43:$K$45,Z54:Z56)</f>
        <v>113.44299858915247</v>
      </c>
      <c r="AA67" s="133">
        <f t="array" ref="AA67:AA69">MMULT($I$43:$K$45,AA54:AA56)</f>
        <v>113.44299858915247</v>
      </c>
      <c r="AB67" s="133">
        <f t="array" ref="AB67:AB69">MMULT($I$43:$K$45,AB54:AB56)</f>
        <v>113.44299858915247</v>
      </c>
      <c r="AC67" s="133">
        <f t="array" ref="AC67:AC69">MMULT($I$43:$K$45,AC54:AC56)</f>
        <v>113.44299858915247</v>
      </c>
      <c r="AD67" s="133">
        <f t="array" ref="AD67:AD69">MMULT($I$43:$K$45,AD54:AD56)</f>
        <v>113.44299858915247</v>
      </c>
      <c r="AE67" s="133">
        <f t="array" ref="AE67:AE69">MMULT($I$43:$K$45,AE54:AE56)</f>
        <v>113.44299858915247</v>
      </c>
      <c r="AF67" s="133">
        <f t="array" ref="AF67:AF69">MMULT($I$43:$K$45,AF54:AF56)</f>
        <v>113.44299858915247</v>
      </c>
      <c r="AG67" s="133">
        <f t="array" ref="AG67:AG69">MMULT($I$43:$K$45,AG54:AG56)</f>
        <v>113.44299858915247</v>
      </c>
      <c r="AH67" s="133">
        <f t="array" ref="AH67:AH69">MMULT($I$43:$K$45,AH54:AH56)</f>
        <v>113.44299858915247</v>
      </c>
      <c r="AI67" s="133">
        <f t="array" ref="AI67:AI69">MMULT($I$43:$K$45,AI54:AI56)</f>
        <v>113.44299858915247</v>
      </c>
      <c r="AJ67" s="133">
        <f t="array" ref="AJ67:AJ69">MMULT($I$43:$K$45,AJ54:AJ56)</f>
        <v>113.44299858915247</v>
      </c>
      <c r="AK67" s="133">
        <f t="array" ref="AK67:AK69">MMULT($I$43:$K$45,AK54:AK56)</f>
        <v>113.44299858915247</v>
      </c>
      <c r="AL67" s="133">
        <f t="array" ref="AL67:AL69">MMULT($I$43:$K$45,AL54:AL56)</f>
        <v>113.44299858915247</v>
      </c>
      <c r="AM67" s="133">
        <f t="array" ref="AM67:AM69">MMULT($I$43:$K$45,AM54:AM56)</f>
        <v>113.44299858915247</v>
      </c>
      <c r="AN67" s="133">
        <f t="array" ref="AN67:AN69">MMULT($I$43:$K$45,AN54:AN56)</f>
        <v>113.44299858915247</v>
      </c>
      <c r="AO67" s="133">
        <f t="array" ref="AO67:AO69">MMULT($I$43:$K$45,AO54:AO56)</f>
        <v>113.44299858915247</v>
      </c>
      <c r="AP67" s="133">
        <f t="array" ref="AP67:AP69">MMULT($I$43:$K$45,AP54:AP56)</f>
        <v>113.44299858915247</v>
      </c>
      <c r="AQ67" s="133">
        <f t="array" ref="AQ67:AQ69">MMULT($I$43:$K$45,AQ54:AQ56)</f>
        <v>113.44299858915247</v>
      </c>
      <c r="AR67" s="133">
        <f t="array" ref="AR67:AR69">MMULT($I$43:$K$45,AR54:AR56)</f>
        <v>113.44299858915247</v>
      </c>
      <c r="AS67" s="133">
        <f t="array" ref="AS67:AS69">MMULT($I$43:$K$45,AS54:AS56)</f>
        <v>113.44299858915247</v>
      </c>
      <c r="AT67" s="133">
        <f t="array" ref="AT67:AT69">MMULT($I$43:$K$45,AT54:AT56)</f>
        <v>113.44299858915247</v>
      </c>
      <c r="AU67" s="133">
        <f t="array" ref="AU67:AU69">MMULT($I$43:$K$45,AU54:AU56)</f>
        <v>113.44299858915247</v>
      </c>
      <c r="AV67" s="133">
        <f t="array" ref="AV67:AV69">MMULT($I$43:$K$45,AV54:AV56)</f>
        <v>113.44299858915247</v>
      </c>
      <c r="AW67" s="133">
        <f t="array" ref="AW67:AW69">MMULT($I$43:$K$45,AW54:AW56)</f>
        <v>113.44299858915247</v>
      </c>
      <c r="AX67" s="133">
        <f t="array" ref="AX67:AX69">MMULT($I$43:$K$45,AX54:AX56)</f>
        <v>113.44299858915247</v>
      </c>
      <c r="AY67" s="133">
        <f t="array" ref="AY67:AY69">MMULT($I$43:$K$45,AY54:AY56)</f>
        <v>113.44299858915247</v>
      </c>
      <c r="AZ67" s="133">
        <f t="array" ref="AZ67:AZ69">MMULT($I$43:$K$45,AZ54:AZ56)</f>
        <v>113.44299858915247</v>
      </c>
      <c r="BA67" s="133">
        <f t="array" ref="BA67:BA69">MMULT($I$43:$K$45,BA54:BA56)</f>
        <v>113.44299858915247</v>
      </c>
      <c r="BB67" s="133">
        <f t="array" ref="BB67:BB69">MMULT($I$43:$K$45,BB54:BB56)</f>
        <v>113.44299858915247</v>
      </c>
      <c r="BC67" s="133">
        <f t="array" ref="BC67:BC69">MMULT($I$43:$K$45,BC54:BC56)</f>
        <v>113.44299858915247</v>
      </c>
      <c r="BD67" s="133">
        <f t="array" ref="BD67:BD69">MMULT($I$43:$K$45,BD54:BD56)</f>
        <v>113.44299858915247</v>
      </c>
      <c r="BE67" s="133">
        <f t="array" ref="BE67:BE69">MMULT($I$43:$K$45,BE54:BE56)</f>
        <v>113.44299858915247</v>
      </c>
      <c r="BF67" s="133">
        <f t="array" ref="BF67:BF69">MMULT($I$43:$K$45,BF54:BF56)</f>
        <v>113.44299858915247</v>
      </c>
      <c r="BG67" s="133">
        <f t="array" ref="BG67:BG69">MMULT($I$43:$K$45,BG54:BG56)</f>
        <v>113.44299858915247</v>
      </c>
      <c r="BH67" s="133">
        <f t="array" ref="BH67:BH69">MMULT($I$43:$K$45,BH54:BH56)</f>
        <v>113.44299858915247</v>
      </c>
      <c r="BI67" s="133">
        <f t="array" ref="BI67:BI69">MMULT($I$43:$K$45,BI54:BI56)</f>
        <v>113.44299858915247</v>
      </c>
      <c r="BJ67" s="133">
        <f t="array" ref="BJ67:BJ69">MMULT($I$43:$K$45,BJ54:BJ56)</f>
        <v>113.44299858915247</v>
      </c>
      <c r="BK67" s="133">
        <f t="array" ref="BK67:BK69">MMULT($I$43:$K$45,BK54:BK56)</f>
        <v>113.44299858915247</v>
      </c>
      <c r="BL67" s="133">
        <f t="array" ref="BL67:BL69">MMULT($I$43:$K$45,BL54:BL56)</f>
        <v>113.44299858915247</v>
      </c>
      <c r="BM67" s="133">
        <f t="array" ref="BM67:BM69">MMULT($I$43:$K$45,BM54:BM56)</f>
        <v>113.44299858915247</v>
      </c>
      <c r="BN67" s="133">
        <f t="array" ref="BN67:BN69">MMULT($I$43:$K$45,BN54:BN56)</f>
        <v>113.44299858915247</v>
      </c>
      <c r="BO67" s="133">
        <f t="array" ref="BO67:BO69">MMULT($I$43:$K$45,BO54:BO56)</f>
        <v>113.44299858915247</v>
      </c>
      <c r="BP67" s="133">
        <f t="array" ref="BP67:BP69">MMULT($I$43:$K$45,BP54:BP56)</f>
        <v>113.44299858915247</v>
      </c>
      <c r="BQ67" s="133">
        <f t="array" ref="BQ67:BQ69">MMULT($I$43:$K$45,BQ54:BQ56)</f>
        <v>113.44299858915247</v>
      </c>
      <c r="BR67" s="133">
        <f t="array" ref="BR67:BR69">MMULT($I$43:$K$45,BR54:BR56)</f>
        <v>113.44299858915247</v>
      </c>
      <c r="BS67" s="133">
        <f t="array" ref="BS67:BS69">MMULT($I$43:$K$45,BS54:BS56)</f>
        <v>113.44299858915247</v>
      </c>
      <c r="BT67" s="133">
        <f t="array" ref="BT67:BT69">MMULT($I$43:$K$45,BT54:BT56)</f>
        <v>113.44299858915247</v>
      </c>
      <c r="BU67" s="133">
        <f t="array" ref="BU67:BU69">MMULT($I$43:$K$45,BU54:BU56)</f>
        <v>113.44299858915247</v>
      </c>
      <c r="BV67" s="133">
        <f t="array" ref="BV67:BV69">MMULT($I$43:$K$45,BV54:BV56)</f>
        <v>113.44299858915247</v>
      </c>
      <c r="BW67" s="133">
        <f t="array" ref="BW67:BW69">MMULT($I$43:$K$45,BW54:BW56)</f>
        <v>113.44299858915247</v>
      </c>
      <c r="BX67" s="133">
        <f t="array" ref="BX67:BX69">MMULT($I$43:$K$45,BX54:BX56)</f>
        <v>113.44299858915247</v>
      </c>
      <c r="BY67" s="133">
        <f t="array" ref="BY67:BY69">MMULT($I$43:$K$45,BY54:BY56)</f>
        <v>113.44299858915247</v>
      </c>
      <c r="BZ67" s="133">
        <f t="array" ref="BZ67:BZ69">MMULT($I$43:$K$45,BZ54:BZ56)</f>
        <v>113.44299858915247</v>
      </c>
      <c r="CA67" s="133">
        <f t="array" ref="CA67:CA69">MMULT($I$43:$K$45,CA54:CA56)</f>
        <v>113.44299858915247</v>
      </c>
      <c r="CB67" s="133">
        <f t="array" ref="CB67:CB69">MMULT($I$43:$K$45,CB54:CB56)</f>
        <v>113.44299858915247</v>
      </c>
      <c r="CC67" s="133">
        <f t="array" ref="CC67:CC69">MMULT($I$43:$K$45,CC54:CC56)</f>
        <v>113.44299858915247</v>
      </c>
      <c r="CD67" s="133">
        <f t="array" ref="CD67:CD69">MMULT($I$43:$K$45,CD54:CD56)</f>
        <v>113.44299858915247</v>
      </c>
      <c r="CE67" s="133">
        <f t="array" ref="CE67:CE69">MMULT($I$43:$K$45,CE54:CE56)</f>
        <v>113.44299858915247</v>
      </c>
      <c r="CF67" s="133">
        <f t="array" ref="CF67:CF69">MMULT($I$43:$K$45,CF54:CF56)</f>
        <v>113.44299858915247</v>
      </c>
      <c r="CG67" s="133">
        <f t="array" ref="CG67:CG69">MMULT($I$43:$K$45,CG54:CG56)</f>
        <v>113.44299858915247</v>
      </c>
      <c r="CH67" s="133">
        <f t="array" ref="CH67:CH69">MMULT($I$43:$K$45,CH54:CH56)</f>
        <v>113.44299858915247</v>
      </c>
      <c r="CI67" s="133">
        <f t="array" ref="CI67:CI69">MMULT($I$43:$K$45,CI54:CI56)</f>
        <v>113.44299858915247</v>
      </c>
      <c r="CJ67" s="133">
        <f t="array" ref="CJ67:CJ69">MMULT($I$43:$K$45,CJ54:CJ56)</f>
        <v>113.44299858915247</v>
      </c>
      <c r="CK67" s="133">
        <f t="array" ref="CK67:CK69">MMULT($I$43:$K$45,CK54:CK56)</f>
        <v>113.44299858915247</v>
      </c>
      <c r="CL67" s="133">
        <f t="array" ref="CL67:CL69">MMULT($I$43:$K$45,CL54:CL56)</f>
        <v>113.44299858915247</v>
      </c>
      <c r="CM67" s="133">
        <f t="array" ref="CM67:CM69">MMULT($I$43:$K$45,CM54:CM56)</f>
        <v>113.44299858915247</v>
      </c>
      <c r="CN67" s="133">
        <f t="array" ref="CN67:CN69">MMULT($I$43:$K$45,CN54:CN56)</f>
        <v>113.44299858915247</v>
      </c>
      <c r="CO67" s="133">
        <f t="array" ref="CO67:CO69">MMULT($I$43:$K$45,CO54:CO56)</f>
        <v>113.44299858915247</v>
      </c>
      <c r="CP67" s="133">
        <f t="array" ref="CP67:CP69">MMULT($I$43:$K$45,CP54:CP56)</f>
        <v>113.44299858915247</v>
      </c>
      <c r="CQ67" s="133">
        <f t="array" ref="CQ67:CQ69">MMULT($I$43:$K$45,CQ54:CQ56)</f>
        <v>113.44299858915247</v>
      </c>
      <c r="CR67" s="133">
        <f t="array" ref="CR67:CR69">MMULT($I$43:$K$45,CR54:CR56)</f>
        <v>113.44299858915247</v>
      </c>
      <c r="CS67" s="133">
        <f t="array" ref="CS67:CS69">MMULT($I$43:$K$45,CS54:CS56)</f>
        <v>113.44299858915247</v>
      </c>
      <c r="CT67" s="133">
        <f t="array" ref="CT67:CT69">MMULT($I$43:$K$45,CT54:CT56)</f>
        <v>113.44299858915247</v>
      </c>
      <c r="CU67" s="133">
        <f t="array" ref="CU67:CU69">MMULT($I$43:$K$45,CU54:CU56)</f>
        <v>113.44299858915247</v>
      </c>
      <c r="CV67" s="133">
        <f t="array" ref="CV67:CV69">MMULT($I$43:$K$45,CV54:CV56)</f>
        <v>113.44299858915247</v>
      </c>
      <c r="CW67" s="133">
        <f t="array" ref="CW67:CW69">MMULT($I$43:$K$45,CW54:CW56)</f>
        <v>113.44299858915247</v>
      </c>
      <c r="CX67" s="133">
        <f t="array" ref="CX67:CX69">MMULT($I$43:$K$45,CX54:CX56)</f>
        <v>113.44299858915247</v>
      </c>
      <c r="CY67" s="133">
        <f t="array" ref="CY67:CY69">MMULT($I$43:$K$45,CY54:CY56)</f>
        <v>113.44299858915247</v>
      </c>
      <c r="CZ67" s="133">
        <f t="array" ref="CZ67:CZ69">MMULT($I$43:$K$45,CZ54:CZ56)</f>
        <v>113.44299858915247</v>
      </c>
      <c r="DA67" s="133">
        <f t="array" ref="DA67:DA69">MMULT($I$43:$K$45,DA54:DA56)</f>
        <v>113.44299858915247</v>
      </c>
      <c r="DC67">
        <v>63</v>
      </c>
      <c r="DD67" s="84">
        <v>34.829484129015619</v>
      </c>
      <c r="DE67" s="84">
        <v>-2.3850160068910067</v>
      </c>
      <c r="DF67" s="84">
        <v>-2.3538661159930196</v>
      </c>
      <c r="DG67" s="84">
        <v>34.604818846250431</v>
      </c>
      <c r="DH67" s="84">
        <v>0.67293636371955767</v>
      </c>
      <c r="DI67" s="84">
        <v>-2.2559784556468157</v>
      </c>
      <c r="DJ67" s="84">
        <v>3.067756376287202</v>
      </c>
      <c r="DK67" s="84">
        <f t="shared" si="0"/>
        <v>9.4111291842507843</v>
      </c>
      <c r="DL67" s="84">
        <f t="shared" si="1"/>
        <v>3.9204176544853269</v>
      </c>
      <c r="DM67" s="84">
        <f t="shared" si="2"/>
        <v>224.62338553058666</v>
      </c>
      <c r="DN67" s="85">
        <v>5</v>
      </c>
      <c r="DO67">
        <v>6</v>
      </c>
      <c r="DP67">
        <f t="shared" si="88"/>
        <v>202.5</v>
      </c>
      <c r="DQ67" s="270">
        <v>-18.477590650225736</v>
      </c>
      <c r="DR67" s="270">
        <v>-7.6536686473017932</v>
      </c>
    </row>
    <row r="68" spans="1:122">
      <c r="A68">
        <v>675</v>
      </c>
      <c r="B68" s="90">
        <f>'Color metric'!B62</f>
        <v>0.39455958877441283</v>
      </c>
      <c r="C68" s="82">
        <f>Reference!N68</f>
        <v>7.0134580619672118</v>
      </c>
      <c r="D68" s="82"/>
      <c r="E68" s="137" t="s">
        <v>137</v>
      </c>
      <c r="F68" s="133">
        <v>95.109753139400027</v>
      </c>
      <c r="G68" s="133">
        <v>95.109753139400027</v>
      </c>
      <c r="H68" s="133">
        <v>95.109753139400027</v>
      </c>
      <c r="I68" s="133">
        <v>95.109753139400027</v>
      </c>
      <c r="J68" s="133">
        <v>95.109753139400027</v>
      </c>
      <c r="K68" s="133">
        <v>95.109753139400027</v>
      </c>
      <c r="L68" s="133">
        <v>95.109753139400027</v>
      </c>
      <c r="M68" s="133">
        <v>95.109753139400027</v>
      </c>
      <c r="N68" s="133">
        <v>95.109753139400027</v>
      </c>
      <c r="O68" s="133">
        <v>95.109753139400027</v>
      </c>
      <c r="P68" s="133">
        <v>95.109753139400027</v>
      </c>
      <c r="Q68" s="133">
        <v>95.109753139400027</v>
      </c>
      <c r="R68" s="133">
        <v>95.109753139400027</v>
      </c>
      <c r="S68" s="133">
        <v>95.109753139400027</v>
      </c>
      <c r="T68" s="133">
        <v>95.109753139400027</v>
      </c>
      <c r="U68" s="133">
        <v>95.109753139400027</v>
      </c>
      <c r="V68" s="133">
        <v>95.109753139400027</v>
      </c>
      <c r="W68" s="133">
        <v>95.109753139400027</v>
      </c>
      <c r="X68" s="133">
        <v>95.109753139400027</v>
      </c>
      <c r="Y68" s="133">
        <v>95.109753139400027</v>
      </c>
      <c r="Z68" s="133">
        <v>95.109753139400027</v>
      </c>
      <c r="AA68" s="133">
        <v>95.109753139400027</v>
      </c>
      <c r="AB68" s="133">
        <v>95.109753139400027</v>
      </c>
      <c r="AC68" s="133">
        <v>95.109753139400027</v>
      </c>
      <c r="AD68" s="133">
        <v>95.109753139400027</v>
      </c>
      <c r="AE68" s="133">
        <v>95.109753139400027</v>
      </c>
      <c r="AF68" s="133">
        <v>95.109753139400027</v>
      </c>
      <c r="AG68" s="133">
        <v>95.109753139400027</v>
      </c>
      <c r="AH68" s="133">
        <v>95.109753139400027</v>
      </c>
      <c r="AI68" s="133">
        <v>95.109753139400027</v>
      </c>
      <c r="AJ68" s="133">
        <v>95.109753139400027</v>
      </c>
      <c r="AK68" s="133">
        <v>95.109753139400027</v>
      </c>
      <c r="AL68" s="133">
        <v>95.109753139400027</v>
      </c>
      <c r="AM68" s="133">
        <v>95.109753139400027</v>
      </c>
      <c r="AN68" s="133">
        <v>95.109753139400027</v>
      </c>
      <c r="AO68" s="133">
        <v>95.109753139400027</v>
      </c>
      <c r="AP68" s="133">
        <v>95.109753139400027</v>
      </c>
      <c r="AQ68" s="133">
        <v>95.109753139400027</v>
      </c>
      <c r="AR68" s="133">
        <v>95.109753139400027</v>
      </c>
      <c r="AS68" s="133">
        <v>95.109753139400027</v>
      </c>
      <c r="AT68" s="133">
        <v>95.109753139400027</v>
      </c>
      <c r="AU68" s="133">
        <v>95.109753139400027</v>
      </c>
      <c r="AV68" s="133">
        <v>95.109753139400027</v>
      </c>
      <c r="AW68" s="133">
        <v>95.109753139400027</v>
      </c>
      <c r="AX68" s="133">
        <v>95.109753139400027</v>
      </c>
      <c r="AY68" s="133">
        <v>95.109753139400027</v>
      </c>
      <c r="AZ68" s="133">
        <v>95.109753139400027</v>
      </c>
      <c r="BA68" s="133">
        <v>95.109753139400027</v>
      </c>
      <c r="BB68" s="133">
        <v>95.109753139400027</v>
      </c>
      <c r="BC68" s="133">
        <v>95.109753139400027</v>
      </c>
      <c r="BD68" s="133">
        <v>95.109753139400027</v>
      </c>
      <c r="BE68" s="133">
        <v>95.109753139400027</v>
      </c>
      <c r="BF68" s="133">
        <v>95.109753139400027</v>
      </c>
      <c r="BG68" s="133">
        <v>95.109753139400027</v>
      </c>
      <c r="BH68" s="133">
        <v>95.109753139400027</v>
      </c>
      <c r="BI68" s="133">
        <v>95.109753139400027</v>
      </c>
      <c r="BJ68" s="133">
        <v>95.109753139400027</v>
      </c>
      <c r="BK68" s="133">
        <v>95.109753139400027</v>
      </c>
      <c r="BL68" s="133">
        <v>95.109753139400027</v>
      </c>
      <c r="BM68" s="133">
        <v>95.109753139400027</v>
      </c>
      <c r="BN68" s="133">
        <v>95.109753139400027</v>
      </c>
      <c r="BO68" s="133">
        <v>95.109753139400027</v>
      </c>
      <c r="BP68" s="133">
        <v>95.109753139400027</v>
      </c>
      <c r="BQ68" s="133">
        <v>95.109753139400027</v>
      </c>
      <c r="BR68" s="133">
        <v>95.109753139400027</v>
      </c>
      <c r="BS68" s="133">
        <v>95.109753139400027</v>
      </c>
      <c r="BT68" s="133">
        <v>95.109753139400027</v>
      </c>
      <c r="BU68" s="133">
        <v>95.109753139400027</v>
      </c>
      <c r="BV68" s="133">
        <v>95.109753139400027</v>
      </c>
      <c r="BW68" s="133">
        <v>95.109753139400027</v>
      </c>
      <c r="BX68" s="133">
        <v>95.109753139400027</v>
      </c>
      <c r="BY68" s="133">
        <v>95.109753139400027</v>
      </c>
      <c r="BZ68" s="133">
        <v>95.109753139400027</v>
      </c>
      <c r="CA68" s="133">
        <v>95.109753139400027</v>
      </c>
      <c r="CB68" s="133">
        <v>95.109753139400027</v>
      </c>
      <c r="CC68" s="133">
        <v>95.109753139400027</v>
      </c>
      <c r="CD68" s="133">
        <v>95.109753139400027</v>
      </c>
      <c r="CE68" s="133">
        <v>95.109753139400027</v>
      </c>
      <c r="CF68" s="133">
        <v>95.109753139400027</v>
      </c>
      <c r="CG68" s="133">
        <v>95.109753139400027</v>
      </c>
      <c r="CH68" s="133">
        <v>95.109753139400027</v>
      </c>
      <c r="CI68" s="133">
        <v>95.109753139400027</v>
      </c>
      <c r="CJ68" s="133">
        <v>95.109753139400027</v>
      </c>
      <c r="CK68" s="133">
        <v>95.109753139400027</v>
      </c>
      <c r="CL68" s="133">
        <v>95.109753139400027</v>
      </c>
      <c r="CM68" s="133">
        <v>95.109753139400027</v>
      </c>
      <c r="CN68" s="133">
        <v>95.109753139400027</v>
      </c>
      <c r="CO68" s="133">
        <v>95.109753139400027</v>
      </c>
      <c r="CP68" s="133">
        <v>95.109753139400027</v>
      </c>
      <c r="CQ68" s="133">
        <v>95.109753139400027</v>
      </c>
      <c r="CR68" s="133">
        <v>95.109753139400027</v>
      </c>
      <c r="CS68" s="133">
        <v>95.109753139400027</v>
      </c>
      <c r="CT68" s="133">
        <v>95.109753139400027</v>
      </c>
      <c r="CU68" s="133">
        <v>95.109753139400027</v>
      </c>
      <c r="CV68" s="133">
        <v>95.109753139400027</v>
      </c>
      <c r="CW68" s="133">
        <v>95.109753139400027</v>
      </c>
      <c r="CX68" s="133">
        <v>95.109753139400027</v>
      </c>
      <c r="CY68" s="133">
        <v>95.109753139400027</v>
      </c>
      <c r="CZ68" s="133">
        <v>95.109753139400027</v>
      </c>
      <c r="DA68" s="133">
        <v>95.109753139400027</v>
      </c>
      <c r="DC68">
        <v>64</v>
      </c>
      <c r="DD68" s="84">
        <v>58.827980476313499</v>
      </c>
      <c r="DE68" s="84">
        <v>-28.856701551166868</v>
      </c>
      <c r="DF68" s="84">
        <v>-14.080386344220853</v>
      </c>
      <c r="DG68" s="84">
        <v>57.672530139596525</v>
      </c>
      <c r="DH68" s="84">
        <v>-25.220552294228408</v>
      </c>
      <c r="DI68" s="84">
        <v>-16.000874305605343</v>
      </c>
      <c r="DJ68" s="84">
        <v>4.2714073686756029</v>
      </c>
      <c r="DK68" s="84">
        <f t="shared" si="0"/>
        <v>18.244920909176237</v>
      </c>
      <c r="DL68" s="84">
        <f t="shared" si="1"/>
        <v>3.5955471251733186</v>
      </c>
      <c r="DM68" s="84">
        <f t="shared" si="2"/>
        <v>206.00967531282745</v>
      </c>
      <c r="DN68" s="85">
        <v>5</v>
      </c>
      <c r="DO68">
        <v>5</v>
      </c>
      <c r="DP68">
        <f t="shared" si="88"/>
        <v>202.5</v>
      </c>
      <c r="DQ68" s="270">
        <v>-18.477590650225736</v>
      </c>
      <c r="DR68" s="270">
        <v>-7.6536686473017932</v>
      </c>
    </row>
    <row r="69" spans="1:122">
      <c r="A69">
        <v>680</v>
      </c>
      <c r="B69" s="90">
        <f>'Color metric'!B63</f>
        <v>0.35355494083059075</v>
      </c>
      <c r="C69" s="82">
        <f>Reference!N69</f>
        <v>7.0899405916133738</v>
      </c>
      <c r="D69" s="82"/>
      <c r="E69" s="137" t="s">
        <v>138</v>
      </c>
      <c r="F69" s="133">
        <v>47.399391195584698</v>
      </c>
      <c r="G69" s="133">
        <v>47.399391195584698</v>
      </c>
      <c r="H69" s="133">
        <v>47.399391195584698</v>
      </c>
      <c r="I69" s="133">
        <v>47.399391195584698</v>
      </c>
      <c r="J69" s="133">
        <v>47.399391195584698</v>
      </c>
      <c r="K69" s="133">
        <v>47.399391195584698</v>
      </c>
      <c r="L69" s="133">
        <v>47.399391195584698</v>
      </c>
      <c r="M69" s="133">
        <v>47.399391195584698</v>
      </c>
      <c r="N69" s="133">
        <v>47.399391195584698</v>
      </c>
      <c r="O69" s="133">
        <v>47.399391195584698</v>
      </c>
      <c r="P69" s="133">
        <v>47.399391195584698</v>
      </c>
      <c r="Q69" s="133">
        <v>47.399391195584698</v>
      </c>
      <c r="R69" s="133">
        <v>47.399391195584698</v>
      </c>
      <c r="S69" s="133">
        <v>47.399391195584698</v>
      </c>
      <c r="T69" s="133">
        <v>47.399391195584698</v>
      </c>
      <c r="U69" s="133">
        <v>47.399391195584698</v>
      </c>
      <c r="V69" s="133">
        <v>47.399391195584698</v>
      </c>
      <c r="W69" s="133">
        <v>47.399391195584698</v>
      </c>
      <c r="X69" s="133">
        <v>47.399391195584698</v>
      </c>
      <c r="Y69" s="133">
        <v>47.399391195584698</v>
      </c>
      <c r="Z69" s="133">
        <v>47.399391195584698</v>
      </c>
      <c r="AA69" s="133">
        <v>47.399391195584698</v>
      </c>
      <c r="AB69" s="133">
        <v>47.399391195584698</v>
      </c>
      <c r="AC69" s="133">
        <v>47.399391195584698</v>
      </c>
      <c r="AD69" s="133">
        <v>47.399391195584698</v>
      </c>
      <c r="AE69" s="133">
        <v>47.399391195584698</v>
      </c>
      <c r="AF69" s="133">
        <v>47.399391195584698</v>
      </c>
      <c r="AG69" s="133">
        <v>47.399391195584698</v>
      </c>
      <c r="AH69" s="133">
        <v>47.399391195584698</v>
      </c>
      <c r="AI69" s="133">
        <v>47.399391195584698</v>
      </c>
      <c r="AJ69" s="133">
        <v>47.399391195584698</v>
      </c>
      <c r="AK69" s="133">
        <v>47.399391195584698</v>
      </c>
      <c r="AL69" s="133">
        <v>47.399391195584698</v>
      </c>
      <c r="AM69" s="133">
        <v>47.399391195584698</v>
      </c>
      <c r="AN69" s="133">
        <v>47.399391195584698</v>
      </c>
      <c r="AO69" s="133">
        <v>47.399391195584698</v>
      </c>
      <c r="AP69" s="133">
        <v>47.399391195584698</v>
      </c>
      <c r="AQ69" s="133">
        <v>47.399391195584698</v>
      </c>
      <c r="AR69" s="133">
        <v>47.399391195584698</v>
      </c>
      <c r="AS69" s="133">
        <v>47.399391195584698</v>
      </c>
      <c r="AT69" s="133">
        <v>47.399391195584698</v>
      </c>
      <c r="AU69" s="133">
        <v>47.399391195584698</v>
      </c>
      <c r="AV69" s="133">
        <v>47.399391195584698</v>
      </c>
      <c r="AW69" s="133">
        <v>47.399391195584698</v>
      </c>
      <c r="AX69" s="133">
        <v>47.399391195584698</v>
      </c>
      <c r="AY69" s="133">
        <v>47.399391195584698</v>
      </c>
      <c r="AZ69" s="133">
        <v>47.399391195584698</v>
      </c>
      <c r="BA69" s="133">
        <v>47.399391195584698</v>
      </c>
      <c r="BB69" s="133">
        <v>47.399391195584698</v>
      </c>
      <c r="BC69" s="133">
        <v>47.399391195584698</v>
      </c>
      <c r="BD69" s="133">
        <v>47.399391195584698</v>
      </c>
      <c r="BE69" s="133">
        <v>47.399391195584698</v>
      </c>
      <c r="BF69" s="133">
        <v>47.399391195584698</v>
      </c>
      <c r="BG69" s="133">
        <v>47.399391195584698</v>
      </c>
      <c r="BH69" s="133">
        <v>47.399391195584698</v>
      </c>
      <c r="BI69" s="133">
        <v>47.399391195584698</v>
      </c>
      <c r="BJ69" s="133">
        <v>47.399391195584698</v>
      </c>
      <c r="BK69" s="133">
        <v>47.399391195584698</v>
      </c>
      <c r="BL69" s="133">
        <v>47.399391195584698</v>
      </c>
      <c r="BM69" s="133">
        <v>47.399391195584698</v>
      </c>
      <c r="BN69" s="133">
        <v>47.399391195584698</v>
      </c>
      <c r="BO69" s="133">
        <v>47.399391195584698</v>
      </c>
      <c r="BP69" s="133">
        <v>47.399391195584698</v>
      </c>
      <c r="BQ69" s="133">
        <v>47.399391195584698</v>
      </c>
      <c r="BR69" s="133">
        <v>47.399391195584698</v>
      </c>
      <c r="BS69" s="133">
        <v>47.399391195584698</v>
      </c>
      <c r="BT69" s="133">
        <v>47.399391195584698</v>
      </c>
      <c r="BU69" s="133">
        <v>47.399391195584698</v>
      </c>
      <c r="BV69" s="133">
        <v>47.399391195584698</v>
      </c>
      <c r="BW69" s="133">
        <v>47.399391195584698</v>
      </c>
      <c r="BX69" s="133">
        <v>47.399391195584698</v>
      </c>
      <c r="BY69" s="133">
        <v>47.399391195584698</v>
      </c>
      <c r="BZ69" s="133">
        <v>47.399391195584698</v>
      </c>
      <c r="CA69" s="133">
        <v>47.399391195584698</v>
      </c>
      <c r="CB69" s="133">
        <v>47.399391195584698</v>
      </c>
      <c r="CC69" s="133">
        <v>47.399391195584698</v>
      </c>
      <c r="CD69" s="133">
        <v>47.399391195584698</v>
      </c>
      <c r="CE69" s="133">
        <v>47.399391195584698</v>
      </c>
      <c r="CF69" s="133">
        <v>47.399391195584698</v>
      </c>
      <c r="CG69" s="133">
        <v>47.399391195584698</v>
      </c>
      <c r="CH69" s="133">
        <v>47.399391195584698</v>
      </c>
      <c r="CI69" s="133">
        <v>47.399391195584698</v>
      </c>
      <c r="CJ69" s="133">
        <v>47.399391195584698</v>
      </c>
      <c r="CK69" s="133">
        <v>47.399391195584698</v>
      </c>
      <c r="CL69" s="133">
        <v>47.399391195584698</v>
      </c>
      <c r="CM69" s="133">
        <v>47.399391195584698</v>
      </c>
      <c r="CN69" s="133">
        <v>47.399391195584698</v>
      </c>
      <c r="CO69" s="133">
        <v>47.399391195584698</v>
      </c>
      <c r="CP69" s="133">
        <v>47.399391195584698</v>
      </c>
      <c r="CQ69" s="133">
        <v>47.399391195584698</v>
      </c>
      <c r="CR69" s="133">
        <v>47.399391195584698</v>
      </c>
      <c r="CS69" s="133">
        <v>47.399391195584698</v>
      </c>
      <c r="CT69" s="133">
        <v>47.399391195584698</v>
      </c>
      <c r="CU69" s="133">
        <v>47.399391195584698</v>
      </c>
      <c r="CV69" s="133">
        <v>47.399391195584698</v>
      </c>
      <c r="CW69" s="133">
        <v>47.399391195584698</v>
      </c>
      <c r="CX69" s="133">
        <v>47.399391195584698</v>
      </c>
      <c r="CY69" s="133">
        <v>47.399391195584698</v>
      </c>
      <c r="CZ69" s="133">
        <v>47.399391195584698</v>
      </c>
      <c r="DA69" s="133">
        <v>47.399391195584698</v>
      </c>
      <c r="DC69">
        <v>65</v>
      </c>
      <c r="DD69" s="84">
        <v>40.306377935181608</v>
      </c>
      <c r="DE69" s="84">
        <v>-18.040330506519219</v>
      </c>
      <c r="DF69" s="84">
        <v>-9.9212998394925282</v>
      </c>
      <c r="DG69" s="84">
        <v>40.171216615332121</v>
      </c>
      <c r="DH69" s="84">
        <v>-14.089435162677129</v>
      </c>
      <c r="DI69" s="84">
        <v>-10.746045928887044</v>
      </c>
      <c r="DJ69" s="84">
        <v>4.0383225121760784</v>
      </c>
      <c r="DK69" s="84">
        <f t="shared" si="0"/>
        <v>16.308048712348114</v>
      </c>
      <c r="DL69" s="84">
        <f t="shared" si="1"/>
        <v>3.644398330475525</v>
      </c>
      <c r="DM69" s="84">
        <f t="shared" si="2"/>
        <v>208.808643200771</v>
      </c>
      <c r="DN69" s="85">
        <v>5</v>
      </c>
      <c r="DO69">
        <v>6</v>
      </c>
      <c r="DP69">
        <f t="shared" si="88"/>
        <v>202.5</v>
      </c>
      <c r="DQ69" s="270">
        <v>-18.477590650225736</v>
      </c>
      <c r="DR69" s="270">
        <v>-7.6536686473017932</v>
      </c>
    </row>
    <row r="70" spans="1:122">
      <c r="A70">
        <v>685</v>
      </c>
      <c r="B70" s="90">
        <f>'Color metric'!B64</f>
        <v>0.3160976865072892</v>
      </c>
      <c r="C70" s="82">
        <f>Reference!N70</f>
        <v>7.1642252082523044</v>
      </c>
      <c r="D70" s="82"/>
      <c r="E70" s="137" t="s">
        <v>139</v>
      </c>
      <c r="F70" s="133">
        <f>($F$49*(F55/F67)+1-$F$49)*F64</f>
        <v>100</v>
      </c>
      <c r="G70" s="133">
        <f t="shared" ref="G70:BR70" si="116">($F$49*(G55/G67)+1-$F$49)*G64</f>
        <v>68.786017846775323</v>
      </c>
      <c r="H70" s="133">
        <f t="shared" si="116"/>
        <v>34.914217251228294</v>
      </c>
      <c r="I70" s="133">
        <f t="shared" si="116"/>
        <v>6.9608450596878333</v>
      </c>
      <c r="J70" s="133">
        <f t="shared" si="116"/>
        <v>41.555200057795197</v>
      </c>
      <c r="K70" s="133">
        <f t="shared" si="116"/>
        <v>22.937428578392765</v>
      </c>
      <c r="L70" s="133">
        <f t="shared" si="116"/>
        <v>19.888649329428361</v>
      </c>
      <c r="M70" s="133">
        <f t="shared" si="116"/>
        <v>16.198603416089682</v>
      </c>
      <c r="N70" s="133">
        <f t="shared" si="116"/>
        <v>15.117715017607702</v>
      </c>
      <c r="O70" s="133">
        <f t="shared" si="116"/>
        <v>5.1411742415003587</v>
      </c>
      <c r="P70" s="133">
        <f t="shared" si="116"/>
        <v>56.671809011892414</v>
      </c>
      <c r="Q70" s="133">
        <f t="shared" si="116"/>
        <v>30.668019482542231</v>
      </c>
      <c r="R70" s="133">
        <f t="shared" si="116"/>
        <v>39.524930053408291</v>
      </c>
      <c r="S70" s="133">
        <f t="shared" si="116"/>
        <v>14.758798940979901</v>
      </c>
      <c r="T70" s="133">
        <f t="shared" si="116"/>
        <v>44.482406310800179</v>
      </c>
      <c r="U70" s="133">
        <f t="shared" si="116"/>
        <v>42.975855559653795</v>
      </c>
      <c r="V70" s="133">
        <f t="shared" si="116"/>
        <v>18.118913933530099</v>
      </c>
      <c r="W70" s="133">
        <f t="shared" si="116"/>
        <v>19.246983037652999</v>
      </c>
      <c r="X70" s="133">
        <f t="shared" si="116"/>
        <v>24.495173767873371</v>
      </c>
      <c r="Y70" s="133">
        <f t="shared" si="116"/>
        <v>45.279827361696803</v>
      </c>
      <c r="Z70" s="133">
        <f t="shared" si="116"/>
        <v>41.304586749616412</v>
      </c>
      <c r="AA70" s="133">
        <f t="shared" si="116"/>
        <v>74.955887790353472</v>
      </c>
      <c r="AB70" s="133">
        <f t="shared" si="116"/>
        <v>59.39693044757496</v>
      </c>
      <c r="AC70" s="133">
        <f t="shared" si="116"/>
        <v>79.809445860381828</v>
      </c>
      <c r="AD70" s="133">
        <f t="shared" si="116"/>
        <v>81.111070636320008</v>
      </c>
      <c r="AE70" s="133">
        <f t="shared" si="116"/>
        <v>45.325448340091761</v>
      </c>
      <c r="AF70" s="133">
        <f t="shared" si="116"/>
        <v>80.351674579720068</v>
      </c>
      <c r="AG70" s="133">
        <f t="shared" si="116"/>
        <v>43.437875364611259</v>
      </c>
      <c r="AH70" s="133">
        <f t="shared" si="116"/>
        <v>11.704609121101397</v>
      </c>
      <c r="AI70" s="133">
        <f t="shared" si="116"/>
        <v>71.477352279625507</v>
      </c>
      <c r="AJ70" s="133">
        <f t="shared" si="116"/>
        <v>31.707960047617984</v>
      </c>
      <c r="AK70" s="133">
        <f t="shared" si="116"/>
        <v>74.863206881183189</v>
      </c>
      <c r="AL70" s="133">
        <f t="shared" si="116"/>
        <v>48.599914585455039</v>
      </c>
      <c r="AM70" s="133">
        <f t="shared" si="116"/>
        <v>75.528764407384784</v>
      </c>
      <c r="AN70" s="133">
        <f t="shared" si="116"/>
        <v>29.327963468055373</v>
      </c>
      <c r="AO70" s="133">
        <f t="shared" si="116"/>
        <v>11.732544819494438</v>
      </c>
      <c r="AP70" s="133">
        <f t="shared" si="116"/>
        <v>54.272102862698922</v>
      </c>
      <c r="AQ70" s="133">
        <f t="shared" si="116"/>
        <v>15.372319791933251</v>
      </c>
      <c r="AR70" s="133">
        <f t="shared" si="116"/>
        <v>66.332445785766652</v>
      </c>
      <c r="AS70" s="133">
        <f t="shared" si="116"/>
        <v>7.7046880899714054</v>
      </c>
      <c r="AT70" s="133">
        <f t="shared" si="116"/>
        <v>16.761798816464289</v>
      </c>
      <c r="AU70" s="133">
        <f t="shared" si="116"/>
        <v>69.077042966495213</v>
      </c>
      <c r="AV70" s="133">
        <f t="shared" si="116"/>
        <v>34.415270769312791</v>
      </c>
      <c r="AW70" s="133">
        <f t="shared" si="116"/>
        <v>39.391604769855782</v>
      </c>
      <c r="AX70" s="133">
        <f t="shared" si="116"/>
        <v>4.948351291922255</v>
      </c>
      <c r="AY70" s="133">
        <f t="shared" si="116"/>
        <v>22.270455231448715</v>
      </c>
      <c r="AZ70" s="133">
        <f t="shared" si="116"/>
        <v>31.311830409413567</v>
      </c>
      <c r="BA70" s="133">
        <f t="shared" si="116"/>
        <v>36.350325505094141</v>
      </c>
      <c r="BB70" s="133">
        <f t="shared" si="116"/>
        <v>45.095264184583705</v>
      </c>
      <c r="BC70" s="133">
        <f t="shared" si="116"/>
        <v>12.731058893376051</v>
      </c>
      <c r="BD70" s="133">
        <f t="shared" si="116"/>
        <v>18.463808338051511</v>
      </c>
      <c r="BE70" s="133">
        <f t="shared" si="116"/>
        <v>22.110222666382001</v>
      </c>
      <c r="BF70" s="133">
        <f t="shared" si="116"/>
        <v>9.3035452666809277</v>
      </c>
      <c r="BG70" s="133">
        <f t="shared" si="116"/>
        <v>12.703456728624712</v>
      </c>
      <c r="BH70" s="133">
        <f t="shared" si="116"/>
        <v>62.362030586648501</v>
      </c>
      <c r="BI70" s="133">
        <f t="shared" si="116"/>
        <v>54.853496951808431</v>
      </c>
      <c r="BJ70" s="133">
        <f t="shared" si="116"/>
        <v>31.521981290337003</v>
      </c>
      <c r="BK70" s="133">
        <f t="shared" si="116"/>
        <v>17.589575472248075</v>
      </c>
      <c r="BL70" s="133">
        <f t="shared" si="116"/>
        <v>14.723296051619911</v>
      </c>
      <c r="BM70" s="133">
        <f t="shared" si="116"/>
        <v>61.801777861912718</v>
      </c>
      <c r="BN70" s="133">
        <f t="shared" si="116"/>
        <v>67.554472675971667</v>
      </c>
      <c r="BO70" s="133">
        <f t="shared" si="116"/>
        <v>43.938648966152698</v>
      </c>
      <c r="BP70" s="133">
        <f t="shared" si="116"/>
        <v>32.190411081756935</v>
      </c>
      <c r="BQ70" s="133">
        <f t="shared" si="116"/>
        <v>7.2061819896677353</v>
      </c>
      <c r="BR70" s="133">
        <f t="shared" si="116"/>
        <v>17.896763826000612</v>
      </c>
      <c r="BS70" s="133">
        <f t="shared" ref="BS70:DA70" si="117">($F$49*(BS55/BS67)+1-$F$49)*BS64</f>
        <v>8.403990715451167</v>
      </c>
      <c r="BT70" s="133">
        <f t="shared" si="117"/>
        <v>9.2334462812376454</v>
      </c>
      <c r="BU70" s="133">
        <f t="shared" si="117"/>
        <v>10.792022615300729</v>
      </c>
      <c r="BV70" s="133">
        <f t="shared" si="117"/>
        <v>25.641795233513708</v>
      </c>
      <c r="BW70" s="133">
        <f t="shared" si="117"/>
        <v>17.967692206380665</v>
      </c>
      <c r="BX70" s="133">
        <f t="shared" si="117"/>
        <v>34.569136179863584</v>
      </c>
      <c r="BY70" s="133">
        <f t="shared" si="117"/>
        <v>5.9737760509510824</v>
      </c>
      <c r="BZ70" s="133">
        <f t="shared" si="117"/>
        <v>45.284379195321783</v>
      </c>
      <c r="CA70" s="133">
        <f t="shared" si="117"/>
        <v>17.577812367304457</v>
      </c>
      <c r="CB70" s="133">
        <f t="shared" si="117"/>
        <v>4.7467197823215503</v>
      </c>
      <c r="CC70" s="133">
        <f t="shared" si="117"/>
        <v>5.3802206943507542</v>
      </c>
      <c r="CD70" s="133">
        <f t="shared" si="117"/>
        <v>11.520423850458613</v>
      </c>
      <c r="CE70" s="133">
        <f t="shared" si="117"/>
        <v>11.035963190581235</v>
      </c>
      <c r="CF70" s="133">
        <f t="shared" si="117"/>
        <v>9.6886462598853935</v>
      </c>
      <c r="CG70" s="133">
        <f t="shared" si="117"/>
        <v>40.147667602767427</v>
      </c>
      <c r="CH70" s="133">
        <f t="shared" si="117"/>
        <v>30.256089864778403</v>
      </c>
      <c r="CI70" s="133">
        <f t="shared" si="117"/>
        <v>11.797736958169883</v>
      </c>
      <c r="CJ70" s="133">
        <f t="shared" si="117"/>
        <v>66.322815621054843</v>
      </c>
      <c r="CK70" s="133">
        <f t="shared" si="117"/>
        <v>40.552945278589931</v>
      </c>
      <c r="CL70" s="133">
        <f t="shared" si="117"/>
        <v>4.82075045365979</v>
      </c>
      <c r="CM70" s="133">
        <f t="shared" si="117"/>
        <v>10.876407115179346</v>
      </c>
      <c r="CN70" s="133">
        <f t="shared" si="117"/>
        <v>31.854020192883059</v>
      </c>
      <c r="CO70" s="133">
        <f t="shared" si="117"/>
        <v>10.2767506813392</v>
      </c>
      <c r="CP70" s="133">
        <f t="shared" si="117"/>
        <v>29.655597317174813</v>
      </c>
      <c r="CQ70" s="133">
        <f t="shared" si="117"/>
        <v>10.072751808230297</v>
      </c>
      <c r="CR70" s="133">
        <f t="shared" si="117"/>
        <v>13.72092579911272</v>
      </c>
      <c r="CS70" s="133">
        <f t="shared" si="117"/>
        <v>54.114896883282285</v>
      </c>
      <c r="CT70" s="133">
        <f t="shared" si="117"/>
        <v>23.774108321117371</v>
      </c>
      <c r="CU70" s="133">
        <f t="shared" si="117"/>
        <v>35.80562325026083</v>
      </c>
      <c r="CV70" s="133">
        <f t="shared" si="117"/>
        <v>11.817128216015789</v>
      </c>
      <c r="CW70" s="133">
        <f t="shared" si="117"/>
        <v>41.103082179574884</v>
      </c>
      <c r="CX70" s="133">
        <f t="shared" si="117"/>
        <v>53.952878567990631</v>
      </c>
      <c r="CY70" s="133">
        <f t="shared" si="117"/>
        <v>21.417986227585558</v>
      </c>
      <c r="CZ70" s="133">
        <f t="shared" si="117"/>
        <v>37.328722105765507</v>
      </c>
      <c r="DA70" s="133">
        <f t="shared" si="117"/>
        <v>24.489562030379332</v>
      </c>
      <c r="DC70">
        <v>66</v>
      </c>
      <c r="DD70" s="84">
        <v>44.917153516653237</v>
      </c>
      <c r="DE70" s="84">
        <v>-25.460162142592861</v>
      </c>
      <c r="DF70" s="84">
        <v>-16.331724608246098</v>
      </c>
      <c r="DG70" s="84">
        <v>43.474827870529488</v>
      </c>
      <c r="DH70" s="84">
        <v>-21.184765612676856</v>
      </c>
      <c r="DI70" s="84">
        <v>-18.688569891988958</v>
      </c>
      <c r="DJ70" s="84">
        <v>5.0905833112704348</v>
      </c>
      <c r="DK70" s="84">
        <f t="shared" ref="DK70:DK102" si="118">DJ70^2</f>
        <v>25.914038448985064</v>
      </c>
      <c r="DL70" s="84">
        <f t="shared" ref="DL70:DL102" si="119">ATAN(DF70/DE70)+PI()*IF(AND((DE70&lt;0),(DF70&gt;0)),1,0)+PI()*IF(AND((DE70&lt;0),(DF70&lt;0)),1,0)+2*PI()*IF(AND((DE70&gt;0),(DF70&lt;0)),1,0)</f>
        <v>3.7119422765459369</v>
      </c>
      <c r="DM70" s="84">
        <f t="shared" ref="DM70:DM102" si="120">DL70*180/PI()</f>
        <v>212.67862624226484</v>
      </c>
      <c r="DN70" s="85">
        <v>5</v>
      </c>
      <c r="DO70">
        <v>5</v>
      </c>
      <c r="DP70">
        <f t="shared" si="88"/>
        <v>202.5</v>
      </c>
      <c r="DQ70" s="270">
        <v>-18.477590650225736</v>
      </c>
      <c r="DR70" s="270">
        <v>-7.6536686473017932</v>
      </c>
    </row>
    <row r="71" spans="1:122">
      <c r="A71">
        <v>690</v>
      </c>
      <c r="B71" s="90">
        <f>'Color metric'!B65</f>
        <v>0.28147275035464647</v>
      </c>
      <c r="C71" s="82">
        <f>Reference!N71</f>
        <v>7.236306992100924</v>
      </c>
      <c r="D71" s="82"/>
      <c r="E71" s="137" t="s">
        <v>140</v>
      </c>
      <c r="F71" s="133">
        <f>($F$49*(F55/F68)+1-$F$49)*F65</f>
        <v>99.999999999999986</v>
      </c>
      <c r="G71" s="133">
        <f t="shared" ref="G71:BR71" si="121">($F$49*(G55/G68)+1-$F$49)*G65</f>
        <v>55.622272746974495</v>
      </c>
      <c r="H71" s="133">
        <f t="shared" si="121"/>
        <v>17.461939848532754</v>
      </c>
      <c r="I71" s="133">
        <f t="shared" si="121"/>
        <v>4.7749033968835866</v>
      </c>
      <c r="J71" s="133">
        <f t="shared" si="121"/>
        <v>28.813745893983807</v>
      </c>
      <c r="K71" s="133">
        <f t="shared" si="121"/>
        <v>8.7081366303365151</v>
      </c>
      <c r="L71" s="133">
        <f t="shared" si="121"/>
        <v>13.510637396350743</v>
      </c>
      <c r="M71" s="133">
        <f t="shared" si="121"/>
        <v>5.9805283869171486</v>
      </c>
      <c r="N71" s="133">
        <f t="shared" si="121"/>
        <v>6.1926546131495597</v>
      </c>
      <c r="O71" s="133">
        <f t="shared" si="121"/>
        <v>4.8430915854350065</v>
      </c>
      <c r="P71" s="133">
        <f t="shared" si="121"/>
        <v>29.466201736503304</v>
      </c>
      <c r="Q71" s="133">
        <f t="shared" si="121"/>
        <v>14.200287871970035</v>
      </c>
      <c r="R71" s="133">
        <f t="shared" si="121"/>
        <v>17.893529622064019</v>
      </c>
      <c r="S71" s="133">
        <f t="shared" si="121"/>
        <v>8.8160032228668914</v>
      </c>
      <c r="T71" s="133">
        <f t="shared" si="121"/>
        <v>40.38219383724033</v>
      </c>
      <c r="U71" s="133">
        <f t="shared" si="121"/>
        <v>34.339250427246604</v>
      </c>
      <c r="V71" s="133">
        <f t="shared" si="121"/>
        <v>11.354043538352325</v>
      </c>
      <c r="W71" s="133">
        <f t="shared" si="121"/>
        <v>12.907874108858604</v>
      </c>
      <c r="X71" s="133">
        <f t="shared" si="121"/>
        <v>18.76338499254344</v>
      </c>
      <c r="Y71" s="133">
        <f t="shared" si="121"/>
        <v>32.238647333786595</v>
      </c>
      <c r="Z71" s="133">
        <f t="shared" si="121"/>
        <v>24.497122888828816</v>
      </c>
      <c r="AA71" s="133">
        <f t="shared" si="121"/>
        <v>53.872089362271105</v>
      </c>
      <c r="AB71" s="133">
        <f t="shared" si="121"/>
        <v>40.419939806622402</v>
      </c>
      <c r="AC71" s="133">
        <f t="shared" si="121"/>
        <v>74.250509798343501</v>
      </c>
      <c r="AD71" s="133">
        <f t="shared" si="121"/>
        <v>68.688880052671109</v>
      </c>
      <c r="AE71" s="133">
        <f t="shared" si="121"/>
        <v>33.55166259462419</v>
      </c>
      <c r="AF71" s="133">
        <f t="shared" si="121"/>
        <v>66.000066666902867</v>
      </c>
      <c r="AG71" s="133">
        <f t="shared" si="121"/>
        <v>40.873862861399715</v>
      </c>
      <c r="AH71" s="133">
        <f t="shared" si="121"/>
        <v>10.866333188503125</v>
      </c>
      <c r="AI71" s="133">
        <f t="shared" si="121"/>
        <v>63.191611546570606</v>
      </c>
      <c r="AJ71" s="133">
        <f t="shared" si="121"/>
        <v>29.238104034555967</v>
      </c>
      <c r="AK71" s="133">
        <f t="shared" si="121"/>
        <v>67.938877393908712</v>
      </c>
      <c r="AL71" s="133">
        <f t="shared" si="121"/>
        <v>43.383384652766217</v>
      </c>
      <c r="AM71" s="133">
        <f t="shared" si="121"/>
        <v>71.920301360070994</v>
      </c>
      <c r="AN71" s="133">
        <f t="shared" si="121"/>
        <v>27.452619710947371</v>
      </c>
      <c r="AO71" s="133">
        <f t="shared" si="121"/>
        <v>11.569630911200115</v>
      </c>
      <c r="AP71" s="133">
        <f t="shared" si="121"/>
        <v>53.634256771960985</v>
      </c>
      <c r="AQ71" s="133">
        <f t="shared" si="121"/>
        <v>15.581079353439783</v>
      </c>
      <c r="AR71" s="133">
        <f t="shared" si="121"/>
        <v>66.145541760478039</v>
      </c>
      <c r="AS71" s="133">
        <f t="shared" si="121"/>
        <v>7.8425752715674797</v>
      </c>
      <c r="AT71" s="133">
        <f t="shared" si="121"/>
        <v>17.31918117196869</v>
      </c>
      <c r="AU71" s="133">
        <f t="shared" si="121"/>
        <v>70.437730179791998</v>
      </c>
      <c r="AV71" s="133">
        <f t="shared" si="121"/>
        <v>40.535517053916585</v>
      </c>
      <c r="AW71" s="133">
        <f t="shared" si="121"/>
        <v>46.728385251042511</v>
      </c>
      <c r="AX71" s="133">
        <f t="shared" si="121"/>
        <v>4.996039446751209</v>
      </c>
      <c r="AY71" s="133">
        <f t="shared" si="121"/>
        <v>28.036099976902243</v>
      </c>
      <c r="AZ71" s="133">
        <f t="shared" si="121"/>
        <v>36.735434222393017</v>
      </c>
      <c r="BA71" s="133">
        <f t="shared" si="121"/>
        <v>39.95590432965664</v>
      </c>
      <c r="BB71" s="133">
        <f t="shared" si="121"/>
        <v>56.090599728781683</v>
      </c>
      <c r="BC71" s="133">
        <f t="shared" si="121"/>
        <v>16.590529943685855</v>
      </c>
      <c r="BD71" s="133">
        <f t="shared" si="121"/>
        <v>23.782559034822196</v>
      </c>
      <c r="BE71" s="133">
        <f t="shared" si="121"/>
        <v>27.175835721646795</v>
      </c>
      <c r="BF71" s="133">
        <f t="shared" si="121"/>
        <v>13.537730841127154</v>
      </c>
      <c r="BG71" s="133">
        <f t="shared" si="121"/>
        <v>22.393606607090689</v>
      </c>
      <c r="BH71" s="133">
        <f t="shared" si="121"/>
        <v>72.454910494595481</v>
      </c>
      <c r="BI71" s="133">
        <f t="shared" si="121"/>
        <v>65.787572190368081</v>
      </c>
      <c r="BJ71" s="133">
        <f t="shared" si="121"/>
        <v>48.954563301433353</v>
      </c>
      <c r="BK71" s="133">
        <f t="shared" si="121"/>
        <v>30.958083257876911</v>
      </c>
      <c r="BL71" s="133">
        <f t="shared" si="121"/>
        <v>26.647034387119692</v>
      </c>
      <c r="BM71" s="133">
        <f t="shared" si="121"/>
        <v>71.85112063525817</v>
      </c>
      <c r="BN71" s="133">
        <f t="shared" si="121"/>
        <v>71.153647783095792</v>
      </c>
      <c r="BO71" s="133">
        <f t="shared" si="121"/>
        <v>51.18730208305665</v>
      </c>
      <c r="BP71" s="133">
        <f t="shared" si="121"/>
        <v>34.284456142713637</v>
      </c>
      <c r="BQ71" s="133">
        <f t="shared" si="121"/>
        <v>7.4461651213642348</v>
      </c>
      <c r="BR71" s="133">
        <f t="shared" si="121"/>
        <v>30.821243539048922</v>
      </c>
      <c r="BS71" s="133">
        <f t="shared" ref="BS71:DA71" si="122">($F$49*(BS55/BS68)+1-$F$49)*BS65</f>
        <v>11.919717818512273</v>
      </c>
      <c r="BT71" s="133">
        <f t="shared" si="122"/>
        <v>16.53051193417226</v>
      </c>
      <c r="BU71" s="133">
        <f t="shared" si="122"/>
        <v>19.200467313747684</v>
      </c>
      <c r="BV71" s="133">
        <f t="shared" si="122"/>
        <v>33.147191518967901</v>
      </c>
      <c r="BW71" s="133">
        <f t="shared" si="122"/>
        <v>20.040971442801141</v>
      </c>
      <c r="BX71" s="133">
        <f t="shared" si="122"/>
        <v>45.187293447489886</v>
      </c>
      <c r="BY71" s="133">
        <f t="shared" si="122"/>
        <v>8.748405417811508</v>
      </c>
      <c r="BZ71" s="133">
        <f t="shared" si="122"/>
        <v>48.158804956346309</v>
      </c>
      <c r="CA71" s="133">
        <f t="shared" si="122"/>
        <v>26.928756780964203</v>
      </c>
      <c r="CB71" s="133">
        <f t="shared" si="122"/>
        <v>4.8680354118428175</v>
      </c>
      <c r="CC71" s="133">
        <f t="shared" si="122"/>
        <v>7.4379325249538768</v>
      </c>
      <c r="CD71" s="133">
        <f t="shared" si="122"/>
        <v>16.357537676770306</v>
      </c>
      <c r="CE71" s="133">
        <f t="shared" si="122"/>
        <v>13.457247127640205</v>
      </c>
      <c r="CF71" s="133">
        <f t="shared" si="122"/>
        <v>13.25186120535863</v>
      </c>
      <c r="CG71" s="133">
        <f t="shared" si="122"/>
        <v>42.851383309940836</v>
      </c>
      <c r="CH71" s="133">
        <f t="shared" si="122"/>
        <v>30.882809235875232</v>
      </c>
      <c r="CI71" s="133">
        <f t="shared" si="122"/>
        <v>11.206718742571393</v>
      </c>
      <c r="CJ71" s="133">
        <f t="shared" si="122"/>
        <v>66.424023740411513</v>
      </c>
      <c r="CK71" s="133">
        <f t="shared" si="122"/>
        <v>39.954912693823339</v>
      </c>
      <c r="CL71" s="133">
        <f t="shared" si="122"/>
        <v>4.575330530562093</v>
      </c>
      <c r="CM71" s="133">
        <f t="shared" si="122"/>
        <v>10.097831009867175</v>
      </c>
      <c r="CN71" s="133">
        <f t="shared" si="122"/>
        <v>28.528057749118457</v>
      </c>
      <c r="CO71" s="133">
        <f t="shared" si="122"/>
        <v>7.8683469649029369</v>
      </c>
      <c r="CP71" s="133">
        <f t="shared" si="122"/>
        <v>22.943264675596804</v>
      </c>
      <c r="CQ71" s="133">
        <f t="shared" si="122"/>
        <v>6.9577375587118251</v>
      </c>
      <c r="CR71" s="133">
        <f t="shared" si="122"/>
        <v>9.02335004342887</v>
      </c>
      <c r="CS71" s="133">
        <f t="shared" si="122"/>
        <v>52.687691753471874</v>
      </c>
      <c r="CT71" s="133">
        <f t="shared" si="122"/>
        <v>18.789131706851869</v>
      </c>
      <c r="CU71" s="133">
        <f t="shared" si="122"/>
        <v>30.324139721994744</v>
      </c>
      <c r="CV71" s="133">
        <f t="shared" si="122"/>
        <v>6.8311290324194909</v>
      </c>
      <c r="CW71" s="133">
        <f t="shared" si="122"/>
        <v>32.192501444391119</v>
      </c>
      <c r="CX71" s="133">
        <f t="shared" si="122"/>
        <v>43.598201913890698</v>
      </c>
      <c r="CY71" s="133">
        <f t="shared" si="122"/>
        <v>13.363220493211495</v>
      </c>
      <c r="CZ71" s="133">
        <f t="shared" si="122"/>
        <v>20.341987201835259</v>
      </c>
      <c r="DA71" s="133">
        <f t="shared" si="122"/>
        <v>10.981474351480038</v>
      </c>
      <c r="DC71">
        <v>67</v>
      </c>
      <c r="DD71" s="84">
        <v>48.166647096977165</v>
      </c>
      <c r="DE71" s="84">
        <v>-25.747285136062612</v>
      </c>
      <c r="DF71" s="84">
        <v>-17.757470684511411</v>
      </c>
      <c r="DG71" s="84">
        <v>46.703539757790004</v>
      </c>
      <c r="DH71" s="84">
        <v>-21.29186038720896</v>
      </c>
      <c r="DI71" s="84">
        <v>-20.289952866798306</v>
      </c>
      <c r="DJ71" s="84">
        <v>5.3296302669398701</v>
      </c>
      <c r="DK71" s="84">
        <f t="shared" si="118"/>
        <v>28.40495878228155</v>
      </c>
      <c r="DL71" s="84">
        <f t="shared" si="119"/>
        <v>3.7453609983653116</v>
      </c>
      <c r="DM71" s="84">
        <f t="shared" si="120"/>
        <v>214.59337795923676</v>
      </c>
      <c r="DN71" s="85">
        <v>5</v>
      </c>
      <c r="DO71">
        <v>5</v>
      </c>
      <c r="DP71">
        <f t="shared" si="88"/>
        <v>202.5</v>
      </c>
      <c r="DQ71" s="270">
        <v>-18.477590650225736</v>
      </c>
      <c r="DR71" s="270">
        <v>-7.6536686473017932</v>
      </c>
    </row>
    <row r="72" spans="1:122">
      <c r="A72">
        <v>695</v>
      </c>
      <c r="B72" s="90">
        <f>'Color metric'!B66</f>
        <v>0.24915246915584274</v>
      </c>
      <c r="C72" s="82">
        <f>Reference!N72</f>
        <v>7.3061836230137862</v>
      </c>
      <c r="D72" s="82"/>
      <c r="E72" s="137" t="s">
        <v>141</v>
      </c>
      <c r="F72" s="133">
        <f>($F$49*(F55/F69)+1-$F$49)*F66</f>
        <v>100</v>
      </c>
      <c r="G72" s="133">
        <f t="shared" ref="G72:BR72" si="123">($F$49*(G55/G69)+1-$F$49)*G66</f>
        <v>60.671268860270978</v>
      </c>
      <c r="H72" s="133">
        <f t="shared" si="123"/>
        <v>22.245061822540926</v>
      </c>
      <c r="I72" s="133">
        <f t="shared" si="123"/>
        <v>5.246736951395464</v>
      </c>
      <c r="J72" s="133">
        <f t="shared" si="123"/>
        <v>28.707206217097387</v>
      </c>
      <c r="K72" s="133">
        <f t="shared" si="123"/>
        <v>9.4846109535782226</v>
      </c>
      <c r="L72" s="133">
        <f t="shared" si="123"/>
        <v>12.623818261544342</v>
      </c>
      <c r="M72" s="133">
        <f t="shared" si="123"/>
        <v>5.7420527184394468</v>
      </c>
      <c r="N72" s="133">
        <f t="shared" si="123"/>
        <v>5.9279888385315944</v>
      </c>
      <c r="O72" s="133">
        <f t="shared" si="123"/>
        <v>4.8656772196943727</v>
      </c>
      <c r="P72" s="133">
        <f t="shared" si="123"/>
        <v>19.195920569963125</v>
      </c>
      <c r="Q72" s="133">
        <f t="shared" si="123"/>
        <v>7.6762545673405702</v>
      </c>
      <c r="R72" s="133">
        <f t="shared" si="123"/>
        <v>9.3101554803967392</v>
      </c>
      <c r="S72" s="133">
        <f t="shared" si="123"/>
        <v>5.1782116667005456</v>
      </c>
      <c r="T72" s="133">
        <f t="shared" si="123"/>
        <v>36.028100405264013</v>
      </c>
      <c r="U72" s="133">
        <f t="shared" si="123"/>
        <v>26.964688587333146</v>
      </c>
      <c r="V72" s="133">
        <f t="shared" si="123"/>
        <v>6.0245115062513444</v>
      </c>
      <c r="W72" s="133">
        <f t="shared" si="123"/>
        <v>6.5261295898725384</v>
      </c>
      <c r="X72" s="133">
        <f t="shared" si="123"/>
        <v>12.139724839349032</v>
      </c>
      <c r="Y72" s="133">
        <f t="shared" si="123"/>
        <v>13.639525389282062</v>
      </c>
      <c r="Z72" s="133">
        <f t="shared" si="123"/>
        <v>7.0623548211779976</v>
      </c>
      <c r="AA72" s="133">
        <f t="shared" si="123"/>
        <v>19.794221481305922</v>
      </c>
      <c r="AB72" s="133">
        <f t="shared" si="123"/>
        <v>12.827053801689125</v>
      </c>
      <c r="AC72" s="133">
        <f t="shared" si="123"/>
        <v>55.427159837109436</v>
      </c>
      <c r="AD72" s="133">
        <f t="shared" si="123"/>
        <v>31.78414900849123</v>
      </c>
      <c r="AE72" s="133">
        <f t="shared" si="123"/>
        <v>6.945169085430634</v>
      </c>
      <c r="AF72" s="133">
        <f t="shared" si="123"/>
        <v>23.760307880623181</v>
      </c>
      <c r="AG72" s="133">
        <f t="shared" si="123"/>
        <v>25.459244916009261</v>
      </c>
      <c r="AH72" s="133">
        <f t="shared" si="123"/>
        <v>5.1175074525001394</v>
      </c>
      <c r="AI72" s="133">
        <f t="shared" si="123"/>
        <v>21.662036211131603</v>
      </c>
      <c r="AJ72" s="133">
        <f t="shared" si="123"/>
        <v>15.792595914722092</v>
      </c>
      <c r="AK72" s="133">
        <f t="shared" si="123"/>
        <v>23.706116321394525</v>
      </c>
      <c r="AL72" s="133">
        <f t="shared" si="123"/>
        <v>10.554446600604344</v>
      </c>
      <c r="AM72" s="133">
        <f t="shared" si="123"/>
        <v>40.537464384282153</v>
      </c>
      <c r="AN72" s="133">
        <f t="shared" si="123"/>
        <v>6.806674555477044</v>
      </c>
      <c r="AO72" s="133">
        <f t="shared" si="123"/>
        <v>5.5277962868252191</v>
      </c>
      <c r="AP72" s="133">
        <f t="shared" si="123"/>
        <v>45.048029922507965</v>
      </c>
      <c r="AQ72" s="133">
        <f t="shared" si="123"/>
        <v>6.2637262958960456</v>
      </c>
      <c r="AR72" s="133">
        <f t="shared" si="123"/>
        <v>41.091324443295996</v>
      </c>
      <c r="AS72" s="133">
        <f t="shared" si="123"/>
        <v>5.7448388858531434</v>
      </c>
      <c r="AT72" s="133">
        <f t="shared" si="123"/>
        <v>10.020964561604069</v>
      </c>
      <c r="AU72" s="133">
        <f t="shared" si="123"/>
        <v>57.537519977602223</v>
      </c>
      <c r="AV72" s="133">
        <f t="shared" si="123"/>
        <v>10.36082786415913</v>
      </c>
      <c r="AW72" s="133">
        <f t="shared" si="123"/>
        <v>12.04167776184819</v>
      </c>
      <c r="AX72" s="133">
        <f t="shared" si="123"/>
        <v>4.7334791645532261</v>
      </c>
      <c r="AY72" s="133">
        <f t="shared" si="123"/>
        <v>10.416608174809104</v>
      </c>
      <c r="AZ72" s="133">
        <f t="shared" si="123"/>
        <v>19.366706298084051</v>
      </c>
      <c r="BA72" s="133">
        <f t="shared" si="123"/>
        <v>27.125069919049174</v>
      </c>
      <c r="BB72" s="133">
        <f t="shared" si="123"/>
        <v>31.910164734769577</v>
      </c>
      <c r="BC72" s="133">
        <f t="shared" si="123"/>
        <v>8.0120100554146063</v>
      </c>
      <c r="BD72" s="133">
        <f t="shared" si="123"/>
        <v>16.128147856584171</v>
      </c>
      <c r="BE72" s="133">
        <f t="shared" si="123"/>
        <v>20.108640950035408</v>
      </c>
      <c r="BF72" s="133">
        <f t="shared" si="123"/>
        <v>7.9077304803048731</v>
      </c>
      <c r="BG72" s="133">
        <f t="shared" si="123"/>
        <v>14.07387672012972</v>
      </c>
      <c r="BH72" s="133">
        <f t="shared" si="123"/>
        <v>67.171846020514451</v>
      </c>
      <c r="BI72" s="133">
        <f t="shared" si="123"/>
        <v>61.952061205056424</v>
      </c>
      <c r="BJ72" s="133">
        <f t="shared" si="123"/>
        <v>42.908624913851114</v>
      </c>
      <c r="BK72" s="133">
        <f t="shared" si="123"/>
        <v>26.409124297176959</v>
      </c>
      <c r="BL72" s="133">
        <f t="shared" si="123"/>
        <v>24.45554773978429</v>
      </c>
      <c r="BM72" s="133">
        <f t="shared" si="123"/>
        <v>70.092181847041417</v>
      </c>
      <c r="BN72" s="133">
        <f t="shared" si="123"/>
        <v>71.825985084532547</v>
      </c>
      <c r="BO72" s="133">
        <f t="shared" si="123"/>
        <v>52.481617515643983</v>
      </c>
      <c r="BP72" s="133">
        <f t="shared" si="123"/>
        <v>35.487694747591902</v>
      </c>
      <c r="BQ72" s="133">
        <f t="shared" si="123"/>
        <v>7.7548779492821653</v>
      </c>
      <c r="BR72" s="133">
        <f t="shared" si="123"/>
        <v>38.044505462547789</v>
      </c>
      <c r="BS72" s="133">
        <f t="shared" ref="BS72:DA72" si="124">($F$49*(BS55/BS69)+1-$F$49)*BS66</f>
        <v>14.178681958242649</v>
      </c>
      <c r="BT72" s="133">
        <f t="shared" si="124"/>
        <v>23.573932134769496</v>
      </c>
      <c r="BU72" s="133">
        <f t="shared" si="124"/>
        <v>28.379055156904926</v>
      </c>
      <c r="BV72" s="133">
        <f t="shared" si="124"/>
        <v>42.615453398844942</v>
      </c>
      <c r="BW72" s="133">
        <f t="shared" si="124"/>
        <v>24.083175455560106</v>
      </c>
      <c r="BX72" s="133">
        <f t="shared" si="124"/>
        <v>66.421139685965997</v>
      </c>
      <c r="BY72" s="133">
        <f t="shared" si="124"/>
        <v>16.114248634851489</v>
      </c>
      <c r="BZ72" s="133">
        <f t="shared" si="124"/>
        <v>53.452323477297519</v>
      </c>
      <c r="CA72" s="133">
        <f t="shared" si="124"/>
        <v>50.361201532504722</v>
      </c>
      <c r="CB72" s="133">
        <f t="shared" si="124"/>
        <v>5.3116682561428501</v>
      </c>
      <c r="CC72" s="133">
        <f t="shared" si="124"/>
        <v>15.286755732850159</v>
      </c>
      <c r="CD72" s="133">
        <f t="shared" si="124"/>
        <v>42.545606097532293</v>
      </c>
      <c r="CE72" s="133">
        <f t="shared" si="124"/>
        <v>26.160720247741658</v>
      </c>
      <c r="CF72" s="133">
        <f t="shared" si="124"/>
        <v>36.206160075597971</v>
      </c>
      <c r="CG72" s="133">
        <f t="shared" si="124"/>
        <v>62.774929043707672</v>
      </c>
      <c r="CH72" s="133">
        <f t="shared" si="124"/>
        <v>53.392325047516792</v>
      </c>
      <c r="CI72" s="133">
        <f t="shared" si="124"/>
        <v>30.175809168990241</v>
      </c>
      <c r="CJ72" s="133">
        <f t="shared" si="124"/>
        <v>76.869599631990468</v>
      </c>
      <c r="CK72" s="133">
        <f t="shared" si="124"/>
        <v>56.228729558515703</v>
      </c>
      <c r="CL72" s="133">
        <f t="shared" si="124"/>
        <v>5.8607900836090332</v>
      </c>
      <c r="CM72" s="133">
        <f t="shared" si="124"/>
        <v>15.189512502466272</v>
      </c>
      <c r="CN72" s="133">
        <f t="shared" si="124"/>
        <v>52.375427369635283</v>
      </c>
      <c r="CO72" s="133">
        <f t="shared" si="124"/>
        <v>20.170429708985889</v>
      </c>
      <c r="CP72" s="133">
        <f t="shared" si="124"/>
        <v>42.802411408992612</v>
      </c>
      <c r="CQ72" s="133">
        <f t="shared" si="124"/>
        <v>15.384998461570952</v>
      </c>
      <c r="CR72" s="133">
        <f t="shared" si="124"/>
        <v>20.50441470050869</v>
      </c>
      <c r="CS72" s="133">
        <f t="shared" si="124"/>
        <v>54.742395593835639</v>
      </c>
      <c r="CT72" s="133">
        <f t="shared" si="124"/>
        <v>27.120459466738378</v>
      </c>
      <c r="CU72" s="133">
        <f t="shared" si="124"/>
        <v>38.765000122521769</v>
      </c>
      <c r="CV72" s="133">
        <f t="shared" si="124"/>
        <v>12.911038761533643</v>
      </c>
      <c r="CW72" s="133">
        <f t="shared" si="124"/>
        <v>42.377118709081699</v>
      </c>
      <c r="CX72" s="133">
        <f t="shared" si="124"/>
        <v>54.461853135230569</v>
      </c>
      <c r="CY72" s="133">
        <f t="shared" si="124"/>
        <v>20.035483438343427</v>
      </c>
      <c r="CZ72" s="133">
        <f t="shared" si="124"/>
        <v>29.688417236887428</v>
      </c>
      <c r="DA72" s="133">
        <f t="shared" si="124"/>
        <v>18.208095981453017</v>
      </c>
      <c r="DC72">
        <v>68</v>
      </c>
      <c r="DD72" s="84">
        <v>64.254095521930353</v>
      </c>
      <c r="DE72" s="84">
        <v>-17.2937471465942</v>
      </c>
      <c r="DF72" s="84">
        <v>-14.777924941007766</v>
      </c>
      <c r="DG72" s="84">
        <v>63.469093459264528</v>
      </c>
      <c r="DH72" s="84">
        <v>-13.929484801639115</v>
      </c>
      <c r="DI72" s="84">
        <v>-17.182147304702148</v>
      </c>
      <c r="DJ72" s="84">
        <v>4.208892317244584</v>
      </c>
      <c r="DK72" s="84">
        <f t="shared" si="118"/>
        <v>17.714774538160484</v>
      </c>
      <c r="DL72" s="84">
        <f t="shared" si="119"/>
        <v>3.8487073753745582</v>
      </c>
      <c r="DM72" s="84">
        <f t="shared" si="120"/>
        <v>220.51468918983446</v>
      </c>
      <c r="DN72" s="85">
        <v>5</v>
      </c>
      <c r="DO72">
        <v>6</v>
      </c>
      <c r="DP72">
        <f t="shared" si="88"/>
        <v>202.5</v>
      </c>
      <c r="DQ72" s="270">
        <v>-18.477590650225736</v>
      </c>
      <c r="DR72" s="270">
        <v>-7.6536686473017932</v>
      </c>
    </row>
    <row r="73" spans="1:122">
      <c r="A73">
        <v>700</v>
      </c>
      <c r="B73" s="90">
        <f>'Color metric'!B67</f>
        <v>0.21988352041926046</v>
      </c>
      <c r="C73" s="82">
        <f>Reference!N73</f>
        <v>7.3738552607909122</v>
      </c>
      <c r="D73" s="82"/>
      <c r="E73" s="137" t="s">
        <v>142</v>
      </c>
      <c r="F73" s="133">
        <f>($F$49*(F55/F67)+1-$F$49)*F67</f>
        <v>100</v>
      </c>
      <c r="G73" s="133">
        <f t="shared" ref="G73:BR73" si="125">($F$49*(G55/G67)+1-$F$49)*G67</f>
        <v>100</v>
      </c>
      <c r="H73" s="133">
        <f t="shared" si="125"/>
        <v>100</v>
      </c>
      <c r="I73" s="133">
        <f t="shared" si="125"/>
        <v>100</v>
      </c>
      <c r="J73" s="133">
        <f t="shared" si="125"/>
        <v>100</v>
      </c>
      <c r="K73" s="133">
        <f t="shared" si="125"/>
        <v>100</v>
      </c>
      <c r="L73" s="133">
        <f t="shared" si="125"/>
        <v>100</v>
      </c>
      <c r="M73" s="133">
        <f t="shared" si="125"/>
        <v>100</v>
      </c>
      <c r="N73" s="133">
        <f t="shared" si="125"/>
        <v>100</v>
      </c>
      <c r="O73" s="133">
        <f t="shared" si="125"/>
        <v>100</v>
      </c>
      <c r="P73" s="133">
        <f t="shared" si="125"/>
        <v>100</v>
      </c>
      <c r="Q73" s="133">
        <f t="shared" si="125"/>
        <v>100</v>
      </c>
      <c r="R73" s="133">
        <f t="shared" si="125"/>
        <v>100</v>
      </c>
      <c r="S73" s="133">
        <f t="shared" si="125"/>
        <v>100</v>
      </c>
      <c r="T73" s="133">
        <f t="shared" si="125"/>
        <v>100</v>
      </c>
      <c r="U73" s="133">
        <f t="shared" si="125"/>
        <v>100</v>
      </c>
      <c r="V73" s="133">
        <f t="shared" si="125"/>
        <v>100</v>
      </c>
      <c r="W73" s="133">
        <f t="shared" si="125"/>
        <v>100</v>
      </c>
      <c r="X73" s="133">
        <f t="shared" si="125"/>
        <v>100</v>
      </c>
      <c r="Y73" s="133">
        <f t="shared" si="125"/>
        <v>100</v>
      </c>
      <c r="Z73" s="133">
        <f t="shared" si="125"/>
        <v>100</v>
      </c>
      <c r="AA73" s="133">
        <f t="shared" si="125"/>
        <v>100</v>
      </c>
      <c r="AB73" s="133">
        <f t="shared" si="125"/>
        <v>100</v>
      </c>
      <c r="AC73" s="133">
        <f t="shared" si="125"/>
        <v>100</v>
      </c>
      <c r="AD73" s="133">
        <f t="shared" si="125"/>
        <v>100</v>
      </c>
      <c r="AE73" s="133">
        <f t="shared" si="125"/>
        <v>100</v>
      </c>
      <c r="AF73" s="133">
        <f t="shared" si="125"/>
        <v>100</v>
      </c>
      <c r="AG73" s="133">
        <f t="shared" si="125"/>
        <v>100</v>
      </c>
      <c r="AH73" s="133">
        <f t="shared" si="125"/>
        <v>100</v>
      </c>
      <c r="AI73" s="133">
        <f t="shared" si="125"/>
        <v>100</v>
      </c>
      <c r="AJ73" s="133">
        <f t="shared" si="125"/>
        <v>100</v>
      </c>
      <c r="AK73" s="133">
        <f t="shared" si="125"/>
        <v>100</v>
      </c>
      <c r="AL73" s="133">
        <f t="shared" si="125"/>
        <v>100</v>
      </c>
      <c r="AM73" s="133">
        <f t="shared" si="125"/>
        <v>100</v>
      </c>
      <c r="AN73" s="133">
        <f t="shared" si="125"/>
        <v>100</v>
      </c>
      <c r="AO73" s="133">
        <f t="shared" si="125"/>
        <v>100</v>
      </c>
      <c r="AP73" s="133">
        <f t="shared" si="125"/>
        <v>100</v>
      </c>
      <c r="AQ73" s="133">
        <f t="shared" si="125"/>
        <v>100</v>
      </c>
      <c r="AR73" s="133">
        <f t="shared" si="125"/>
        <v>100</v>
      </c>
      <c r="AS73" s="133">
        <f t="shared" si="125"/>
        <v>100</v>
      </c>
      <c r="AT73" s="133">
        <f t="shared" si="125"/>
        <v>100</v>
      </c>
      <c r="AU73" s="133">
        <f t="shared" si="125"/>
        <v>100</v>
      </c>
      <c r="AV73" s="133">
        <f t="shared" si="125"/>
        <v>100</v>
      </c>
      <c r="AW73" s="133">
        <f t="shared" si="125"/>
        <v>100</v>
      </c>
      <c r="AX73" s="133">
        <f t="shared" si="125"/>
        <v>100</v>
      </c>
      <c r="AY73" s="133">
        <f t="shared" si="125"/>
        <v>100</v>
      </c>
      <c r="AZ73" s="133">
        <f t="shared" si="125"/>
        <v>100</v>
      </c>
      <c r="BA73" s="133">
        <f t="shared" si="125"/>
        <v>100</v>
      </c>
      <c r="BB73" s="133">
        <f t="shared" si="125"/>
        <v>100</v>
      </c>
      <c r="BC73" s="133">
        <f t="shared" si="125"/>
        <v>100</v>
      </c>
      <c r="BD73" s="133">
        <f t="shared" si="125"/>
        <v>100</v>
      </c>
      <c r="BE73" s="133">
        <f t="shared" si="125"/>
        <v>100</v>
      </c>
      <c r="BF73" s="133">
        <f t="shared" si="125"/>
        <v>100</v>
      </c>
      <c r="BG73" s="133">
        <f t="shared" si="125"/>
        <v>100</v>
      </c>
      <c r="BH73" s="133">
        <f t="shared" si="125"/>
        <v>100</v>
      </c>
      <c r="BI73" s="133">
        <f t="shared" si="125"/>
        <v>100</v>
      </c>
      <c r="BJ73" s="133">
        <f t="shared" si="125"/>
        <v>100</v>
      </c>
      <c r="BK73" s="133">
        <f t="shared" si="125"/>
        <v>100</v>
      </c>
      <c r="BL73" s="133">
        <f t="shared" si="125"/>
        <v>100</v>
      </c>
      <c r="BM73" s="133">
        <f t="shared" si="125"/>
        <v>100</v>
      </c>
      <c r="BN73" s="133">
        <f t="shared" si="125"/>
        <v>100</v>
      </c>
      <c r="BO73" s="133">
        <f t="shared" si="125"/>
        <v>100</v>
      </c>
      <c r="BP73" s="133">
        <f t="shared" si="125"/>
        <v>100</v>
      </c>
      <c r="BQ73" s="133">
        <f t="shared" si="125"/>
        <v>100</v>
      </c>
      <c r="BR73" s="133">
        <f t="shared" si="125"/>
        <v>100</v>
      </c>
      <c r="BS73" s="133">
        <f t="shared" ref="BS73:DA73" si="126">($F$49*(BS55/BS67)+1-$F$49)*BS67</f>
        <v>100</v>
      </c>
      <c r="BT73" s="133">
        <f t="shared" si="126"/>
        <v>100</v>
      </c>
      <c r="BU73" s="133">
        <f t="shared" si="126"/>
        <v>100</v>
      </c>
      <c r="BV73" s="133">
        <f t="shared" si="126"/>
        <v>100</v>
      </c>
      <c r="BW73" s="133">
        <f t="shared" si="126"/>
        <v>100</v>
      </c>
      <c r="BX73" s="133">
        <f t="shared" si="126"/>
        <v>100</v>
      </c>
      <c r="BY73" s="133">
        <f t="shared" si="126"/>
        <v>100</v>
      </c>
      <c r="BZ73" s="133">
        <f t="shared" si="126"/>
        <v>100</v>
      </c>
      <c r="CA73" s="133">
        <f t="shared" si="126"/>
        <v>100</v>
      </c>
      <c r="CB73" s="133">
        <f t="shared" si="126"/>
        <v>100</v>
      </c>
      <c r="CC73" s="133">
        <f t="shared" si="126"/>
        <v>100</v>
      </c>
      <c r="CD73" s="133">
        <f t="shared" si="126"/>
        <v>100</v>
      </c>
      <c r="CE73" s="133">
        <f t="shared" si="126"/>
        <v>100</v>
      </c>
      <c r="CF73" s="133">
        <f t="shared" si="126"/>
        <v>100</v>
      </c>
      <c r="CG73" s="133">
        <f t="shared" si="126"/>
        <v>100</v>
      </c>
      <c r="CH73" s="133">
        <f t="shared" si="126"/>
        <v>100</v>
      </c>
      <c r="CI73" s="133">
        <f t="shared" si="126"/>
        <v>100</v>
      </c>
      <c r="CJ73" s="133">
        <f t="shared" si="126"/>
        <v>100</v>
      </c>
      <c r="CK73" s="133">
        <f t="shared" si="126"/>
        <v>100</v>
      </c>
      <c r="CL73" s="133">
        <f t="shared" si="126"/>
        <v>100</v>
      </c>
      <c r="CM73" s="133">
        <f t="shared" si="126"/>
        <v>100</v>
      </c>
      <c r="CN73" s="133">
        <f t="shared" si="126"/>
        <v>100</v>
      </c>
      <c r="CO73" s="133">
        <f t="shared" si="126"/>
        <v>100</v>
      </c>
      <c r="CP73" s="133">
        <f t="shared" si="126"/>
        <v>100</v>
      </c>
      <c r="CQ73" s="133">
        <f t="shared" si="126"/>
        <v>100</v>
      </c>
      <c r="CR73" s="133">
        <f t="shared" si="126"/>
        <v>100</v>
      </c>
      <c r="CS73" s="133">
        <f t="shared" si="126"/>
        <v>100</v>
      </c>
      <c r="CT73" s="133">
        <f t="shared" si="126"/>
        <v>100</v>
      </c>
      <c r="CU73" s="133">
        <f t="shared" si="126"/>
        <v>100</v>
      </c>
      <c r="CV73" s="133">
        <f t="shared" si="126"/>
        <v>100</v>
      </c>
      <c r="CW73" s="133">
        <f t="shared" si="126"/>
        <v>100</v>
      </c>
      <c r="CX73" s="133">
        <f t="shared" si="126"/>
        <v>100</v>
      </c>
      <c r="CY73" s="133">
        <f t="shared" si="126"/>
        <v>100</v>
      </c>
      <c r="CZ73" s="133">
        <f t="shared" si="126"/>
        <v>100</v>
      </c>
      <c r="DA73" s="133">
        <f t="shared" si="126"/>
        <v>100</v>
      </c>
      <c r="DC73">
        <v>69</v>
      </c>
      <c r="DD73" s="84">
        <v>53.715588317411253</v>
      </c>
      <c r="DE73" s="84">
        <v>-7.705912454531898</v>
      </c>
      <c r="DF73" s="84">
        <v>-10.11080744458946</v>
      </c>
      <c r="DG73" s="84">
        <v>53.012829440880033</v>
      </c>
      <c r="DH73" s="84">
        <v>-5.2018912516890001</v>
      </c>
      <c r="DI73" s="84">
        <v>-12.239371659418964</v>
      </c>
      <c r="DJ73" s="84">
        <v>3.3607704235015756</v>
      </c>
      <c r="DK73" s="84">
        <f t="shared" si="118"/>
        <v>11.294777839482959</v>
      </c>
      <c r="DL73" s="84">
        <f t="shared" si="119"/>
        <v>4.0611595797380433</v>
      </c>
      <c r="DM73" s="84">
        <f t="shared" si="120"/>
        <v>232.687303848113</v>
      </c>
      <c r="DN73" s="85">
        <v>5</v>
      </c>
      <c r="DO73">
        <v>6</v>
      </c>
      <c r="DP73">
        <f t="shared" si="88"/>
        <v>202.5</v>
      </c>
      <c r="DQ73" s="270">
        <v>-18.477590650225736</v>
      </c>
      <c r="DR73" s="270">
        <v>-7.6536686473017932</v>
      </c>
    </row>
    <row r="74" spans="1:122">
      <c r="A74">
        <v>705</v>
      </c>
      <c r="B74" s="90">
        <f>'Color metric'!B68</f>
        <v>0.19391260113546968</v>
      </c>
      <c r="C74" s="82">
        <f>Reference!N74</f>
        <v>7.4393244270673868</v>
      </c>
      <c r="D74" s="82"/>
      <c r="E74" s="137" t="s">
        <v>143</v>
      </c>
      <c r="F74" s="133">
        <f>($F$49*(F55/F68)+1-$F$49)*F68</f>
        <v>99.999999999999986</v>
      </c>
      <c r="G74" s="133">
        <f t="shared" ref="G74:BR74" si="127">($F$49*(G55/G68)+1-$F$49)*G68</f>
        <v>99.999999999999986</v>
      </c>
      <c r="H74" s="133">
        <f t="shared" si="127"/>
        <v>99.999999999999986</v>
      </c>
      <c r="I74" s="133">
        <f t="shared" si="127"/>
        <v>99.999999999999986</v>
      </c>
      <c r="J74" s="133">
        <f t="shared" si="127"/>
        <v>99.999999999999986</v>
      </c>
      <c r="K74" s="133">
        <f t="shared" si="127"/>
        <v>99.999999999999986</v>
      </c>
      <c r="L74" s="133">
        <f t="shared" si="127"/>
        <v>99.999999999999986</v>
      </c>
      <c r="M74" s="133">
        <f t="shared" si="127"/>
        <v>99.999999999999986</v>
      </c>
      <c r="N74" s="133">
        <f t="shared" si="127"/>
        <v>99.999999999999986</v>
      </c>
      <c r="O74" s="133">
        <f t="shared" si="127"/>
        <v>99.999999999999986</v>
      </c>
      <c r="P74" s="133">
        <f t="shared" si="127"/>
        <v>99.999999999999986</v>
      </c>
      <c r="Q74" s="133">
        <f t="shared" si="127"/>
        <v>99.999999999999986</v>
      </c>
      <c r="R74" s="133">
        <f t="shared" si="127"/>
        <v>99.999999999999986</v>
      </c>
      <c r="S74" s="133">
        <f t="shared" si="127"/>
        <v>99.999999999999986</v>
      </c>
      <c r="T74" s="133">
        <f t="shared" si="127"/>
        <v>99.999999999999986</v>
      </c>
      <c r="U74" s="133">
        <f t="shared" si="127"/>
        <v>99.999999999999986</v>
      </c>
      <c r="V74" s="133">
        <f t="shared" si="127"/>
        <v>99.999999999999986</v>
      </c>
      <c r="W74" s="133">
        <f t="shared" si="127"/>
        <v>99.999999999999986</v>
      </c>
      <c r="X74" s="133">
        <f t="shared" si="127"/>
        <v>99.999999999999986</v>
      </c>
      <c r="Y74" s="133">
        <f t="shared" si="127"/>
        <v>99.999999999999986</v>
      </c>
      <c r="Z74" s="133">
        <f t="shared" si="127"/>
        <v>99.999999999999986</v>
      </c>
      <c r="AA74" s="133">
        <f t="shared" si="127"/>
        <v>99.999999999999986</v>
      </c>
      <c r="AB74" s="133">
        <f t="shared" si="127"/>
        <v>99.999999999999986</v>
      </c>
      <c r="AC74" s="133">
        <f t="shared" si="127"/>
        <v>99.999999999999986</v>
      </c>
      <c r="AD74" s="133">
        <f t="shared" si="127"/>
        <v>99.999999999999986</v>
      </c>
      <c r="AE74" s="133">
        <f t="shared" si="127"/>
        <v>99.999999999999986</v>
      </c>
      <c r="AF74" s="133">
        <f t="shared" si="127"/>
        <v>99.999999999999986</v>
      </c>
      <c r="AG74" s="133">
        <f t="shared" si="127"/>
        <v>99.999999999999986</v>
      </c>
      <c r="AH74" s="133">
        <f t="shared" si="127"/>
        <v>99.999999999999986</v>
      </c>
      <c r="AI74" s="133">
        <f t="shared" si="127"/>
        <v>99.999999999999986</v>
      </c>
      <c r="AJ74" s="133">
        <f t="shared" si="127"/>
        <v>99.999999999999986</v>
      </c>
      <c r="AK74" s="133">
        <f t="shared" si="127"/>
        <v>99.999999999999986</v>
      </c>
      <c r="AL74" s="133">
        <f t="shared" si="127"/>
        <v>99.999999999999986</v>
      </c>
      <c r="AM74" s="133">
        <f t="shared" si="127"/>
        <v>99.999999999999986</v>
      </c>
      <c r="AN74" s="133">
        <f t="shared" si="127"/>
        <v>99.999999999999986</v>
      </c>
      <c r="AO74" s="133">
        <f t="shared" si="127"/>
        <v>99.999999999999986</v>
      </c>
      <c r="AP74" s="133">
        <f t="shared" si="127"/>
        <v>99.999999999999986</v>
      </c>
      <c r="AQ74" s="133">
        <f t="shared" si="127"/>
        <v>99.999999999999986</v>
      </c>
      <c r="AR74" s="133">
        <f t="shared" si="127"/>
        <v>99.999999999999986</v>
      </c>
      <c r="AS74" s="133">
        <f t="shared" si="127"/>
        <v>99.999999999999986</v>
      </c>
      <c r="AT74" s="133">
        <f t="shared" si="127"/>
        <v>99.999999999999986</v>
      </c>
      <c r="AU74" s="133">
        <f t="shared" si="127"/>
        <v>99.999999999999986</v>
      </c>
      <c r="AV74" s="133">
        <f t="shared" si="127"/>
        <v>99.999999999999986</v>
      </c>
      <c r="AW74" s="133">
        <f t="shared" si="127"/>
        <v>99.999999999999986</v>
      </c>
      <c r="AX74" s="133">
        <f t="shared" si="127"/>
        <v>99.999999999999986</v>
      </c>
      <c r="AY74" s="133">
        <f t="shared" si="127"/>
        <v>99.999999999999986</v>
      </c>
      <c r="AZ74" s="133">
        <f t="shared" si="127"/>
        <v>99.999999999999986</v>
      </c>
      <c r="BA74" s="133">
        <f t="shared" si="127"/>
        <v>99.999999999999986</v>
      </c>
      <c r="BB74" s="133">
        <f t="shared" si="127"/>
        <v>99.999999999999986</v>
      </c>
      <c r="BC74" s="133">
        <f t="shared" si="127"/>
        <v>99.999999999999986</v>
      </c>
      <c r="BD74" s="133">
        <f t="shared" si="127"/>
        <v>99.999999999999986</v>
      </c>
      <c r="BE74" s="133">
        <f t="shared" si="127"/>
        <v>99.999999999999986</v>
      </c>
      <c r="BF74" s="133">
        <f t="shared" si="127"/>
        <v>99.999999999999986</v>
      </c>
      <c r="BG74" s="133">
        <f t="shared" si="127"/>
        <v>99.999999999999986</v>
      </c>
      <c r="BH74" s="133">
        <f t="shared" si="127"/>
        <v>99.999999999999986</v>
      </c>
      <c r="BI74" s="133">
        <f t="shared" si="127"/>
        <v>99.999999999999986</v>
      </c>
      <c r="BJ74" s="133">
        <f t="shared" si="127"/>
        <v>99.999999999999986</v>
      </c>
      <c r="BK74" s="133">
        <f t="shared" si="127"/>
        <v>99.999999999999986</v>
      </c>
      <c r="BL74" s="133">
        <f t="shared" si="127"/>
        <v>99.999999999999986</v>
      </c>
      <c r="BM74" s="133">
        <f t="shared" si="127"/>
        <v>99.999999999999986</v>
      </c>
      <c r="BN74" s="133">
        <f t="shared" si="127"/>
        <v>99.999999999999986</v>
      </c>
      <c r="BO74" s="133">
        <f t="shared" si="127"/>
        <v>99.999999999999986</v>
      </c>
      <c r="BP74" s="133">
        <f t="shared" si="127"/>
        <v>99.999999999999986</v>
      </c>
      <c r="BQ74" s="133">
        <f t="shared" si="127"/>
        <v>99.999999999999986</v>
      </c>
      <c r="BR74" s="133">
        <f t="shared" si="127"/>
        <v>99.999999999999986</v>
      </c>
      <c r="BS74" s="133">
        <f t="shared" ref="BS74:DA74" si="128">($F$49*(BS55/BS68)+1-$F$49)*BS68</f>
        <v>99.999999999999986</v>
      </c>
      <c r="BT74" s="133">
        <f t="shared" si="128"/>
        <v>99.999999999999986</v>
      </c>
      <c r="BU74" s="133">
        <f t="shared" si="128"/>
        <v>99.999999999999986</v>
      </c>
      <c r="BV74" s="133">
        <f t="shared" si="128"/>
        <v>99.999999999999986</v>
      </c>
      <c r="BW74" s="133">
        <f t="shared" si="128"/>
        <v>99.999999999999986</v>
      </c>
      <c r="BX74" s="133">
        <f t="shared" si="128"/>
        <v>99.999999999999986</v>
      </c>
      <c r="BY74" s="133">
        <f t="shared" si="128"/>
        <v>99.999999999999986</v>
      </c>
      <c r="BZ74" s="133">
        <f t="shared" si="128"/>
        <v>99.999999999999986</v>
      </c>
      <c r="CA74" s="133">
        <f t="shared" si="128"/>
        <v>99.999999999999986</v>
      </c>
      <c r="CB74" s="133">
        <f t="shared" si="128"/>
        <v>99.999999999999986</v>
      </c>
      <c r="CC74" s="133">
        <f t="shared" si="128"/>
        <v>99.999999999999986</v>
      </c>
      <c r="CD74" s="133">
        <f t="shared" si="128"/>
        <v>99.999999999999986</v>
      </c>
      <c r="CE74" s="133">
        <f t="shared" si="128"/>
        <v>99.999999999999986</v>
      </c>
      <c r="CF74" s="133">
        <f t="shared" si="128"/>
        <v>99.999999999999986</v>
      </c>
      <c r="CG74" s="133">
        <f t="shared" si="128"/>
        <v>99.999999999999986</v>
      </c>
      <c r="CH74" s="133">
        <f t="shared" si="128"/>
        <v>99.999999999999986</v>
      </c>
      <c r="CI74" s="133">
        <f t="shared" si="128"/>
        <v>99.999999999999986</v>
      </c>
      <c r="CJ74" s="133">
        <f t="shared" si="128"/>
        <v>99.999999999999986</v>
      </c>
      <c r="CK74" s="133">
        <f t="shared" si="128"/>
        <v>99.999999999999986</v>
      </c>
      <c r="CL74" s="133">
        <f t="shared" si="128"/>
        <v>99.999999999999986</v>
      </c>
      <c r="CM74" s="133">
        <f t="shared" si="128"/>
        <v>99.999999999999986</v>
      </c>
      <c r="CN74" s="133">
        <f t="shared" si="128"/>
        <v>99.999999999999986</v>
      </c>
      <c r="CO74" s="133">
        <f t="shared" si="128"/>
        <v>99.999999999999986</v>
      </c>
      <c r="CP74" s="133">
        <f t="shared" si="128"/>
        <v>99.999999999999986</v>
      </c>
      <c r="CQ74" s="133">
        <f t="shared" si="128"/>
        <v>99.999999999999986</v>
      </c>
      <c r="CR74" s="133">
        <f t="shared" si="128"/>
        <v>99.999999999999986</v>
      </c>
      <c r="CS74" s="133">
        <f t="shared" si="128"/>
        <v>99.999999999999986</v>
      </c>
      <c r="CT74" s="133">
        <f t="shared" si="128"/>
        <v>99.999999999999986</v>
      </c>
      <c r="CU74" s="133">
        <f t="shared" si="128"/>
        <v>99.999999999999986</v>
      </c>
      <c r="CV74" s="133">
        <f t="shared" si="128"/>
        <v>99.999999999999986</v>
      </c>
      <c r="CW74" s="133">
        <f t="shared" si="128"/>
        <v>99.999999999999986</v>
      </c>
      <c r="CX74" s="133">
        <f t="shared" si="128"/>
        <v>99.999999999999986</v>
      </c>
      <c r="CY74" s="133">
        <f t="shared" si="128"/>
        <v>99.999999999999986</v>
      </c>
      <c r="CZ74" s="133">
        <f t="shared" si="128"/>
        <v>99.999999999999986</v>
      </c>
      <c r="DA74" s="133">
        <f t="shared" si="128"/>
        <v>99.999999999999986</v>
      </c>
      <c r="DC74">
        <v>70</v>
      </c>
      <c r="DD74" s="84">
        <v>72.810008842669632</v>
      </c>
      <c r="DE74" s="84">
        <v>-17.469653892152092</v>
      </c>
      <c r="DF74" s="84">
        <v>-20.681052266185389</v>
      </c>
      <c r="DG74" s="84">
        <v>72.017147526664004</v>
      </c>
      <c r="DH74" s="84">
        <v>-13.4776955293796</v>
      </c>
      <c r="DI74" s="84">
        <v>-23.154092740742126</v>
      </c>
      <c r="DJ74" s="84">
        <v>4.7623827886178169</v>
      </c>
      <c r="DK74" s="84">
        <f t="shared" si="118"/>
        <v>22.680289825323214</v>
      </c>
      <c r="DL74" s="84">
        <f t="shared" si="119"/>
        <v>4.0109694840124952</v>
      </c>
      <c r="DM74" s="84">
        <f t="shared" si="120"/>
        <v>229.81162318968151</v>
      </c>
      <c r="DN74" s="85">
        <v>6</v>
      </c>
      <c r="DO74">
        <v>6</v>
      </c>
      <c r="DP74">
        <f t="shared" si="88"/>
        <v>247.5</v>
      </c>
      <c r="DQ74" s="270">
        <v>-7.6536686473017905</v>
      </c>
      <c r="DR74" s="270">
        <v>-18.477590650225736</v>
      </c>
    </row>
    <row r="75" spans="1:122">
      <c r="A75">
        <v>710</v>
      </c>
      <c r="B75" s="90">
        <f>'Color metric'!B69</f>
        <v>0.17056639462260265</v>
      </c>
      <c r="C75" s="82">
        <f>Reference!N75</f>
        <v>7.502595889026006</v>
      </c>
      <c r="D75" s="82"/>
      <c r="E75" s="137" t="s">
        <v>144</v>
      </c>
      <c r="F75" s="133">
        <f>($F$49*(F55/F69)+1-$F$49)*F69</f>
        <v>100</v>
      </c>
      <c r="G75" s="133">
        <f t="shared" ref="G75:BR75" si="129">($F$49*(G55/G69)+1-$F$49)*G69</f>
        <v>100</v>
      </c>
      <c r="H75" s="133">
        <f t="shared" si="129"/>
        <v>100</v>
      </c>
      <c r="I75" s="133">
        <f t="shared" si="129"/>
        <v>100</v>
      </c>
      <c r="J75" s="133">
        <f t="shared" si="129"/>
        <v>100</v>
      </c>
      <c r="K75" s="133">
        <f t="shared" si="129"/>
        <v>100</v>
      </c>
      <c r="L75" s="133">
        <f t="shared" si="129"/>
        <v>100</v>
      </c>
      <c r="M75" s="133">
        <f t="shared" si="129"/>
        <v>100</v>
      </c>
      <c r="N75" s="133">
        <f t="shared" si="129"/>
        <v>100</v>
      </c>
      <c r="O75" s="133">
        <f t="shared" si="129"/>
        <v>100</v>
      </c>
      <c r="P75" s="133">
        <f t="shared" si="129"/>
        <v>100</v>
      </c>
      <c r="Q75" s="133">
        <f t="shared" si="129"/>
        <v>100</v>
      </c>
      <c r="R75" s="133">
        <f t="shared" si="129"/>
        <v>100</v>
      </c>
      <c r="S75" s="133">
        <f t="shared" si="129"/>
        <v>100</v>
      </c>
      <c r="T75" s="133">
        <f t="shared" si="129"/>
        <v>100</v>
      </c>
      <c r="U75" s="133">
        <f t="shared" si="129"/>
        <v>100</v>
      </c>
      <c r="V75" s="133">
        <f t="shared" si="129"/>
        <v>100</v>
      </c>
      <c r="W75" s="133">
        <f t="shared" si="129"/>
        <v>100</v>
      </c>
      <c r="X75" s="133">
        <f t="shared" si="129"/>
        <v>100</v>
      </c>
      <c r="Y75" s="133">
        <f t="shared" si="129"/>
        <v>100</v>
      </c>
      <c r="Z75" s="133">
        <f t="shared" si="129"/>
        <v>100</v>
      </c>
      <c r="AA75" s="133">
        <f t="shared" si="129"/>
        <v>100</v>
      </c>
      <c r="AB75" s="133">
        <f t="shared" si="129"/>
        <v>100</v>
      </c>
      <c r="AC75" s="133">
        <f t="shared" si="129"/>
        <v>100</v>
      </c>
      <c r="AD75" s="133">
        <f t="shared" si="129"/>
        <v>100</v>
      </c>
      <c r="AE75" s="133">
        <f t="shared" si="129"/>
        <v>100</v>
      </c>
      <c r="AF75" s="133">
        <f t="shared" si="129"/>
        <v>100</v>
      </c>
      <c r="AG75" s="133">
        <f t="shared" si="129"/>
        <v>100</v>
      </c>
      <c r="AH75" s="133">
        <f t="shared" si="129"/>
        <v>100</v>
      </c>
      <c r="AI75" s="133">
        <f t="shared" si="129"/>
        <v>100</v>
      </c>
      <c r="AJ75" s="133">
        <f t="shared" si="129"/>
        <v>100</v>
      </c>
      <c r="AK75" s="133">
        <f t="shared" si="129"/>
        <v>100</v>
      </c>
      <c r="AL75" s="133">
        <f t="shared" si="129"/>
        <v>100</v>
      </c>
      <c r="AM75" s="133">
        <f t="shared" si="129"/>
        <v>100</v>
      </c>
      <c r="AN75" s="133">
        <f t="shared" si="129"/>
        <v>100</v>
      </c>
      <c r="AO75" s="133">
        <f t="shared" si="129"/>
        <v>100</v>
      </c>
      <c r="AP75" s="133">
        <f t="shared" si="129"/>
        <v>100</v>
      </c>
      <c r="AQ75" s="133">
        <f t="shared" si="129"/>
        <v>100</v>
      </c>
      <c r="AR75" s="133">
        <f t="shared" si="129"/>
        <v>100</v>
      </c>
      <c r="AS75" s="133">
        <f t="shared" si="129"/>
        <v>100</v>
      </c>
      <c r="AT75" s="133">
        <f t="shared" si="129"/>
        <v>100</v>
      </c>
      <c r="AU75" s="133">
        <f t="shared" si="129"/>
        <v>100</v>
      </c>
      <c r="AV75" s="133">
        <f t="shared" si="129"/>
        <v>100</v>
      </c>
      <c r="AW75" s="133">
        <f t="shared" si="129"/>
        <v>100</v>
      </c>
      <c r="AX75" s="133">
        <f t="shared" si="129"/>
        <v>100</v>
      </c>
      <c r="AY75" s="133">
        <f t="shared" si="129"/>
        <v>100</v>
      </c>
      <c r="AZ75" s="133">
        <f t="shared" si="129"/>
        <v>100</v>
      </c>
      <c r="BA75" s="133">
        <f t="shared" si="129"/>
        <v>100</v>
      </c>
      <c r="BB75" s="133">
        <f t="shared" si="129"/>
        <v>100</v>
      </c>
      <c r="BC75" s="133">
        <f t="shared" si="129"/>
        <v>100</v>
      </c>
      <c r="BD75" s="133">
        <f t="shared" si="129"/>
        <v>100</v>
      </c>
      <c r="BE75" s="133">
        <f t="shared" si="129"/>
        <v>100</v>
      </c>
      <c r="BF75" s="133">
        <f t="shared" si="129"/>
        <v>100</v>
      </c>
      <c r="BG75" s="133">
        <f t="shared" si="129"/>
        <v>100</v>
      </c>
      <c r="BH75" s="133">
        <f t="shared" si="129"/>
        <v>100</v>
      </c>
      <c r="BI75" s="133">
        <f t="shared" si="129"/>
        <v>100</v>
      </c>
      <c r="BJ75" s="133">
        <f t="shared" si="129"/>
        <v>100</v>
      </c>
      <c r="BK75" s="133">
        <f t="shared" si="129"/>
        <v>100</v>
      </c>
      <c r="BL75" s="133">
        <f t="shared" si="129"/>
        <v>100</v>
      </c>
      <c r="BM75" s="133">
        <f t="shared" si="129"/>
        <v>100</v>
      </c>
      <c r="BN75" s="133">
        <f t="shared" si="129"/>
        <v>100</v>
      </c>
      <c r="BO75" s="133">
        <f t="shared" si="129"/>
        <v>100</v>
      </c>
      <c r="BP75" s="133">
        <f t="shared" si="129"/>
        <v>100</v>
      </c>
      <c r="BQ75" s="133">
        <f t="shared" si="129"/>
        <v>100</v>
      </c>
      <c r="BR75" s="133">
        <f t="shared" si="129"/>
        <v>100</v>
      </c>
      <c r="BS75" s="133">
        <f t="shared" ref="BS75:DA75" si="130">($F$49*(BS55/BS69)+1-$F$49)*BS69</f>
        <v>100</v>
      </c>
      <c r="BT75" s="133">
        <f t="shared" si="130"/>
        <v>100</v>
      </c>
      <c r="BU75" s="133">
        <f t="shared" si="130"/>
        <v>100</v>
      </c>
      <c r="BV75" s="133">
        <f t="shared" si="130"/>
        <v>100</v>
      </c>
      <c r="BW75" s="133">
        <f t="shared" si="130"/>
        <v>100</v>
      </c>
      <c r="BX75" s="133">
        <f t="shared" si="130"/>
        <v>100</v>
      </c>
      <c r="BY75" s="133">
        <f t="shared" si="130"/>
        <v>100</v>
      </c>
      <c r="BZ75" s="133">
        <f t="shared" si="130"/>
        <v>100</v>
      </c>
      <c r="CA75" s="133">
        <f t="shared" si="130"/>
        <v>100</v>
      </c>
      <c r="CB75" s="133">
        <f t="shared" si="130"/>
        <v>100</v>
      </c>
      <c r="CC75" s="133">
        <f t="shared" si="130"/>
        <v>100</v>
      </c>
      <c r="CD75" s="133">
        <f t="shared" si="130"/>
        <v>100</v>
      </c>
      <c r="CE75" s="133">
        <f t="shared" si="130"/>
        <v>100</v>
      </c>
      <c r="CF75" s="133">
        <f t="shared" si="130"/>
        <v>100</v>
      </c>
      <c r="CG75" s="133">
        <f t="shared" si="130"/>
        <v>100</v>
      </c>
      <c r="CH75" s="133">
        <f t="shared" si="130"/>
        <v>100</v>
      </c>
      <c r="CI75" s="133">
        <f t="shared" si="130"/>
        <v>100</v>
      </c>
      <c r="CJ75" s="133">
        <f t="shared" si="130"/>
        <v>100</v>
      </c>
      <c r="CK75" s="133">
        <f t="shared" si="130"/>
        <v>100</v>
      </c>
      <c r="CL75" s="133">
        <f t="shared" si="130"/>
        <v>100</v>
      </c>
      <c r="CM75" s="133">
        <f t="shared" si="130"/>
        <v>100</v>
      </c>
      <c r="CN75" s="133">
        <f t="shared" si="130"/>
        <v>100</v>
      </c>
      <c r="CO75" s="133">
        <f t="shared" si="130"/>
        <v>100</v>
      </c>
      <c r="CP75" s="133">
        <f t="shared" si="130"/>
        <v>100</v>
      </c>
      <c r="CQ75" s="133">
        <f t="shared" si="130"/>
        <v>100</v>
      </c>
      <c r="CR75" s="133">
        <f t="shared" si="130"/>
        <v>100</v>
      </c>
      <c r="CS75" s="133">
        <f t="shared" si="130"/>
        <v>100</v>
      </c>
      <c r="CT75" s="133">
        <f t="shared" si="130"/>
        <v>100</v>
      </c>
      <c r="CU75" s="133">
        <f t="shared" si="130"/>
        <v>100</v>
      </c>
      <c r="CV75" s="133">
        <f t="shared" si="130"/>
        <v>100</v>
      </c>
      <c r="CW75" s="133">
        <f t="shared" si="130"/>
        <v>100</v>
      </c>
      <c r="CX75" s="133">
        <f t="shared" si="130"/>
        <v>100</v>
      </c>
      <c r="CY75" s="133">
        <f t="shared" si="130"/>
        <v>100</v>
      </c>
      <c r="CZ75" s="133">
        <f t="shared" si="130"/>
        <v>100</v>
      </c>
      <c r="DA75" s="133">
        <f t="shared" si="130"/>
        <v>100</v>
      </c>
      <c r="DC75">
        <v>71</v>
      </c>
      <c r="DD75" s="84">
        <v>35.490912482919299</v>
      </c>
      <c r="DE75" s="84">
        <v>-14.681768210074937</v>
      </c>
      <c r="DF75" s="84">
        <v>-19.950051817553565</v>
      </c>
      <c r="DG75" s="84">
        <v>34.486137853607474</v>
      </c>
      <c r="DH75" s="84">
        <v>-10.046842180393153</v>
      </c>
      <c r="DI75" s="84">
        <v>-22.688110240054904</v>
      </c>
      <c r="DJ75" s="84">
        <v>5.476228198437405</v>
      </c>
      <c r="DK75" s="84">
        <f t="shared" si="118"/>
        <v>29.989075281360986</v>
      </c>
      <c r="DL75" s="84">
        <f t="shared" si="119"/>
        <v>4.0779560389447731</v>
      </c>
      <c r="DM75" s="84">
        <f t="shared" si="120"/>
        <v>233.64967007142226</v>
      </c>
      <c r="DN75" s="85">
        <v>6</v>
      </c>
      <c r="DO75">
        <v>6</v>
      </c>
      <c r="DP75">
        <f>ATAN(DR75/DQ75)*180/PI() +180</f>
        <v>247.5</v>
      </c>
      <c r="DQ75" s="270">
        <v>-7.6536686473017905</v>
      </c>
      <c r="DR75" s="270">
        <v>-18.477590650225736</v>
      </c>
    </row>
    <row r="76" spans="1:122">
      <c r="A76">
        <v>715</v>
      </c>
      <c r="B76" s="90">
        <f>'Color metric'!B70</f>
        <v>0.14960130184506393</v>
      </c>
      <c r="C76" s="82">
        <f>Reference!N76</f>
        <v>7.56367654514567</v>
      </c>
      <c r="D76" s="82"/>
      <c r="E76" s="137" t="s">
        <v>145</v>
      </c>
      <c r="F76" s="133">
        <f t="array" ref="F76:F78">MMULT($M$43:$O$45,F70:F72)</f>
        <v>100</v>
      </c>
      <c r="G76" s="133">
        <f t="array" ref="G76:G78">MMULT($M$43:$O$45,G70:G72)</f>
        <v>70.974047022700233</v>
      </c>
      <c r="H76" s="133">
        <f t="array" ref="H76:H78">MMULT($M$43:$O$45,H70:H72)</f>
        <v>37.4658893206065</v>
      </c>
      <c r="I76" s="133">
        <f t="array" ref="I76:I78">MMULT($M$43:$O$45,I70:I72)</f>
        <v>7.2571914319981987</v>
      </c>
      <c r="J76" s="133">
        <f t="array" ref="J76:J78">MMULT($M$43:$O$45,J70:J72)</f>
        <v>42.760487702657329</v>
      </c>
      <c r="K76" s="133">
        <f t="array" ref="K76:K78">MMULT($M$43:$O$45,K70:K72)</f>
        <v>24.447099427710871</v>
      </c>
      <c r="L76" s="133">
        <f t="array" ref="L76:L78">MMULT($M$43:$O$45,L70:L72)</f>
        <v>20.339666283900016</v>
      </c>
      <c r="M76" s="133">
        <f t="array" ref="M76:M78">MMULT($M$43:$O$45,M70:M72)</f>
        <v>17.137223550663322</v>
      </c>
      <c r="N76" s="133">
        <f t="array" ref="N76:N78">MMULT($M$43:$O$45,N70:N72)</f>
        <v>15.927259530412938</v>
      </c>
      <c r="O76" s="133">
        <f t="array" ref="O76:O78">MMULT($M$43:$O$45,O70:O72)</f>
        <v>5.1739545011103605</v>
      </c>
      <c r="P76" s="133">
        <f t="array" ref="P76:P78">MMULT($M$43:$O$45,P70:P72)</f>
        <v>57.410071557262377</v>
      </c>
      <c r="Q76" s="133">
        <f t="array" ref="Q76:Q78">MMULT($M$43:$O$45,Q70:Q72)</f>
        <v>31.058725128890504</v>
      </c>
      <c r="R76" s="133">
        <f t="array" ref="R76:R78">MMULT($M$43:$O$45,R70:R72)</f>
        <v>40.035652665663648</v>
      </c>
      <c r="S76" s="133">
        <f t="array" ref="S76:S78">MMULT($M$43:$O$45,S70:S72)</f>
        <v>14.665254301361101</v>
      </c>
      <c r="T76" s="133">
        <f t="array" ref="T76:T78">MMULT($M$43:$O$45,T70:T72)</f>
        <v>44.080844814720315</v>
      </c>
      <c r="U76" s="133">
        <f t="array" ref="U76:U78">MMULT($M$43:$O$45,U70:U72)</f>
        <v>42.458373417724047</v>
      </c>
      <c r="V76" s="133">
        <f t="array" ref="V76:V78">MMULT($M$43:$O$45,V70:V72)</f>
        <v>17.795232836139114</v>
      </c>
      <c r="W76" s="133">
        <f t="array" ref="W76:W78">MMULT($M$43:$O$45,W70:W72)</f>
        <v>18.690089361684102</v>
      </c>
      <c r="X76" s="133">
        <f t="array" ref="X76:X78">MMULT($M$43:$O$45,X70:X72)</f>
        <v>23.835693242314157</v>
      </c>
      <c r="Y76" s="133">
        <f t="array" ref="Y76:Y78">MMULT($M$43:$O$45,Y70:Y72)</f>
        <v>43.134495538072777</v>
      </c>
      <c r="Z76" s="133">
        <f t="array" ref="Z76:Z78">MMULT($M$43:$O$45,Z70:Z72)</f>
        <v>39.734064576450244</v>
      </c>
      <c r="AA76" s="133">
        <f t="array" ref="AA76:AA78">MMULT($M$43:$O$45,AA70:AA72)</f>
        <v>70.754976974097147</v>
      </c>
      <c r="AB76" s="133">
        <f t="array" ref="AB76:AB78">MMULT($M$43:$O$45,AB70:AB72)</f>
        <v>56.178604393283173</v>
      </c>
      <c r="AC76" s="133">
        <f t="array" ref="AC76:AC78">MMULT($M$43:$O$45,AC70:AC72)</f>
        <v>76.903915569194837</v>
      </c>
      <c r="AD76" s="133">
        <f t="array" ref="AD76:AD78">MMULT($M$43:$O$45,AD70:AD72)</f>
        <v>75.560977363625625</v>
      </c>
      <c r="AE76" s="133">
        <f t="array" ref="AE76:AE78">MMULT($M$43:$O$45,AE70:AE72)</f>
        <v>41.594981182560652</v>
      </c>
      <c r="AF76" s="133">
        <f t="array" ref="AF76:AF78">MMULT($M$43:$O$45,AF70:AF72)</f>
        <v>74.012093670949511</v>
      </c>
      <c r="AG76" s="133">
        <f t="array" ref="AG76:AG78">MMULT($M$43:$O$45,AG70:AG72)</f>
        <v>40.867390921542693</v>
      </c>
      <c r="AH76" s="133">
        <f t="array" ref="AH76:AH78">MMULT($M$43:$O$45,AH70:AH72)</f>
        <v>10.73461721629103</v>
      </c>
      <c r="AI76" s="133">
        <f t="array" ref="AI76:AI78">MMULT($M$43:$O$45,AI70:AI72)</f>
        <v>64.684479642974011</v>
      </c>
      <c r="AJ76" s="133">
        <f t="array" ref="AJ76:AJ78">MMULT($M$43:$O$45,AJ70:AJ72)</f>
        <v>29.488270251255496</v>
      </c>
      <c r="AK76" s="133">
        <f t="array" ref="AK76:AK78">MMULT($M$43:$O$45,AK70:AK72)</f>
        <v>67.445476031432079</v>
      </c>
      <c r="AL76" s="133">
        <f t="array" ref="AL76:AL78">MMULT($M$43:$O$45,AL70:AL72)</f>
        <v>43.102017200799651</v>
      </c>
      <c r="AM76" s="133">
        <f t="array" ref="AM76:AM78">MMULT($M$43:$O$45,AM70:AM72)</f>
        <v>70.140561490155491</v>
      </c>
      <c r="AN76" s="133">
        <f t="array" ref="AN76:AN78">MMULT($M$43:$O$45,AN70:AN72)</f>
        <v>25.735281724405297</v>
      </c>
      <c r="AO76" s="133">
        <f t="array" ref="AO76:AO78">MMULT($M$43:$O$45,AO70:AO72)</f>
        <v>10.644088574594495</v>
      </c>
      <c r="AP76" s="133">
        <f t="array" ref="AP76:AP78">MMULT($M$43:$O$45,AP70:AP72)</f>
        <v>52.764323500221174</v>
      </c>
      <c r="AQ76" s="133">
        <f t="array" ref="AQ76:AQ78">MMULT($M$43:$O$45,AQ70:AQ72)</f>
        <v>13.649551669371835</v>
      </c>
      <c r="AR76" s="133">
        <f t="array" ref="AR76:AR78">MMULT($M$43:$O$45,AR70:AR72)</f>
        <v>61.771874276883509</v>
      </c>
      <c r="AS76" s="133">
        <f t="array" ref="AS76:AS78">MMULT($M$43:$O$45,AS70:AS72)</f>
        <v>7.3080826351270129</v>
      </c>
      <c r="AT76" s="133">
        <f t="array" ref="AT76:AT78">MMULT($M$43:$O$45,AT70:AT72)</f>
        <v>15.374507191151492</v>
      </c>
      <c r="AU76" s="133">
        <f t="array" ref="AU76:AU78">MMULT($M$43:$O$45,AU70:AU72)</f>
        <v>66.588797285116442</v>
      </c>
      <c r="AV76" s="133">
        <f t="array" ref="AV76:AV78">MMULT($M$43:$O$45,AV70:AV72)</f>
        <v>28.312690323180664</v>
      </c>
      <c r="AW76" s="133">
        <f t="array" ref="AW76:AW78">MMULT($M$43:$O$45,AW70:AW72)</f>
        <v>32.347536815062092</v>
      </c>
      <c r="AX76" s="133">
        <f t="array" ref="AX76:AX78">MMULT($M$43:$O$45,AX70:AX72)</f>
        <v>4.8957856984024382</v>
      </c>
      <c r="AY76" s="133">
        <f t="array" ref="AY76:AY78">MMULT($M$43:$O$45,AY70:AY72)</f>
        <v>18.496362238928704</v>
      </c>
      <c r="AZ76" s="133">
        <f t="array" ref="AZ76:AZ78">MMULT($M$43:$O$45,AZ70:AZ72)</f>
        <v>27.616441588033496</v>
      </c>
      <c r="BA76" s="133">
        <f t="array" ref="BA76:BA78">MMULT($M$43:$O$45,BA70:BA72)</f>
        <v>33.658970356156452</v>
      </c>
      <c r="BB76" s="133">
        <f t="array" ref="BB76:BB78">MMULT($M$43:$O$45,BB70:BB72)</f>
        <v>39.619492590172634</v>
      </c>
      <c r="BC76" s="133">
        <f t="array" ref="BC76:BC78">MMULT($M$43:$O$45,BC70:BC72)</f>
        <v>10.792388633795401</v>
      </c>
      <c r="BD76" s="133">
        <f t="array" ref="BD76:BD78">MMULT($M$43:$O$45,BD70:BD72)</f>
        <v>16.553742955169746</v>
      </c>
      <c r="BE76" s="133">
        <f t="array" ref="BE76:BE78">MMULT($M$43:$O$45,BE70:BE72)</f>
        <v>20.331800808364562</v>
      </c>
      <c r="BF76" s="133">
        <f t="array" ref="BF76:BF78">MMULT($M$43:$O$45,BF70:BF72)</f>
        <v>7.867683745274995</v>
      </c>
      <c r="BG76" s="133">
        <f t="array" ref="BG76:BG78">MMULT($M$43:$O$45,BG70:BG72)</f>
        <v>10.251611967228868</v>
      </c>
      <c r="BH76" s="133">
        <f t="array" ref="BH76:BH78">MMULT($M$43:$O$45,BH70:BH72)</f>
        <v>60.426409841655939</v>
      </c>
      <c r="BI76" s="133">
        <f t="array" ref="BI76:BI78">MMULT($M$43:$O$45,BI70:BI72)</f>
        <v>53.101550719539716</v>
      </c>
      <c r="BJ76" s="133">
        <f t="array" ref="BJ76:BJ78">MMULT($M$43:$O$45,BJ70:BJ72)</f>
        <v>28.741428805226057</v>
      </c>
      <c r="BK76" s="133">
        <f t="array" ref="BK76:BK78">MMULT($M$43:$O$45,BK70:BK72)</f>
        <v>15.473243103746125</v>
      </c>
      <c r="BL76" s="133">
        <f t="array" ref="BL76:BL78">MMULT($M$43:$O$45,BL70:BL72)</f>
        <v>13.176657143686517</v>
      </c>
      <c r="BM76" s="133">
        <f t="array" ref="BM76:BM78">MMULT($M$43:$O$45,BM70:BM72)</f>
        <v>60.514359053277005</v>
      </c>
      <c r="BN76" s="133">
        <f t="array" ref="BN76:BN78">MMULT($M$43:$O$45,BN70:BN72)</f>
        <v>67.33137261357561</v>
      </c>
      <c r="BO76" s="133">
        <f t="array" ref="BO76:BO78">MMULT($M$43:$O$45,BO70:BO72)</f>
        <v>43.478410638550692</v>
      </c>
      <c r="BP76" s="133">
        <f t="array" ref="BP76:BP78">MMULT($M$43:$O$45,BP70:BP72)</f>
        <v>32.209009524184793</v>
      </c>
      <c r="BQ76" s="133">
        <f t="array" ref="BQ76:BQ78">MMULT($M$43:$O$45,BQ70:BQ72)</f>
        <v>7.2395296752286207</v>
      </c>
      <c r="BR76" s="133">
        <f t="array" ref="BR76:BR78">MMULT($M$43:$O$45,BR70:BR72)</f>
        <v>17.974429749609872</v>
      </c>
      <c r="BS76" s="133">
        <f t="array" ref="BS76:BS78">MMULT($M$43:$O$45,BS70:BS72)</f>
        <v>8.4788604002242387</v>
      </c>
      <c r="BT76" s="133">
        <f t="array" ref="BT76:BT78">MMULT($M$43:$O$45,BT70:BT72)</f>
        <v>9.8191755378163634</v>
      </c>
      <c r="BU76" s="133">
        <f t="array" ref="BU76:BU78">MMULT($M$43:$O$45,BU70:BU72)</f>
        <v>11.661113465480195</v>
      </c>
      <c r="BV76" s="133">
        <f t="array" ref="BV76:BV78">MMULT($M$43:$O$45,BV70:BV72)</f>
        <v>26.650627081352376</v>
      </c>
      <c r="BW76" s="133">
        <f t="array" ref="BW76:BW78">MMULT($M$43:$O$45,BW70:BW72)</f>
        <v>18.507093981930396</v>
      </c>
      <c r="BX76" s="133">
        <f t="array" ref="BX76:BX78">MMULT($M$43:$O$45,BX70:BX72)</f>
        <v>37.428861372903498</v>
      </c>
      <c r="BY76" s="133">
        <f t="array" ref="BY76:BY78">MMULT($M$43:$O$45,BY70:BY72)</f>
        <v>7.0531404148093877</v>
      </c>
      <c r="BZ76" s="133">
        <f t="array" ref="BZ76:BZ78">MMULT($M$43:$O$45,BZ70:BZ72)</f>
        <v>45.975443400141337</v>
      </c>
      <c r="CA76" s="133">
        <f t="array" ref="CA76:CA78">MMULT($M$43:$O$45,CA70:CA72)</f>
        <v>20.961130181340167</v>
      </c>
      <c r="CB76" s="133">
        <f t="array" ref="CB76:CB78">MMULT($M$43:$O$45,CB70:CB72)</f>
        <v>4.8161302241965993</v>
      </c>
      <c r="CC76" s="133">
        <f t="array" ref="CC76:CC78">MMULT($M$43:$O$45,CC70:CC72)</f>
        <v>6.6167601760854193</v>
      </c>
      <c r="CD76" s="133">
        <f t="array" ref="CD76:CD78">MMULT($M$43:$O$45,CD70:CD72)</f>
        <v>15.841205248897722</v>
      </c>
      <c r="CE76" s="133">
        <f t="array" ref="CE76:CE78">MMULT($M$43:$O$45,CE70:CE72)</f>
        <v>13.124718601340646</v>
      </c>
      <c r="CF76" s="133">
        <f t="array" ref="CF76:CF78">MMULT($M$43:$O$45,CF70:CF72)</f>
        <v>13.540923889515971</v>
      </c>
      <c r="CG76" s="133">
        <f t="array" ref="CG76:CG78">MMULT($M$43:$O$45,CG70:CG72)</f>
        <v>43.528708057599026</v>
      </c>
      <c r="CH76" s="133">
        <f t="array" ref="CH76:CH78">MMULT($M$43:$O$45,CH70:CH72)</f>
        <v>34.30935270905475</v>
      </c>
      <c r="CI76" s="133">
        <f t="array" ref="CI76:CI78">MMULT($M$43:$O$45,CI70:CI72)</f>
        <v>15.321057719940551</v>
      </c>
      <c r="CJ76" s="133">
        <f t="array" ref="CJ76:CJ78">MMULT($M$43:$O$45,CJ70:CJ72)</f>
        <v>68.221965749985671</v>
      </c>
      <c r="CK76" s="133">
        <f t="array" ref="CK76:CK78">MMULT($M$43:$O$45,CK70:CK72)</f>
        <v>43.584392037802438</v>
      </c>
      <c r="CL76" s="133">
        <f t="array" ref="CL76:CL78">MMULT($M$43:$O$45,CL70:CL72)</f>
        <v>5.0792526909879605</v>
      </c>
      <c r="CM76" s="133">
        <f t="array" ref="CM76:CM78">MMULT($M$43:$O$45,CM70:CM72)</f>
        <v>11.881727072958151</v>
      </c>
      <c r="CN76" s="133">
        <f t="array" ref="CN76:CN78">MMULT($M$43:$O$45,CN70:CN72)</f>
        <v>36.531716250041775</v>
      </c>
      <c r="CO76" s="133">
        <f t="array" ref="CO76:CO78">MMULT($M$43:$O$45,CO70:CO72)</f>
        <v>12.756401966526662</v>
      </c>
      <c r="CP76" s="133">
        <f t="array" ref="CP76:CP78">MMULT($M$43:$O$45,CP70:CP72)</f>
        <v>33.929975709585456</v>
      </c>
      <c r="CQ76" s="133">
        <f t="array" ref="CQ76:CQ78">MMULT($M$43:$O$45,CQ70:CQ72)</f>
        <v>11.912220185249504</v>
      </c>
      <c r="CR76" s="133">
        <f t="array" ref="CR76:CR78">MMULT($M$43:$O$45,CR70:CR72)</f>
        <v>16.270583949676595</v>
      </c>
      <c r="CS76" s="133">
        <f t="array" ref="CS76:CS78">MMULT($M$43:$O$45,CS70:CS72)</f>
        <v>54.62757251536145</v>
      </c>
      <c r="CT76" s="133">
        <f t="array" ref="CT76:CT78">MMULT($M$43:$O$45,CT70:CT72)</f>
        <v>25.775793306033393</v>
      </c>
      <c r="CU76" s="133">
        <f t="array" ref="CU76:CU78">MMULT($M$43:$O$45,CU70:CU72)</f>
        <v>37.875050938883959</v>
      </c>
      <c r="CV76" s="133">
        <f t="array" ref="CV76:CV78">MMULT($M$43:$O$45,CV70:CV72)</f>
        <v>13.40747570230385</v>
      </c>
      <c r="CW76" s="133">
        <f t="array" ref="CW76:CW78">MMULT($M$43:$O$45,CW70:CW72)</f>
        <v>43.820790954684838</v>
      </c>
      <c r="CX76" s="133">
        <f t="array" ref="CX76:CX78">MMULT($M$43:$O$45,CX70:CX72)</f>
        <v>56.933489542694652</v>
      </c>
      <c r="CY76" s="133">
        <f t="array" ref="CY76:CY78">MMULT($M$43:$O$45,CY70:CY72)</f>
        <v>23.411564974705733</v>
      </c>
      <c r="CZ76" s="133">
        <f t="array" ref="CZ76:CZ78">MMULT($M$43:$O$45,CZ70:CZ72)</f>
        <v>40.669567001595425</v>
      </c>
      <c r="DA76" s="133">
        <f t="array" ref="DA76:DA78">MMULT($M$43:$O$45,DA70:DA72)</f>
        <v>27.108641296357103</v>
      </c>
      <c r="DC76">
        <v>72</v>
      </c>
      <c r="DD76" s="84">
        <v>76.959900579894153</v>
      </c>
      <c r="DE76" s="84">
        <v>-6.1268082856843806</v>
      </c>
      <c r="DF76" s="84">
        <v>-7.9792257253594787</v>
      </c>
      <c r="DG76" s="84">
        <v>76.73671253896562</v>
      </c>
      <c r="DH76" s="84">
        <v>-4.5375615579708972</v>
      </c>
      <c r="DI76" s="84">
        <v>-9.0308107844189411</v>
      </c>
      <c r="DJ76" s="84">
        <v>1.9186842365534316</v>
      </c>
      <c r="DK76" s="84">
        <f t="shared" si="118"/>
        <v>3.6813491995986247</v>
      </c>
      <c r="DL76" s="84">
        <f t="shared" si="119"/>
        <v>4.0575645737231953</v>
      </c>
      <c r="DM76" s="84">
        <f t="shared" si="120"/>
        <v>232.48132517613809</v>
      </c>
      <c r="DN76" s="85">
        <v>6</v>
      </c>
      <c r="DO76">
        <v>6</v>
      </c>
      <c r="DP76">
        <f t="shared" si="88"/>
        <v>247.5</v>
      </c>
      <c r="DQ76" s="270">
        <v>-7.6536686473017905</v>
      </c>
      <c r="DR76" s="270">
        <v>-18.477590650225736</v>
      </c>
    </row>
    <row r="77" spans="1:122">
      <c r="A77">
        <v>720</v>
      </c>
      <c r="B77" s="90">
        <f>'Color metric'!B71</f>
        <v>0.13101116362871243</v>
      </c>
      <c r="C77" s="82">
        <f>Reference!N77</f>
        <v>7.6225753131721961</v>
      </c>
      <c r="D77" s="82"/>
      <c r="E77" s="137" t="s">
        <v>146</v>
      </c>
      <c r="F77" s="133">
        <v>100</v>
      </c>
      <c r="G77" s="133">
        <v>61.967492527524328</v>
      </c>
      <c r="H77" s="133">
        <v>25.736567001521344</v>
      </c>
      <c r="I77" s="133">
        <v>5.8021457790263762</v>
      </c>
      <c r="J77" s="133">
        <v>34.595386939055487</v>
      </c>
      <c r="K77" s="133">
        <v>15.229468474111076</v>
      </c>
      <c r="L77" s="133">
        <v>16.344670856176673</v>
      </c>
      <c r="M77" s="133">
        <v>10.606111776817372</v>
      </c>
      <c r="N77" s="133">
        <v>10.228843937626344</v>
      </c>
      <c r="O77" s="133">
        <v>4.9801594909265523</v>
      </c>
      <c r="P77" s="133">
        <v>41.087122734913741</v>
      </c>
      <c r="Q77" s="133">
        <v>21.212346834731221</v>
      </c>
      <c r="R77" s="133">
        <v>27.103325888541821</v>
      </c>
      <c r="S77" s="133">
        <v>11.253948838380492</v>
      </c>
      <c r="T77" s="133">
        <v>41.931282877122037</v>
      </c>
      <c r="U77" s="133">
        <v>37.731766715143287</v>
      </c>
      <c r="V77" s="133">
        <v>14.043543664541618</v>
      </c>
      <c r="W77" s="133">
        <v>15.328059196108999</v>
      </c>
      <c r="X77" s="133">
        <v>20.890181017580577</v>
      </c>
      <c r="Y77" s="133">
        <v>36.823199966028646</v>
      </c>
      <c r="Z77" s="133">
        <v>30.876905655293449</v>
      </c>
      <c r="AA77" s="133">
        <v>60.994975225656979</v>
      </c>
      <c r="AB77" s="133">
        <v>47.053110384551815</v>
      </c>
      <c r="AC77" s="133">
        <v>75.419196060448371</v>
      </c>
      <c r="AD77" s="133">
        <v>71.672388832338569</v>
      </c>
      <c r="AE77" s="133">
        <v>36.983036597585858</v>
      </c>
      <c r="AF77" s="133">
        <v>69.475599167019311</v>
      </c>
      <c r="AG77" s="133">
        <v>40.927510667093955</v>
      </c>
      <c r="AH77" s="133">
        <v>10.832742111389905</v>
      </c>
      <c r="AI77" s="133">
        <v>63.962204454510619</v>
      </c>
      <c r="AJ77" s="133">
        <v>29.390938539725845</v>
      </c>
      <c r="AK77" s="133">
        <v>67.895993423686122</v>
      </c>
      <c r="AL77" s="133">
        <v>43.386720028787984</v>
      </c>
      <c r="AM77" s="133">
        <v>71.297241637512229</v>
      </c>
      <c r="AN77" s="133">
        <v>26.81619055586323</v>
      </c>
      <c r="AO77" s="133">
        <v>11.208050940796129</v>
      </c>
      <c r="AP77" s="133">
        <v>53.30502619107385</v>
      </c>
      <c r="AQ77" s="133">
        <v>14.814464779567952</v>
      </c>
      <c r="AR77" s="133">
        <v>64.424111120966771</v>
      </c>
      <c r="AS77" s="133">
        <v>7.6286814187772674</v>
      </c>
      <c r="AT77" s="133">
        <v>16.539738496424299</v>
      </c>
      <c r="AU77" s="133">
        <v>68.889399211189755</v>
      </c>
      <c r="AV77" s="133">
        <v>35.579137794496383</v>
      </c>
      <c r="AW77" s="133">
        <v>40.89394390446931</v>
      </c>
      <c r="AX77" s="133">
        <v>4.9554414058381546</v>
      </c>
      <c r="AY77" s="133">
        <v>24.146042835995623</v>
      </c>
      <c r="AZ77" s="133">
        <v>33.018869417130858</v>
      </c>
      <c r="BA77" s="133">
        <v>37.392565952509287</v>
      </c>
      <c r="BB77" s="133">
        <v>49.351303395371332</v>
      </c>
      <c r="BC77" s="133">
        <v>14.218413336936029</v>
      </c>
      <c r="BD77" s="133">
        <v>20.814017141525156</v>
      </c>
      <c r="BE77" s="133">
        <v>24.364648749233197</v>
      </c>
      <c r="BF77" s="133">
        <v>11.207937337177643</v>
      </c>
      <c r="BG77" s="133">
        <v>17.390868237843986</v>
      </c>
      <c r="BH77" s="133">
        <v>67.488120974571501</v>
      </c>
      <c r="BI77" s="133">
        <v>60.542934981162965</v>
      </c>
      <c r="BJ77" s="133">
        <v>40.597838834740266</v>
      </c>
      <c r="BK77" s="133">
        <v>24.555877232414332</v>
      </c>
      <c r="BL77" s="133">
        <v>21.07125544870528</v>
      </c>
      <c r="BM77" s="133">
        <v>67.158194763347723</v>
      </c>
      <c r="BN77" s="133">
        <v>69.566768080561005</v>
      </c>
      <c r="BO77" s="133">
        <v>47.987055810724165</v>
      </c>
      <c r="BP77" s="133">
        <v>33.419737755273019</v>
      </c>
      <c r="BQ77" s="133">
        <v>7.3593817325972681</v>
      </c>
      <c r="BR77" s="133">
        <v>25.469541394159755</v>
      </c>
      <c r="BS77" s="133">
        <v>10.485146615998133</v>
      </c>
      <c r="BT77" s="133">
        <v>13.722766331337688</v>
      </c>
      <c r="BU77" s="133">
        <v>16.041686376328851</v>
      </c>
      <c r="BV77" s="133">
        <v>30.419612685659359</v>
      </c>
      <c r="BW77" s="133">
        <v>19.390371573898257</v>
      </c>
      <c r="BX77" s="133">
        <v>41.893645180518305</v>
      </c>
      <c r="BY77" s="133">
        <v>8.018760849028471</v>
      </c>
      <c r="BZ77" s="133">
        <v>47.234405936377364</v>
      </c>
      <c r="CA77" s="133">
        <v>24.369404928476175</v>
      </c>
      <c r="CB77" s="133">
        <v>4.8448982992114615</v>
      </c>
      <c r="CC77" s="133">
        <v>7.0688548868755126</v>
      </c>
      <c r="CD77" s="133">
        <v>16.047805118316763</v>
      </c>
      <c r="CE77" s="133">
        <v>13.272983176348566</v>
      </c>
      <c r="CF77" s="133">
        <v>13.287801178644806</v>
      </c>
      <c r="CG77" s="133">
        <v>43.059342483963079</v>
      </c>
      <c r="CH77" s="133">
        <v>32.220934008400164</v>
      </c>
      <c r="CI77" s="133">
        <v>12.842888881241182</v>
      </c>
      <c r="CJ77" s="133">
        <v>67.131140984523782</v>
      </c>
      <c r="CK77" s="133">
        <v>41.399946640474511</v>
      </c>
      <c r="CL77" s="133">
        <v>4.7795205564436749</v>
      </c>
      <c r="CM77" s="133">
        <v>10.81869094178683</v>
      </c>
      <c r="CN77" s="133">
        <v>31.758615092410043</v>
      </c>
      <c r="CO77" s="133">
        <v>9.8496042012259792</v>
      </c>
      <c r="CP77" s="133">
        <v>27.424941690546564</v>
      </c>
      <c r="CQ77" s="133">
        <v>8.9806906014533432</v>
      </c>
      <c r="CR77" s="133">
        <v>11.985542585256573</v>
      </c>
      <c r="CS77" s="133">
        <v>53.484309215185732</v>
      </c>
      <c r="CT77" s="133">
        <v>21.654821188881456</v>
      </c>
      <c r="CU77" s="133">
        <v>33.423323637698445</v>
      </c>
      <c r="CV77" s="133">
        <v>9.5349608430282071</v>
      </c>
      <c r="CW77" s="133">
        <v>36.975482012965422</v>
      </c>
      <c r="CX77" s="133">
        <v>49.086291818587306</v>
      </c>
      <c r="CY77" s="133">
        <v>17.504112187442853</v>
      </c>
      <c r="CZ77" s="133">
        <v>28.734090744547451</v>
      </c>
      <c r="DA77" s="133">
        <v>17.640154756877138</v>
      </c>
      <c r="DC77">
        <v>73</v>
      </c>
      <c r="DD77" s="84">
        <v>58.114651109346774</v>
      </c>
      <c r="DE77" s="84">
        <v>-20.122031369222924</v>
      </c>
      <c r="DF77" s="84">
        <v>-25.404497347154958</v>
      </c>
      <c r="DG77" s="84">
        <v>57.070194617908918</v>
      </c>
      <c r="DH77" s="84">
        <v>-15.71354635936682</v>
      </c>
      <c r="DI77" s="84">
        <v>-28.679163990245275</v>
      </c>
      <c r="DJ77" s="84">
        <v>5.5900868569281688</v>
      </c>
      <c r="DK77" s="84">
        <f t="shared" si="118"/>
        <v>31.249071068001054</v>
      </c>
      <c r="DL77" s="84">
        <f t="shared" si="119"/>
        <v>4.0425047758842263</v>
      </c>
      <c r="DM77" s="84">
        <f t="shared" si="120"/>
        <v>231.61846231964489</v>
      </c>
      <c r="DN77" s="85">
        <v>6</v>
      </c>
      <c r="DO77">
        <v>6</v>
      </c>
      <c r="DP77">
        <f t="shared" si="88"/>
        <v>247.5</v>
      </c>
      <c r="DQ77" s="270">
        <v>-7.6536686473017905</v>
      </c>
      <c r="DR77" s="270">
        <v>-18.477590650225736</v>
      </c>
    </row>
    <row r="78" spans="1:122">
      <c r="A78">
        <v>725</v>
      </c>
      <c r="B78" s="90">
        <f>'Color metric'!B72</f>
        <v>0.1145449569610595</v>
      </c>
      <c r="C78" s="82">
        <f>Reference!N78</f>
        <v>7.6793030204736477</v>
      </c>
      <c r="D78" s="82"/>
      <c r="E78" s="137" t="s">
        <v>147</v>
      </c>
      <c r="F78" s="133">
        <v>99.999999999999986</v>
      </c>
      <c r="G78" s="133">
        <v>60.621912569481943</v>
      </c>
      <c r="H78" s="133">
        <v>22.150342529345551</v>
      </c>
      <c r="I78" s="133">
        <v>5.2329227115158741</v>
      </c>
      <c r="J78" s="133">
        <v>28.582903692920741</v>
      </c>
      <c r="K78" s="133">
        <v>9.3595168639894037</v>
      </c>
      <c r="L78" s="133">
        <v>12.548822187358795</v>
      </c>
      <c r="M78" s="133">
        <v>5.6400222977656504</v>
      </c>
      <c r="N78" s="133">
        <v>5.8380056766205382</v>
      </c>
      <c r="O78" s="133">
        <v>4.8631535358088671</v>
      </c>
      <c r="P78" s="133">
        <v>18.776596996233991</v>
      </c>
      <c r="Q78" s="133">
        <v>7.4177247051063189</v>
      </c>
      <c r="R78" s="133">
        <v>8.9703511188891394</v>
      </c>
      <c r="S78" s="133">
        <v>5.0652452710946587</v>
      </c>
      <c r="T78" s="133">
        <v>35.921895895557242</v>
      </c>
      <c r="U78" s="133">
        <v>26.768518852708993</v>
      </c>
      <c r="V78" s="133">
        <v>5.8777034918702062</v>
      </c>
      <c r="W78" s="133">
        <v>6.3672948105759648</v>
      </c>
      <c r="X78" s="133">
        <v>11.983029588959726</v>
      </c>
      <c r="Y78" s="133">
        <v>13.228926564093809</v>
      </c>
      <c r="Z78" s="133">
        <v>6.633340157145267</v>
      </c>
      <c r="AA78" s="133">
        <v>19.068969785758281</v>
      </c>
      <c r="AB78" s="133">
        <v>12.221472124546848</v>
      </c>
      <c r="AC78" s="133">
        <v>55.085160691457951</v>
      </c>
      <c r="AD78" s="133">
        <v>31.098964397275317</v>
      </c>
      <c r="AE78" s="133">
        <v>6.4240541429283953</v>
      </c>
      <c r="AF78" s="133">
        <v>22.974784879945972</v>
      </c>
      <c r="AG78" s="133">
        <v>25.198320722160013</v>
      </c>
      <c r="AH78" s="133">
        <v>5.0213324264148493</v>
      </c>
      <c r="AI78" s="133">
        <v>20.945797022189684</v>
      </c>
      <c r="AJ78" s="133">
        <v>15.562756090937619</v>
      </c>
      <c r="AK78" s="133">
        <v>22.961556215922407</v>
      </c>
      <c r="AL78" s="133">
        <v>10.001099406762689</v>
      </c>
      <c r="AM78" s="133">
        <v>40.021761453672482</v>
      </c>
      <c r="AN78" s="133">
        <v>6.472207157559577</v>
      </c>
      <c r="AO78" s="133">
        <v>5.4336328333400532</v>
      </c>
      <c r="AP78" s="133">
        <v>44.910299568648256</v>
      </c>
      <c r="AQ78" s="133">
        <v>6.1229417529853629</v>
      </c>
      <c r="AR78" s="133">
        <v>40.705553090522876</v>
      </c>
      <c r="AS78" s="133">
        <v>5.7140172571205925</v>
      </c>
      <c r="AT78" s="133">
        <v>9.9144809807598584</v>
      </c>
      <c r="AU78" s="133">
        <v>57.352916164810544</v>
      </c>
      <c r="AV78" s="133">
        <v>9.9573047785076643</v>
      </c>
      <c r="AW78" s="133">
        <v>11.580717423532866</v>
      </c>
      <c r="AX78" s="133">
        <v>4.7299143830980475</v>
      </c>
      <c r="AY78" s="133">
        <v>10.202087559002214</v>
      </c>
      <c r="AZ78" s="133">
        <v>19.152735762911298</v>
      </c>
      <c r="BA78" s="133">
        <v>26.963142272754297</v>
      </c>
      <c r="BB78" s="133">
        <v>31.645442882674402</v>
      </c>
      <c r="BC78" s="133">
        <v>7.9176962254737537</v>
      </c>
      <c r="BD78" s="133">
        <v>16.062045957488223</v>
      </c>
      <c r="BE78" s="133">
        <v>20.049101407993433</v>
      </c>
      <c r="BF78" s="133">
        <v>7.8622122038676343</v>
      </c>
      <c r="BG78" s="133">
        <v>14.039664507009716</v>
      </c>
      <c r="BH78" s="133">
        <v>67.188049975325725</v>
      </c>
      <c r="BI78" s="133">
        <v>61.998548542967242</v>
      </c>
      <c r="BJ78" s="133">
        <v>42.983801117839093</v>
      </c>
      <c r="BK78" s="133">
        <v>26.468115352353962</v>
      </c>
      <c r="BL78" s="133">
        <v>24.536758891855641</v>
      </c>
      <c r="BM78" s="133">
        <v>70.161976124771257</v>
      </c>
      <c r="BN78" s="133">
        <v>71.87094053365486</v>
      </c>
      <c r="BO78" s="133">
        <v>52.571240924041575</v>
      </c>
      <c r="BP78" s="133">
        <v>35.5262957957572</v>
      </c>
      <c r="BQ78" s="133">
        <v>7.7619196346279811</v>
      </c>
      <c r="BR78" s="133">
        <v>38.279638407909687</v>
      </c>
      <c r="BS78" s="133">
        <v>14.247150074297743</v>
      </c>
      <c r="BT78" s="133">
        <v>23.752130349857488</v>
      </c>
      <c r="BU78" s="133">
        <v>28.600676105135662</v>
      </c>
      <c r="BV78" s="133">
        <v>42.832819590274468</v>
      </c>
      <c r="BW78" s="133">
        <v>24.165085540176221</v>
      </c>
      <c r="BX78" s="133">
        <v>66.848789431962828</v>
      </c>
      <c r="BY78" s="133">
        <v>16.253847941895742</v>
      </c>
      <c r="BZ78" s="133">
        <v>53.561123882817121</v>
      </c>
      <c r="CA78" s="133">
        <v>50.810345978171064</v>
      </c>
      <c r="CB78" s="133">
        <v>5.3196351928014884</v>
      </c>
      <c r="CC78" s="133">
        <v>15.42685481580272</v>
      </c>
      <c r="CD78" s="133">
        <v>42.993524844596799</v>
      </c>
      <c r="CE78" s="133">
        <v>26.378720277343191</v>
      </c>
      <c r="CF78" s="133">
        <v>36.592254634838163</v>
      </c>
      <c r="CG78" s="133">
        <v>63.106300449209861</v>
      </c>
      <c r="CH78" s="133">
        <v>53.743331591290804</v>
      </c>
      <c r="CI78" s="133">
        <v>30.460832526993634</v>
      </c>
      <c r="CJ78" s="133">
        <v>77.030659159396976</v>
      </c>
      <c r="CK78" s="133">
        <v>56.472378592731175</v>
      </c>
      <c r="CL78" s="133">
        <v>5.8781277668989578</v>
      </c>
      <c r="CM78" s="133">
        <v>15.260049953670018</v>
      </c>
      <c r="CN78" s="133">
        <v>52.708882505214952</v>
      </c>
      <c r="CO78" s="133">
        <v>20.33577983114667</v>
      </c>
      <c r="CP78" s="133">
        <v>43.042141829237764</v>
      </c>
      <c r="CQ78" s="133">
        <v>15.484161489562169</v>
      </c>
      <c r="CR78" s="133">
        <v>20.635142942343066</v>
      </c>
      <c r="CS78" s="133">
        <v>54.760144672526977</v>
      </c>
      <c r="CT78" s="133">
        <v>27.200148991917317</v>
      </c>
      <c r="CU78" s="133">
        <v>38.841588131210514</v>
      </c>
      <c r="CV78" s="133">
        <v>12.956214019688375</v>
      </c>
      <c r="CW78" s="133">
        <v>42.44741690140463</v>
      </c>
      <c r="CX78" s="133">
        <v>54.528654767001932</v>
      </c>
      <c r="CY78" s="133">
        <v>20.060192004952292</v>
      </c>
      <c r="CZ78" s="133">
        <v>29.668115621066498</v>
      </c>
      <c r="DA78" s="133">
        <v>18.188797999664853</v>
      </c>
      <c r="DC78">
        <v>74</v>
      </c>
      <c r="DD78" s="84">
        <v>28.498843798509444</v>
      </c>
      <c r="DE78" s="84">
        <v>-1.2821297248246635</v>
      </c>
      <c r="DF78" s="84">
        <v>-3.5487063346524814</v>
      </c>
      <c r="DG78" s="84">
        <v>28.290155056398604</v>
      </c>
      <c r="DH78" s="84">
        <v>-1.2395361985654936</v>
      </c>
      <c r="DI78" s="84">
        <v>-4.6127131263443371</v>
      </c>
      <c r="DJ78" s="84">
        <v>1.0851155018381184</v>
      </c>
      <c r="DK78" s="84">
        <f t="shared" si="118"/>
        <v>1.1774756523293917</v>
      </c>
      <c r="DL78" s="84">
        <f t="shared" si="119"/>
        <v>4.3656874822314009</v>
      </c>
      <c r="DM78" s="84">
        <f t="shared" si="120"/>
        <v>250.13546740495386</v>
      </c>
      <c r="DN78" s="85">
        <v>6</v>
      </c>
      <c r="DO78">
        <v>3</v>
      </c>
      <c r="DP78">
        <f t="shared" si="88"/>
        <v>247.5</v>
      </c>
      <c r="DQ78" s="270">
        <v>-7.6536686473017905</v>
      </c>
      <c r="DR78" s="270">
        <v>-18.477590650225736</v>
      </c>
    </row>
    <row r="79" spans="1:122">
      <c r="A79">
        <v>730</v>
      </c>
      <c r="B79" s="90">
        <f>'Color metric'!B73</f>
        <v>0.10011508726021938</v>
      </c>
      <c r="C79" s="82">
        <f>Reference!N79</f>
        <v>7.7338722969197606</v>
      </c>
      <c r="D79" s="82"/>
      <c r="E79" s="137" t="s">
        <v>148</v>
      </c>
      <c r="F79" s="133">
        <f t="array" ref="F79:F81">MMULT($M$43:$O$45,F73:F75)</f>
        <v>100</v>
      </c>
      <c r="G79" s="133">
        <f t="array" ref="G79:G81">MMULT($M$43:$O$45,G73:G75)</f>
        <v>100</v>
      </c>
      <c r="H79" s="133">
        <f t="array" ref="H79:H81">MMULT($M$43:$O$45,H73:H75)</f>
        <v>100</v>
      </c>
      <c r="I79" s="133">
        <f t="array" ref="I79:I81">MMULT($M$43:$O$45,I73:I75)</f>
        <v>100</v>
      </c>
      <c r="J79" s="133">
        <f t="array" ref="J79:J81">MMULT($M$43:$O$45,J73:J75)</f>
        <v>100</v>
      </c>
      <c r="K79" s="133">
        <f t="array" ref="K79:K81">MMULT($M$43:$O$45,K73:K75)</f>
        <v>100</v>
      </c>
      <c r="L79" s="133">
        <f t="array" ref="L79:L81">MMULT($M$43:$O$45,L73:L75)</f>
        <v>100</v>
      </c>
      <c r="M79" s="133">
        <f t="array" ref="M79:M81">MMULT($M$43:$O$45,M73:M75)</f>
        <v>100</v>
      </c>
      <c r="N79" s="133">
        <f t="array" ref="N79:N81">MMULT($M$43:$O$45,N73:N75)</f>
        <v>100</v>
      </c>
      <c r="O79" s="133">
        <f t="array" ref="O79:O81">MMULT($M$43:$O$45,O73:O75)</f>
        <v>100</v>
      </c>
      <c r="P79" s="133">
        <f t="array" ref="P79:P81">MMULT($M$43:$O$45,P73:P75)</f>
        <v>100</v>
      </c>
      <c r="Q79" s="133">
        <f t="array" ref="Q79:Q81">MMULT($M$43:$O$45,Q73:Q75)</f>
        <v>100</v>
      </c>
      <c r="R79" s="133">
        <f t="array" ref="R79:R81">MMULT($M$43:$O$45,R73:R75)</f>
        <v>100</v>
      </c>
      <c r="S79" s="133">
        <f t="array" ref="S79:S81">MMULT($M$43:$O$45,S73:S75)</f>
        <v>100</v>
      </c>
      <c r="T79" s="133">
        <f t="array" ref="T79:T81">MMULT($M$43:$O$45,T73:T75)</f>
        <v>100</v>
      </c>
      <c r="U79" s="133">
        <f t="array" ref="U79:U81">MMULT($M$43:$O$45,U73:U75)</f>
        <v>100</v>
      </c>
      <c r="V79" s="133">
        <f t="array" ref="V79:V81">MMULT($M$43:$O$45,V73:V75)</f>
        <v>100</v>
      </c>
      <c r="W79" s="133">
        <f t="array" ref="W79:W81">MMULT($M$43:$O$45,W73:W75)</f>
        <v>100</v>
      </c>
      <c r="X79" s="133">
        <f t="array" ref="X79:X81">MMULT($M$43:$O$45,X73:X75)</f>
        <v>100</v>
      </c>
      <c r="Y79" s="133">
        <f t="array" ref="Y79:Y81">MMULT($M$43:$O$45,Y73:Y75)</f>
        <v>100</v>
      </c>
      <c r="Z79" s="133">
        <f t="array" ref="Z79:Z81">MMULT($M$43:$O$45,Z73:Z75)</f>
        <v>100</v>
      </c>
      <c r="AA79" s="133">
        <f t="array" ref="AA79:AA81">MMULT($M$43:$O$45,AA73:AA75)</f>
        <v>100</v>
      </c>
      <c r="AB79" s="133">
        <f t="array" ref="AB79:AB81">MMULT($M$43:$O$45,AB73:AB75)</f>
        <v>100</v>
      </c>
      <c r="AC79" s="133">
        <f t="array" ref="AC79:AC81">MMULT($M$43:$O$45,AC73:AC75)</f>
        <v>100</v>
      </c>
      <c r="AD79" s="133">
        <f t="array" ref="AD79:AD81">MMULT($M$43:$O$45,AD73:AD75)</f>
        <v>100</v>
      </c>
      <c r="AE79" s="133">
        <f t="array" ref="AE79:AE81">MMULT($M$43:$O$45,AE73:AE75)</f>
        <v>100</v>
      </c>
      <c r="AF79" s="133">
        <f t="array" ref="AF79:AF81">MMULT($M$43:$O$45,AF73:AF75)</f>
        <v>100</v>
      </c>
      <c r="AG79" s="133">
        <f t="array" ref="AG79:AG81">MMULT($M$43:$O$45,AG73:AG75)</f>
        <v>100</v>
      </c>
      <c r="AH79" s="133">
        <f t="array" ref="AH79:AH81">MMULT($M$43:$O$45,AH73:AH75)</f>
        <v>100</v>
      </c>
      <c r="AI79" s="133">
        <f t="array" ref="AI79:AI81">MMULT($M$43:$O$45,AI73:AI75)</f>
        <v>100</v>
      </c>
      <c r="AJ79" s="133">
        <f t="array" ref="AJ79:AJ81">MMULT($M$43:$O$45,AJ73:AJ75)</f>
        <v>100</v>
      </c>
      <c r="AK79" s="133">
        <f t="array" ref="AK79:AK81">MMULT($M$43:$O$45,AK73:AK75)</f>
        <v>100</v>
      </c>
      <c r="AL79" s="133">
        <f t="array" ref="AL79:AL81">MMULT($M$43:$O$45,AL73:AL75)</f>
        <v>100</v>
      </c>
      <c r="AM79" s="133">
        <f t="array" ref="AM79:AM81">MMULT($M$43:$O$45,AM73:AM75)</f>
        <v>100</v>
      </c>
      <c r="AN79" s="133">
        <f t="array" ref="AN79:AN81">MMULT($M$43:$O$45,AN73:AN75)</f>
        <v>100</v>
      </c>
      <c r="AO79" s="133">
        <f t="array" ref="AO79:AO81">MMULT($M$43:$O$45,AO73:AO75)</f>
        <v>100</v>
      </c>
      <c r="AP79" s="133">
        <f t="array" ref="AP79:AP81">MMULT($M$43:$O$45,AP73:AP75)</f>
        <v>100</v>
      </c>
      <c r="AQ79" s="133">
        <f t="array" ref="AQ79:AQ81">MMULT($M$43:$O$45,AQ73:AQ75)</f>
        <v>100</v>
      </c>
      <c r="AR79" s="133">
        <f t="array" ref="AR79:AR81">MMULT($M$43:$O$45,AR73:AR75)</f>
        <v>100</v>
      </c>
      <c r="AS79" s="133">
        <f t="array" ref="AS79:AS81">MMULT($M$43:$O$45,AS73:AS75)</f>
        <v>100</v>
      </c>
      <c r="AT79" s="133">
        <f t="array" ref="AT79:AT81">MMULT($M$43:$O$45,AT73:AT75)</f>
        <v>100</v>
      </c>
      <c r="AU79" s="133">
        <f t="array" ref="AU79:AU81">MMULT($M$43:$O$45,AU73:AU75)</f>
        <v>100</v>
      </c>
      <c r="AV79" s="133">
        <f t="array" ref="AV79:AV81">MMULT($M$43:$O$45,AV73:AV75)</f>
        <v>100</v>
      </c>
      <c r="AW79" s="133">
        <f t="array" ref="AW79:AW81">MMULT($M$43:$O$45,AW73:AW75)</f>
        <v>100</v>
      </c>
      <c r="AX79" s="133">
        <f t="array" ref="AX79:AX81">MMULT($M$43:$O$45,AX73:AX75)</f>
        <v>100</v>
      </c>
      <c r="AY79" s="133">
        <f t="array" ref="AY79:AY81">MMULT($M$43:$O$45,AY73:AY75)</f>
        <v>100</v>
      </c>
      <c r="AZ79" s="133">
        <f t="array" ref="AZ79:AZ81">MMULT($M$43:$O$45,AZ73:AZ75)</f>
        <v>100</v>
      </c>
      <c r="BA79" s="133">
        <f t="array" ref="BA79:BA81">MMULT($M$43:$O$45,BA73:BA75)</f>
        <v>100</v>
      </c>
      <c r="BB79" s="133">
        <f t="array" ref="BB79:BB81">MMULT($M$43:$O$45,BB73:BB75)</f>
        <v>100</v>
      </c>
      <c r="BC79" s="133">
        <f t="array" ref="BC79:BC81">MMULT($M$43:$O$45,BC73:BC75)</f>
        <v>100</v>
      </c>
      <c r="BD79" s="133">
        <f t="array" ref="BD79:BD81">MMULT($M$43:$O$45,BD73:BD75)</f>
        <v>100</v>
      </c>
      <c r="BE79" s="133">
        <f t="array" ref="BE79:BE81">MMULT($M$43:$O$45,BE73:BE75)</f>
        <v>100</v>
      </c>
      <c r="BF79" s="133">
        <f t="array" ref="BF79:BF81">MMULT($M$43:$O$45,BF73:BF75)</f>
        <v>100</v>
      </c>
      <c r="BG79" s="133">
        <f t="array" ref="BG79:BG81">MMULT($M$43:$O$45,BG73:BG75)</f>
        <v>100</v>
      </c>
      <c r="BH79" s="133">
        <f t="array" ref="BH79:BH81">MMULT($M$43:$O$45,BH73:BH75)</f>
        <v>100</v>
      </c>
      <c r="BI79" s="133">
        <f t="array" ref="BI79:BI81">MMULT($M$43:$O$45,BI73:BI75)</f>
        <v>100</v>
      </c>
      <c r="BJ79" s="133">
        <f t="array" ref="BJ79:BJ81">MMULT($M$43:$O$45,BJ73:BJ75)</f>
        <v>100</v>
      </c>
      <c r="BK79" s="133">
        <f t="array" ref="BK79:BK81">MMULT($M$43:$O$45,BK73:BK75)</f>
        <v>100</v>
      </c>
      <c r="BL79" s="133">
        <f t="array" ref="BL79:BL81">MMULT($M$43:$O$45,BL73:BL75)</f>
        <v>100</v>
      </c>
      <c r="BM79" s="133">
        <f t="array" ref="BM79:BM81">MMULT($M$43:$O$45,BM73:BM75)</f>
        <v>100</v>
      </c>
      <c r="BN79" s="133">
        <f t="array" ref="BN79:BN81">MMULT($M$43:$O$45,BN73:BN75)</f>
        <v>100</v>
      </c>
      <c r="BO79" s="133">
        <f t="array" ref="BO79:BO81">MMULT($M$43:$O$45,BO73:BO75)</f>
        <v>100</v>
      </c>
      <c r="BP79" s="133">
        <f t="array" ref="BP79:BP81">MMULT($M$43:$O$45,BP73:BP75)</f>
        <v>100</v>
      </c>
      <c r="BQ79" s="133">
        <f t="array" ref="BQ79:BQ81">MMULT($M$43:$O$45,BQ73:BQ75)</f>
        <v>100</v>
      </c>
      <c r="BR79" s="133">
        <f t="array" ref="BR79:BR81">MMULT($M$43:$O$45,BR73:BR75)</f>
        <v>100</v>
      </c>
      <c r="BS79" s="133">
        <f t="array" ref="BS79:BS81">MMULT($M$43:$O$45,BS73:BS75)</f>
        <v>100</v>
      </c>
      <c r="BT79" s="133">
        <f t="array" ref="BT79:BT81">MMULT($M$43:$O$45,BT73:BT75)</f>
        <v>100</v>
      </c>
      <c r="BU79" s="133">
        <f t="array" ref="BU79:BU81">MMULT($M$43:$O$45,BU73:BU75)</f>
        <v>100</v>
      </c>
      <c r="BV79" s="133">
        <f t="array" ref="BV79:BV81">MMULT($M$43:$O$45,BV73:BV75)</f>
        <v>100</v>
      </c>
      <c r="BW79" s="133">
        <f t="array" ref="BW79:BW81">MMULT($M$43:$O$45,BW73:BW75)</f>
        <v>100</v>
      </c>
      <c r="BX79" s="133">
        <f t="array" ref="BX79:BX81">MMULT($M$43:$O$45,BX73:BX75)</f>
        <v>100</v>
      </c>
      <c r="BY79" s="133">
        <f t="array" ref="BY79:BY81">MMULT($M$43:$O$45,BY73:BY75)</f>
        <v>100</v>
      </c>
      <c r="BZ79" s="133">
        <f t="array" ref="BZ79:BZ81">MMULT($M$43:$O$45,BZ73:BZ75)</f>
        <v>100</v>
      </c>
      <c r="CA79" s="133">
        <f t="array" ref="CA79:CA81">MMULT($M$43:$O$45,CA73:CA75)</f>
        <v>100</v>
      </c>
      <c r="CB79" s="133">
        <f t="array" ref="CB79:CB81">MMULT($M$43:$O$45,CB73:CB75)</f>
        <v>100</v>
      </c>
      <c r="CC79" s="133">
        <f t="array" ref="CC79:CC81">MMULT($M$43:$O$45,CC73:CC75)</f>
        <v>100</v>
      </c>
      <c r="CD79" s="133">
        <f t="array" ref="CD79:CD81">MMULT($M$43:$O$45,CD73:CD75)</f>
        <v>100</v>
      </c>
      <c r="CE79" s="133">
        <f t="array" ref="CE79:CE81">MMULT($M$43:$O$45,CE73:CE75)</f>
        <v>100</v>
      </c>
      <c r="CF79" s="133">
        <f t="array" ref="CF79:CF81">MMULT($M$43:$O$45,CF73:CF75)</f>
        <v>100</v>
      </c>
      <c r="CG79" s="133">
        <f t="array" ref="CG79:CG81">MMULT($M$43:$O$45,CG73:CG75)</f>
        <v>100</v>
      </c>
      <c r="CH79" s="133">
        <f t="array" ref="CH79:CH81">MMULT($M$43:$O$45,CH73:CH75)</f>
        <v>100</v>
      </c>
      <c r="CI79" s="133">
        <f t="array" ref="CI79:CI81">MMULT($M$43:$O$45,CI73:CI75)</f>
        <v>100</v>
      </c>
      <c r="CJ79" s="133">
        <f t="array" ref="CJ79:CJ81">MMULT($M$43:$O$45,CJ73:CJ75)</f>
        <v>100</v>
      </c>
      <c r="CK79" s="133">
        <f t="array" ref="CK79:CK81">MMULT($M$43:$O$45,CK73:CK75)</f>
        <v>100</v>
      </c>
      <c r="CL79" s="133">
        <f t="array" ref="CL79:CL81">MMULT($M$43:$O$45,CL73:CL75)</f>
        <v>100</v>
      </c>
      <c r="CM79" s="133">
        <f t="array" ref="CM79:CM81">MMULT($M$43:$O$45,CM73:CM75)</f>
        <v>100</v>
      </c>
      <c r="CN79" s="133">
        <f t="array" ref="CN79:CN81">MMULT($M$43:$O$45,CN73:CN75)</f>
        <v>100</v>
      </c>
      <c r="CO79" s="133">
        <f t="array" ref="CO79:CO81">MMULT($M$43:$O$45,CO73:CO75)</f>
        <v>100</v>
      </c>
      <c r="CP79" s="133">
        <f t="array" ref="CP79:CP81">MMULT($M$43:$O$45,CP73:CP75)</f>
        <v>100</v>
      </c>
      <c r="CQ79" s="133">
        <f t="array" ref="CQ79:CQ81">MMULT($M$43:$O$45,CQ73:CQ75)</f>
        <v>100</v>
      </c>
      <c r="CR79" s="133">
        <f t="array" ref="CR79:CR81">MMULT($M$43:$O$45,CR73:CR75)</f>
        <v>100</v>
      </c>
      <c r="CS79" s="133">
        <f t="array" ref="CS79:CS81">MMULT($M$43:$O$45,CS73:CS75)</f>
        <v>100</v>
      </c>
      <c r="CT79" s="133">
        <f t="array" ref="CT79:CT81">MMULT($M$43:$O$45,CT73:CT75)</f>
        <v>100</v>
      </c>
      <c r="CU79" s="133">
        <f t="array" ref="CU79:CU81">MMULT($M$43:$O$45,CU73:CU75)</f>
        <v>100</v>
      </c>
      <c r="CV79" s="133">
        <f t="array" ref="CV79:CV81">MMULT($M$43:$O$45,CV73:CV75)</f>
        <v>100</v>
      </c>
      <c r="CW79" s="133">
        <f t="array" ref="CW79:CW81">MMULT($M$43:$O$45,CW73:CW75)</f>
        <v>100</v>
      </c>
      <c r="CX79" s="133">
        <f t="array" ref="CX79:CX81">MMULT($M$43:$O$45,CX73:CX75)</f>
        <v>100</v>
      </c>
      <c r="CY79" s="133">
        <f t="array" ref="CY79:CY81">MMULT($M$43:$O$45,CY73:CY75)</f>
        <v>100</v>
      </c>
      <c r="CZ79" s="133">
        <f t="array" ref="CZ79:CZ81">MMULT($M$43:$O$45,CZ73:CZ75)</f>
        <v>100</v>
      </c>
      <c r="DA79" s="133">
        <f t="array" ref="DA79:DA81">MMULT($M$43:$O$45,DA73:DA75)</f>
        <v>100</v>
      </c>
      <c r="DC79">
        <v>75</v>
      </c>
      <c r="DD79" s="84">
        <v>33.541731976245117</v>
      </c>
      <c r="DE79" s="84">
        <v>-11.515706660194821</v>
      </c>
      <c r="DF79" s="84">
        <v>-21.41837819428342</v>
      </c>
      <c r="DG79" s="84">
        <v>32.75243419956108</v>
      </c>
      <c r="DH79" s="84">
        <v>-7.2582881080321151</v>
      </c>
      <c r="DI79" s="84">
        <v>-23.626031485992268</v>
      </c>
      <c r="DJ79" s="84">
        <v>4.8602815520266383</v>
      </c>
      <c r="DK79" s="84">
        <f t="shared" si="118"/>
        <v>23.622336764970466</v>
      </c>
      <c r="DL79" s="84">
        <f t="shared" si="119"/>
        <v>4.2190727652289803</v>
      </c>
      <c r="DM79" s="84">
        <f t="shared" si="120"/>
        <v>241.7350629062102</v>
      </c>
      <c r="DN79" s="85">
        <v>6</v>
      </c>
      <c r="DO79">
        <v>6</v>
      </c>
      <c r="DP79">
        <f t="shared" si="88"/>
        <v>247.5</v>
      </c>
      <c r="DQ79" s="270">
        <v>-7.6536686473017905</v>
      </c>
      <c r="DR79" s="270">
        <v>-18.477590650225736</v>
      </c>
    </row>
    <row r="80" spans="1:122">
      <c r="A80">
        <v>735</v>
      </c>
      <c r="B80" s="90">
        <f>'Color metric'!B74</f>
        <v>8.7564332574284476E-2</v>
      </c>
      <c r="C80" s="82">
        <f>Reference!N80</f>
        <v>7.7862974704034071</v>
      </c>
      <c r="D80" s="82"/>
      <c r="E80" s="137" t="s">
        <v>149</v>
      </c>
      <c r="F80" s="133">
        <v>100</v>
      </c>
      <c r="G80" s="133">
        <v>100</v>
      </c>
      <c r="H80" s="133">
        <v>100</v>
      </c>
      <c r="I80" s="133">
        <v>100</v>
      </c>
      <c r="J80" s="133">
        <v>100</v>
      </c>
      <c r="K80" s="133">
        <v>100</v>
      </c>
      <c r="L80" s="133">
        <v>100</v>
      </c>
      <c r="M80" s="133">
        <v>100</v>
      </c>
      <c r="N80" s="133">
        <v>100</v>
      </c>
      <c r="O80" s="133">
        <v>100</v>
      </c>
      <c r="P80" s="133">
        <v>100</v>
      </c>
      <c r="Q80" s="133">
        <v>100</v>
      </c>
      <c r="R80" s="133">
        <v>100</v>
      </c>
      <c r="S80" s="133">
        <v>100</v>
      </c>
      <c r="T80" s="133">
        <v>100</v>
      </c>
      <c r="U80" s="133">
        <v>100</v>
      </c>
      <c r="V80" s="133">
        <v>100</v>
      </c>
      <c r="W80" s="133">
        <v>100</v>
      </c>
      <c r="X80" s="133">
        <v>100</v>
      </c>
      <c r="Y80" s="133">
        <v>100</v>
      </c>
      <c r="Z80" s="133">
        <v>100</v>
      </c>
      <c r="AA80" s="133">
        <v>100</v>
      </c>
      <c r="AB80" s="133">
        <v>100</v>
      </c>
      <c r="AC80" s="133">
        <v>100</v>
      </c>
      <c r="AD80" s="133">
        <v>100</v>
      </c>
      <c r="AE80" s="133">
        <v>100</v>
      </c>
      <c r="AF80" s="133">
        <v>100</v>
      </c>
      <c r="AG80" s="133">
        <v>100</v>
      </c>
      <c r="AH80" s="133">
        <v>100</v>
      </c>
      <c r="AI80" s="133">
        <v>100</v>
      </c>
      <c r="AJ80" s="133">
        <v>100</v>
      </c>
      <c r="AK80" s="133">
        <v>100</v>
      </c>
      <c r="AL80" s="133">
        <v>100</v>
      </c>
      <c r="AM80" s="133">
        <v>100</v>
      </c>
      <c r="AN80" s="133">
        <v>100</v>
      </c>
      <c r="AO80" s="133">
        <v>100</v>
      </c>
      <c r="AP80" s="133">
        <v>100</v>
      </c>
      <c r="AQ80" s="133">
        <v>100</v>
      </c>
      <c r="AR80" s="133">
        <v>100</v>
      </c>
      <c r="AS80" s="133">
        <v>100</v>
      </c>
      <c r="AT80" s="133">
        <v>100</v>
      </c>
      <c r="AU80" s="133">
        <v>100</v>
      </c>
      <c r="AV80" s="133">
        <v>100</v>
      </c>
      <c r="AW80" s="133">
        <v>100</v>
      </c>
      <c r="AX80" s="133">
        <v>100</v>
      </c>
      <c r="AY80" s="133">
        <v>100</v>
      </c>
      <c r="AZ80" s="133">
        <v>100</v>
      </c>
      <c r="BA80" s="133">
        <v>100</v>
      </c>
      <c r="BB80" s="133">
        <v>100</v>
      </c>
      <c r="BC80" s="133">
        <v>100</v>
      </c>
      <c r="BD80" s="133">
        <v>100</v>
      </c>
      <c r="BE80" s="133">
        <v>100</v>
      </c>
      <c r="BF80" s="133">
        <v>100</v>
      </c>
      <c r="BG80" s="133">
        <v>100</v>
      </c>
      <c r="BH80" s="133">
        <v>100</v>
      </c>
      <c r="BI80" s="133">
        <v>100</v>
      </c>
      <c r="BJ80" s="133">
        <v>100</v>
      </c>
      <c r="BK80" s="133">
        <v>100</v>
      </c>
      <c r="BL80" s="133">
        <v>100</v>
      </c>
      <c r="BM80" s="133">
        <v>100</v>
      </c>
      <c r="BN80" s="133">
        <v>100</v>
      </c>
      <c r="BO80" s="133">
        <v>100</v>
      </c>
      <c r="BP80" s="133">
        <v>100</v>
      </c>
      <c r="BQ80" s="133">
        <v>100</v>
      </c>
      <c r="BR80" s="133">
        <v>100</v>
      </c>
      <c r="BS80" s="133">
        <v>100</v>
      </c>
      <c r="BT80" s="133">
        <v>100</v>
      </c>
      <c r="BU80" s="133">
        <v>100</v>
      </c>
      <c r="BV80" s="133">
        <v>100</v>
      </c>
      <c r="BW80" s="133">
        <v>100</v>
      </c>
      <c r="BX80" s="133">
        <v>100</v>
      </c>
      <c r="BY80" s="133">
        <v>100</v>
      </c>
      <c r="BZ80" s="133">
        <v>100</v>
      </c>
      <c r="CA80" s="133">
        <v>100</v>
      </c>
      <c r="CB80" s="133">
        <v>100</v>
      </c>
      <c r="CC80" s="133">
        <v>100</v>
      </c>
      <c r="CD80" s="133">
        <v>100</v>
      </c>
      <c r="CE80" s="133">
        <v>100</v>
      </c>
      <c r="CF80" s="133">
        <v>100</v>
      </c>
      <c r="CG80" s="133">
        <v>100</v>
      </c>
      <c r="CH80" s="133">
        <v>100</v>
      </c>
      <c r="CI80" s="133">
        <v>100</v>
      </c>
      <c r="CJ80" s="133">
        <v>100</v>
      </c>
      <c r="CK80" s="133">
        <v>100</v>
      </c>
      <c r="CL80" s="133">
        <v>100</v>
      </c>
      <c r="CM80" s="133">
        <v>100</v>
      </c>
      <c r="CN80" s="133">
        <v>100</v>
      </c>
      <c r="CO80" s="133">
        <v>100</v>
      </c>
      <c r="CP80" s="133">
        <v>100</v>
      </c>
      <c r="CQ80" s="133">
        <v>100</v>
      </c>
      <c r="CR80" s="133">
        <v>100</v>
      </c>
      <c r="CS80" s="133">
        <v>100</v>
      </c>
      <c r="CT80" s="133">
        <v>100</v>
      </c>
      <c r="CU80" s="133">
        <v>100</v>
      </c>
      <c r="CV80" s="133">
        <v>100</v>
      </c>
      <c r="CW80" s="133">
        <v>100</v>
      </c>
      <c r="CX80" s="133">
        <v>100</v>
      </c>
      <c r="CY80" s="133">
        <v>100</v>
      </c>
      <c r="CZ80" s="133">
        <v>100</v>
      </c>
      <c r="DA80" s="133">
        <v>100</v>
      </c>
      <c r="DC80">
        <v>76</v>
      </c>
      <c r="DD80" s="84">
        <v>48.740359888309655</v>
      </c>
      <c r="DE80" s="84">
        <v>-12.967776813173812</v>
      </c>
      <c r="DF80" s="84">
        <v>-30.049964954387075</v>
      </c>
      <c r="DG80" s="84">
        <v>47.262208331639435</v>
      </c>
      <c r="DH80" s="84">
        <v>-9.0375205501677769</v>
      </c>
      <c r="DI80" s="84">
        <v>-32.402400867654222</v>
      </c>
      <c r="DJ80" s="84">
        <v>4.8130864363123367</v>
      </c>
      <c r="DK80" s="84">
        <f t="shared" si="118"/>
        <v>23.16580104341379</v>
      </c>
      <c r="DL80" s="84">
        <f t="shared" si="119"/>
        <v>4.3049915419760518</v>
      </c>
      <c r="DM80" s="84">
        <f t="shared" si="120"/>
        <v>246.65784619474414</v>
      </c>
      <c r="DN80" s="85">
        <v>6</v>
      </c>
      <c r="DO80">
        <v>6</v>
      </c>
      <c r="DP80">
        <f t="shared" si="88"/>
        <v>247.5</v>
      </c>
      <c r="DQ80" s="270">
        <v>-7.6536686473017905</v>
      </c>
      <c r="DR80" s="270">
        <v>-18.477590650225736</v>
      </c>
    </row>
    <row r="81" spans="1:122">
      <c r="A81">
        <v>740</v>
      </c>
      <c r="B81" s="90">
        <f>'Color metric'!B75</f>
        <v>7.678907203765431E-2</v>
      </c>
      <c r="C81" s="82">
        <f>Reference!N81</f>
        <v>7.8365944651029213</v>
      </c>
      <c r="D81" s="82"/>
      <c r="E81" s="137" t="s">
        <v>150</v>
      </c>
      <c r="F81" s="133">
        <v>99.999999999999986</v>
      </c>
      <c r="G81" s="133">
        <v>99.999999999999986</v>
      </c>
      <c r="H81" s="133">
        <v>99.999999999999986</v>
      </c>
      <c r="I81" s="133">
        <v>99.999999999999986</v>
      </c>
      <c r="J81" s="133">
        <v>99.999999999999986</v>
      </c>
      <c r="K81" s="133">
        <v>99.999999999999986</v>
      </c>
      <c r="L81" s="133">
        <v>99.999999999999986</v>
      </c>
      <c r="M81" s="133">
        <v>99.999999999999986</v>
      </c>
      <c r="N81" s="133">
        <v>99.999999999999986</v>
      </c>
      <c r="O81" s="133">
        <v>99.999999999999986</v>
      </c>
      <c r="P81" s="133">
        <v>99.999999999999986</v>
      </c>
      <c r="Q81" s="133">
        <v>99.999999999999986</v>
      </c>
      <c r="R81" s="133">
        <v>99.999999999999986</v>
      </c>
      <c r="S81" s="133">
        <v>99.999999999999986</v>
      </c>
      <c r="T81" s="133">
        <v>99.999999999999986</v>
      </c>
      <c r="U81" s="133">
        <v>99.999999999999986</v>
      </c>
      <c r="V81" s="133">
        <v>99.999999999999986</v>
      </c>
      <c r="W81" s="133">
        <v>99.999999999999986</v>
      </c>
      <c r="X81" s="133">
        <v>99.999999999999986</v>
      </c>
      <c r="Y81" s="133">
        <v>99.999999999999986</v>
      </c>
      <c r="Z81" s="133">
        <v>99.999999999999986</v>
      </c>
      <c r="AA81" s="133">
        <v>99.999999999999986</v>
      </c>
      <c r="AB81" s="133">
        <v>99.999999999999986</v>
      </c>
      <c r="AC81" s="133">
        <v>99.999999999999986</v>
      </c>
      <c r="AD81" s="133">
        <v>99.999999999999986</v>
      </c>
      <c r="AE81" s="133">
        <v>99.999999999999986</v>
      </c>
      <c r="AF81" s="133">
        <v>99.999999999999986</v>
      </c>
      <c r="AG81" s="133">
        <v>99.999999999999986</v>
      </c>
      <c r="AH81" s="133">
        <v>99.999999999999986</v>
      </c>
      <c r="AI81" s="133">
        <v>99.999999999999986</v>
      </c>
      <c r="AJ81" s="133">
        <v>99.999999999999986</v>
      </c>
      <c r="AK81" s="133">
        <v>99.999999999999986</v>
      </c>
      <c r="AL81" s="133">
        <v>99.999999999999986</v>
      </c>
      <c r="AM81" s="133">
        <v>99.999999999999986</v>
      </c>
      <c r="AN81" s="133">
        <v>99.999999999999986</v>
      </c>
      <c r="AO81" s="133">
        <v>99.999999999999986</v>
      </c>
      <c r="AP81" s="133">
        <v>99.999999999999986</v>
      </c>
      <c r="AQ81" s="133">
        <v>99.999999999999986</v>
      </c>
      <c r="AR81" s="133">
        <v>99.999999999999986</v>
      </c>
      <c r="AS81" s="133">
        <v>99.999999999999986</v>
      </c>
      <c r="AT81" s="133">
        <v>99.999999999999986</v>
      </c>
      <c r="AU81" s="133">
        <v>99.999999999999986</v>
      </c>
      <c r="AV81" s="133">
        <v>99.999999999999986</v>
      </c>
      <c r="AW81" s="133">
        <v>99.999999999999986</v>
      </c>
      <c r="AX81" s="133">
        <v>99.999999999999986</v>
      </c>
      <c r="AY81" s="133">
        <v>99.999999999999986</v>
      </c>
      <c r="AZ81" s="133">
        <v>99.999999999999986</v>
      </c>
      <c r="BA81" s="133">
        <v>99.999999999999986</v>
      </c>
      <c r="BB81" s="133">
        <v>99.999999999999986</v>
      </c>
      <c r="BC81" s="133">
        <v>99.999999999999986</v>
      </c>
      <c r="BD81" s="133">
        <v>99.999999999999986</v>
      </c>
      <c r="BE81" s="133">
        <v>99.999999999999986</v>
      </c>
      <c r="BF81" s="133">
        <v>99.999999999999986</v>
      </c>
      <c r="BG81" s="133">
        <v>99.999999999999986</v>
      </c>
      <c r="BH81" s="133">
        <v>99.999999999999986</v>
      </c>
      <c r="BI81" s="133">
        <v>99.999999999999986</v>
      </c>
      <c r="BJ81" s="133">
        <v>99.999999999999986</v>
      </c>
      <c r="BK81" s="133">
        <v>99.999999999999986</v>
      </c>
      <c r="BL81" s="133">
        <v>99.999999999999986</v>
      </c>
      <c r="BM81" s="133">
        <v>99.999999999999986</v>
      </c>
      <c r="BN81" s="133">
        <v>99.999999999999986</v>
      </c>
      <c r="BO81" s="133">
        <v>99.999999999999986</v>
      </c>
      <c r="BP81" s="133">
        <v>99.999999999999986</v>
      </c>
      <c r="BQ81" s="133">
        <v>99.999999999999986</v>
      </c>
      <c r="BR81" s="133">
        <v>99.999999999999986</v>
      </c>
      <c r="BS81" s="133">
        <v>99.999999999999986</v>
      </c>
      <c r="BT81" s="133">
        <v>99.999999999999986</v>
      </c>
      <c r="BU81" s="133">
        <v>99.999999999999986</v>
      </c>
      <c r="BV81" s="133">
        <v>99.999999999999986</v>
      </c>
      <c r="BW81" s="133">
        <v>99.999999999999986</v>
      </c>
      <c r="BX81" s="133">
        <v>99.999999999999986</v>
      </c>
      <c r="BY81" s="133">
        <v>99.999999999999986</v>
      </c>
      <c r="BZ81" s="133">
        <v>99.999999999999986</v>
      </c>
      <c r="CA81" s="133">
        <v>99.999999999999986</v>
      </c>
      <c r="CB81" s="133">
        <v>99.999999999999986</v>
      </c>
      <c r="CC81" s="133">
        <v>99.999999999999986</v>
      </c>
      <c r="CD81" s="133">
        <v>99.999999999999986</v>
      </c>
      <c r="CE81" s="133">
        <v>99.999999999999986</v>
      </c>
      <c r="CF81" s="133">
        <v>99.999999999999986</v>
      </c>
      <c r="CG81" s="133">
        <v>99.999999999999986</v>
      </c>
      <c r="CH81" s="133">
        <v>99.999999999999986</v>
      </c>
      <c r="CI81" s="133">
        <v>99.999999999999986</v>
      </c>
      <c r="CJ81" s="133">
        <v>99.999999999999986</v>
      </c>
      <c r="CK81" s="133">
        <v>99.999999999999986</v>
      </c>
      <c r="CL81" s="133">
        <v>99.999999999999986</v>
      </c>
      <c r="CM81" s="133">
        <v>99.999999999999986</v>
      </c>
      <c r="CN81" s="133">
        <v>99.999999999999986</v>
      </c>
      <c r="CO81" s="133">
        <v>99.999999999999986</v>
      </c>
      <c r="CP81" s="133">
        <v>99.999999999999986</v>
      </c>
      <c r="CQ81" s="133">
        <v>99.999999999999986</v>
      </c>
      <c r="CR81" s="133">
        <v>99.999999999999986</v>
      </c>
      <c r="CS81" s="133">
        <v>99.999999999999986</v>
      </c>
      <c r="CT81" s="133">
        <v>99.999999999999986</v>
      </c>
      <c r="CU81" s="133">
        <v>99.999999999999986</v>
      </c>
      <c r="CV81" s="133">
        <v>99.999999999999986</v>
      </c>
      <c r="CW81" s="133">
        <v>99.999999999999986</v>
      </c>
      <c r="CX81" s="133">
        <v>99.999999999999986</v>
      </c>
      <c r="CY81" s="133">
        <v>99.999999999999986</v>
      </c>
      <c r="CZ81" s="133">
        <v>99.999999999999986</v>
      </c>
      <c r="DA81" s="133">
        <v>99.999999999999986</v>
      </c>
      <c r="DC81">
        <v>77</v>
      </c>
      <c r="DD81" s="84">
        <v>45.238496576982264</v>
      </c>
      <c r="DE81" s="84">
        <v>-8.1048614374606114</v>
      </c>
      <c r="DF81" s="84">
        <v>-22.764935406535358</v>
      </c>
      <c r="DG81" s="84">
        <v>44.006771231701222</v>
      </c>
      <c r="DH81" s="84">
        <v>-6.700731342796038</v>
      </c>
      <c r="DI81" s="84">
        <v>-25.07401401739477</v>
      </c>
      <c r="DJ81" s="84">
        <v>2.9699448951249718</v>
      </c>
      <c r="DK81" s="84">
        <f t="shared" si="118"/>
        <v>8.8205726800788806</v>
      </c>
      <c r="DL81" s="84">
        <f t="shared" si="119"/>
        <v>4.3703577560873299</v>
      </c>
      <c r="DM81" s="84">
        <f t="shared" si="120"/>
        <v>250.40305438606887</v>
      </c>
      <c r="DN81" s="85">
        <v>6</v>
      </c>
      <c r="DO81">
        <v>1</v>
      </c>
      <c r="DP81">
        <f t="shared" si="88"/>
        <v>247.5</v>
      </c>
      <c r="DQ81" s="270">
        <v>-7.6536686473017905</v>
      </c>
      <c r="DR81" s="270">
        <v>-18.477590650225736</v>
      </c>
    </row>
    <row r="82" spans="1:122">
      <c r="A82">
        <v>745</v>
      </c>
      <c r="B82" s="90">
        <f>'Color metric'!B76</f>
        <v>6.7471844902865868E-2</v>
      </c>
      <c r="C82" s="82">
        <f>Reference!N82</f>
        <v>7.8847807025657133</v>
      </c>
      <c r="D82" s="82"/>
      <c r="E82" s="137" t="s">
        <v>151</v>
      </c>
      <c r="F82" s="133">
        <f t="array" ref="F82:F84">MMULT($Q$43:$S$45,F76:F78)</f>
        <v>100.00100000000002</v>
      </c>
      <c r="G82" s="133">
        <f t="array" ref="G82:G84">MMULT($Q$43:$S$45,G76:G78)</f>
        <v>65.583926785863383</v>
      </c>
      <c r="H82" s="133">
        <f t="array" ref="H82:H84">MMULT($Q$43:$S$45,H76:H78)</f>
        <v>30.59002270963283</v>
      </c>
      <c r="I82" s="133">
        <f t="array" ref="I82:I84">MMULT($Q$43:$S$45,I76:I78)</f>
        <v>6.4140361128555421</v>
      </c>
      <c r="J82" s="133">
        <f t="array" ref="J82:J84">MMULT($Q$43:$S$45,J76:J78)</f>
        <v>38.250816493314034</v>
      </c>
      <c r="K82" s="133">
        <f t="array" ref="K82:K84">MMULT($Q$43:$S$45,K76:K78)</f>
        <v>19.283671520407566</v>
      </c>
      <c r="L82" s="133">
        <f t="array" ref="L82:L84">MMULT($Q$43:$S$45,L76:L78)</f>
        <v>18.200381344285891</v>
      </c>
      <c r="M82" s="133">
        <f t="array" ref="M82:M84">MMULT($Q$43:$S$45,M76:M78)</f>
        <v>13.542189327532435</v>
      </c>
      <c r="N82" s="133">
        <f t="array" ref="N82:N84">MMULT($Q$43:$S$45,N76:N78)</f>
        <v>12.795146921106522</v>
      </c>
      <c r="O82" s="133">
        <f t="array" ref="O82:O84">MMULT($Q$43:$S$45,O76:O78)</f>
        <v>5.0649391744888534</v>
      </c>
      <c r="P82" s="133">
        <f t="array" ref="P82:P84">MMULT($Q$43:$S$45,P76:P78)</f>
        <v>49.204142156817902</v>
      </c>
      <c r="Q82" s="133">
        <f t="array" ref="Q82:Q84">MMULT($Q$43:$S$45,Q76:Q78)</f>
        <v>26.135151912375271</v>
      </c>
      <c r="R82" s="133">
        <f t="array" ref="R82:R84">MMULT($Q$43:$S$45,R76:R78)</f>
        <v>33.570156444989131</v>
      </c>
      <c r="S82" s="133">
        <f t="array" ref="S82:S84">MMULT($Q$43:$S$45,S76:S78)</f>
        <v>13.070408426521098</v>
      </c>
      <c r="T82" s="133">
        <f t="array" ref="T82:T84">MMULT($Q$43:$S$45,T76:T78)</f>
        <v>43.242226540361756</v>
      </c>
      <c r="U82" s="133">
        <f t="array" ref="U82:U84">MMULT($Q$43:$S$45,U76:U78)</f>
        <v>40.436738272689517</v>
      </c>
      <c r="V82" s="133">
        <f t="array" ref="V82:V84">MMULT($Q$43:$S$45,V76:V78)</f>
        <v>16.148243191827309</v>
      </c>
      <c r="W82" s="133">
        <f t="array" ref="W82:W84">MMULT($Q$43:$S$45,W76:W78)</f>
        <v>17.343462194380972</v>
      </c>
      <c r="X82" s="133">
        <f t="array" ref="X82:X84">MMULT($Q$43:$S$45,X76:X78)</f>
        <v>22.739100162895564</v>
      </c>
      <c r="Y82" s="133">
        <f t="array" ref="Y82:Y84">MMULT($Q$43:$S$45,Y76:Y78)</f>
        <v>41.139540626673863</v>
      </c>
      <c r="Z82" s="133">
        <f t="array" ref="Z82:Z84">MMULT($Q$43:$S$45,Z76:Z78)</f>
        <v>36.236421560908319</v>
      </c>
      <c r="AA82" s="133">
        <f t="array" ref="AA82:AA84">MMULT($Q$43:$S$45,AA76:AA78)</f>
        <v>68.097893564805091</v>
      </c>
      <c r="AB82" s="133">
        <f t="array" ref="AB82:AB84">MMULT($Q$43:$S$45,AB76:AB78)</f>
        <v>53.350430484095547</v>
      </c>
      <c r="AC82" s="133">
        <f t="array" ref="AC82:AC84">MMULT($Q$43:$S$45,AC76:AC78)</f>
        <v>77.598442194994732</v>
      </c>
      <c r="AD82" s="133">
        <f t="array" ref="AD82:AD84">MMULT($Q$43:$S$45,AD76:AD78)</f>
        <v>76.380844427305547</v>
      </c>
      <c r="AE82" s="133">
        <f t="array" ref="AE82:AE84">MMULT($Q$43:$S$45,AE76:AE78)</f>
        <v>41.185108091694808</v>
      </c>
      <c r="AF82" s="133">
        <f t="array" ref="AF82:AF84">MMULT($Q$43:$S$45,AF76:AF78)</f>
        <v>74.902895264244563</v>
      </c>
      <c r="AG82" s="133">
        <f t="array" ref="AG82:AG84">MMULT($Q$43:$S$45,AG76:AG78)</f>
        <v>42.142063341029242</v>
      </c>
      <c r="AH82" s="133">
        <f t="array" ref="AH82:AH84">MMULT($Q$43:$S$45,AH76:AH78)</f>
        <v>11.251851899955874</v>
      </c>
      <c r="AI82" s="133">
        <f t="array" ref="AI82:AI84">MMULT($Q$43:$S$45,AI76:AI78)</f>
        <v>67.628852877026247</v>
      </c>
      <c r="AJ82" s="133">
        <f t="array" ref="AJ82:AJ84">MMULT($Q$43:$S$45,AJ76:AJ78)</f>
        <v>30.517164985482118</v>
      </c>
      <c r="AK82" s="133">
        <f t="array" ref="AK82:AK84">MMULT($Q$43:$S$45,AK76:AK78)</f>
        <v>71.256542770191885</v>
      </c>
      <c r="AL82" s="133">
        <f t="array" ref="AL82:AL84">MMULT($Q$43:$S$45,AL76:AL78)</f>
        <v>45.902982987433887</v>
      </c>
      <c r="AM82" s="133">
        <f t="array" ref="AM82:AM84">MMULT($Q$43:$S$45,AM76:AM78)</f>
        <v>73.307939570566731</v>
      </c>
      <c r="AN82" s="133">
        <f t="array" ref="AN82:AN84">MMULT($Q$43:$S$45,AN76:AN78)</f>
        <v>27.99588235083985</v>
      </c>
      <c r="AO82" s="133">
        <f t="array" ref="AO82:AO84">MMULT($Q$43:$S$45,AO76:AO78)</f>
        <v>11.442712464267743</v>
      </c>
      <c r="AP82" s="133">
        <f t="array" ref="AP82:AP84">MMULT($Q$43:$S$45,AP76:AP78)</f>
        <v>53.755339086336015</v>
      </c>
      <c r="AQ82" s="133">
        <f t="array" ref="AQ82:AQ84">MMULT($Q$43:$S$45,AQ76:AQ78)</f>
        <v>15.044483667772736</v>
      </c>
      <c r="AR82" s="133">
        <f t="array" ref="AR82:AR84">MMULT($Q$43:$S$45,AR76:AR78)</f>
        <v>65.257328287405628</v>
      </c>
      <c r="AS82" s="133">
        <f t="array" ref="AS82:AS84">MMULT($Q$43:$S$45,AS76:AS78)</f>
        <v>7.6544629298542617</v>
      </c>
      <c r="AT82" s="133">
        <f t="array" ref="AT82:AT84">MMULT($Q$43:$S$45,AT76:AT78)</f>
        <v>16.607076863163876</v>
      </c>
      <c r="AU82" s="133">
        <f t="array" ref="AU82:AU84">MMULT($Q$43:$S$45,AU76:AU78)</f>
        <v>68.901211014660959</v>
      </c>
      <c r="AV82" s="133">
        <f t="array" ref="AV82:AV84">MMULT($Q$43:$S$45,AV76:AV78)</f>
        <v>34.763612163525877</v>
      </c>
      <c r="AW82" s="133">
        <f t="array" ref="AW82:AW84">MMULT($Q$43:$S$45,AW76:AW78)</f>
        <v>39.870097196615546</v>
      </c>
      <c r="AX82" s="133">
        <f t="array" ref="AX82:AX84">MMULT($Q$43:$S$45,AX76:AX78)</f>
        <v>4.9499870006566322</v>
      </c>
      <c r="AY82" s="133">
        <f t="array" ref="AY82:AY84">MMULT($Q$43:$S$45,AY76:AY78)</f>
        <v>23.041657672134878</v>
      </c>
      <c r="AZ82" s="133">
        <f t="array" ref="AZ82:AZ84">MMULT($Q$43:$S$45,AZ76:AZ78)</f>
        <v>32.004806852461492</v>
      </c>
      <c r="BA82" s="133">
        <f t="array" ref="BA82:BA84">MMULT($Q$43:$S$45,BA76:BA78)</f>
        <v>36.75850739343727</v>
      </c>
      <c r="BB82" s="133">
        <f t="array" ref="BB82:BB84">MMULT($Q$43:$S$45,BB76:BB78)</f>
        <v>46.952310024650295</v>
      </c>
      <c r="BC82" s="133">
        <f t="array" ref="BC82:BC84">MMULT($Q$43:$S$45,BC76:BC78)</f>
        <v>13.379139856338316</v>
      </c>
      <c r="BD82" s="133">
        <f t="array" ref="BD82:BD84">MMULT($Q$43:$S$45,BD76:BD78)</f>
        <v>19.52783892129203</v>
      </c>
      <c r="BE82" s="133">
        <f t="array" ref="BE82:BE84">MMULT($Q$43:$S$45,BE76:BE78)</f>
        <v>23.132798489493521</v>
      </c>
      <c r="BF82" s="133">
        <f t="array" ref="BF82:BF84">MMULT($Q$43:$S$45,BF76:BF78)</f>
        <v>10.169560842739466</v>
      </c>
      <c r="BG82" s="133">
        <f t="array" ref="BG82:BG84">MMULT($Q$43:$S$45,BG76:BG78)</f>
        <v>14.872475294846989</v>
      </c>
      <c r="BH82" s="133">
        <f t="array" ref="BH82:BH84">MMULT($Q$43:$S$45,BH76:BH78)</f>
        <v>64.760385996393396</v>
      </c>
      <c r="BI82" s="133">
        <f t="array" ref="BI82:BI84">MMULT($Q$43:$S$45,BI76:BI78)</f>
        <v>57.529030874872817</v>
      </c>
      <c r="BJ82" s="133">
        <f t="array" ref="BJ82:BJ84">MMULT($Q$43:$S$45,BJ76:BJ78)</f>
        <v>35.789955748092417</v>
      </c>
      <c r="BK82" s="133">
        <f t="array" ref="BK82:BK84">MMULT($Q$43:$S$45,BK76:BK78)</f>
        <v>20.866074549626521</v>
      </c>
      <c r="BL82" s="133">
        <f t="array" ref="BL82:BL84">MMULT($Q$43:$S$45,BL76:BL78)</f>
        <v>17.722196444903833</v>
      </c>
      <c r="BM82" s="133">
        <f t="array" ref="BM82:BM84">MMULT($Q$43:$S$45,BM76:BM78)</f>
        <v>64.333359613206895</v>
      </c>
      <c r="BN82" s="133">
        <f t="array" ref="BN82:BN84">MMULT($Q$43:$S$45,BN76:BN78)</f>
        <v>68.515015492193513</v>
      </c>
      <c r="BO82" s="133">
        <f t="array" ref="BO82:BO84">MMULT($Q$43:$S$45,BO76:BO78)</f>
        <v>45.869787886518736</v>
      </c>
      <c r="BP82" s="133">
        <f t="array" ref="BP82:BP84">MMULT($Q$43:$S$45,BP76:BP78)</f>
        <v>32.782495067087886</v>
      </c>
      <c r="BQ82" s="133">
        <f t="array" ref="BQ82:BQ84">MMULT($Q$43:$S$45,BQ76:BQ78)</f>
        <v>7.2810760990056824</v>
      </c>
      <c r="BR82" s="133">
        <f t="array" ref="BR82:BR84">MMULT($Q$43:$S$45,BR76:BR78)</f>
        <v>21.540977697534316</v>
      </c>
      <c r="BS82" s="133">
        <f t="array" ref="BS82:BS84">MMULT($Q$43:$S$45,BS76:BS78)</f>
        <v>9.407387234216035</v>
      </c>
      <c r="BT82" s="133">
        <f t="array" ref="BT82:BT84">MMULT($Q$43:$S$45,BT76:BT78)</f>
        <v>11.412524829880669</v>
      </c>
      <c r="BU82" s="133">
        <f t="array" ref="BU82:BU84">MMULT($Q$43:$S$45,BU76:BU78)</f>
        <v>13.346552412243264</v>
      </c>
      <c r="BV82" s="133">
        <f t="array" ref="BV82:BV84">MMULT($Q$43:$S$45,BV76:BV78)</f>
        <v>27.974434382676627</v>
      </c>
      <c r="BW82" s="133">
        <f t="array" ref="BW82:BW84">MMULT($Q$43:$S$45,BW76:BW78)</f>
        <v>18.670668872381452</v>
      </c>
      <c r="BX82" s="133">
        <f t="array" ref="BX82:BX84">MMULT($Q$43:$S$45,BX76:BX78)</f>
        <v>38.190622469600889</v>
      </c>
      <c r="BY82" s="133">
        <f t="array" ref="BY82:BY84">MMULT($Q$43:$S$45,BY76:BY78)</f>
        <v>6.994592444750646</v>
      </c>
      <c r="BZ82" s="133">
        <f t="array" ref="BZ82:BZ84">MMULT($Q$43:$S$45,BZ76:BZ78)</f>
        <v>46.246461822414311</v>
      </c>
      <c r="CA82" s="133">
        <f t="array" ref="CA82:CA84">MMULT($Q$43:$S$45,CA76:CA78)</f>
        <v>20.961036629029092</v>
      </c>
      <c r="CB82" s="133">
        <f t="array" ref="CB82:CB84">MMULT($Q$43:$S$45,CB76:CB78)</f>
        <v>4.7963832428927491</v>
      </c>
      <c r="CC82" s="133">
        <f t="array" ref="CC82:CC84">MMULT($Q$43:$S$45,CC76:CC78)</f>
        <v>6.2351323112743815</v>
      </c>
      <c r="CD82" s="133">
        <f t="array" ref="CD82:CD84">MMULT($Q$43:$S$45,CD76:CD78)</f>
        <v>13.84736233319294</v>
      </c>
      <c r="CE82" s="133">
        <f t="array" ref="CE82:CE84">MMULT($Q$43:$S$45,CE76:CE78)</f>
        <v>12.184176323547737</v>
      </c>
      <c r="CF82" s="133">
        <f t="array" ref="CF82:CF84">MMULT($Q$43:$S$45,CF76:CF78)</f>
        <v>11.552984110376901</v>
      </c>
      <c r="CG82" s="133">
        <f t="array" ref="CG82:CG84">MMULT($Q$43:$S$45,CG76:CG78)</f>
        <v>41.665394882383964</v>
      </c>
      <c r="CH82" s="133">
        <f t="array" ref="CH82:CH84">MMULT($Q$43:$S$45,CH76:CH78)</f>
        <v>31.341751627750511</v>
      </c>
      <c r="CI82" s="133">
        <f t="array" ref="CI82:CI84">MMULT($Q$43:$S$45,CI76:CI78)</f>
        <v>12.422604682211723</v>
      </c>
      <c r="CJ82" s="133">
        <f t="array" ref="CJ82:CJ84">MMULT($Q$43:$S$45,CJ76:CJ78)</f>
        <v>66.778023525282762</v>
      </c>
      <c r="CK82" s="133">
        <f t="array" ref="CK82:CK84">MMULT($Q$43:$S$45,CK76:CK78)</f>
        <v>41.065761909730028</v>
      </c>
      <c r="CL82" s="133">
        <f t="array" ref="CL82:CL84">MMULT($Q$43:$S$45,CL76:CL78)</f>
        <v>4.8099385464838722</v>
      </c>
      <c r="CM82" s="133">
        <f t="array" ref="CM82:CM84">MMULT($Q$43:$S$45,CM76:CM78)</f>
        <v>10.883628812320055</v>
      </c>
      <c r="CN82" s="133">
        <f t="array" ref="CN82:CN84">MMULT($Q$43:$S$45,CN76:CN78)</f>
        <v>31.970690890662141</v>
      </c>
      <c r="CO82" s="133">
        <f t="array" ref="CO82:CO84">MMULT($Q$43:$S$45,CO76:CO78)</f>
        <v>10.157458555821162</v>
      </c>
      <c r="CP82" s="133">
        <f t="array" ref="CP82:CP84">MMULT($Q$43:$S$45,CP76:CP78)</f>
        <v>28.731531440610897</v>
      </c>
      <c r="CQ82" s="133">
        <f t="array" ref="CQ82:CQ84">MMULT($Q$43:$S$45,CQ76:CQ78)</f>
        <v>9.6115337129841585</v>
      </c>
      <c r="CR82" s="133">
        <f t="array" ref="CR82:CR84">MMULT($Q$43:$S$45,CR76:CR78)</f>
        <v>12.975035354714986</v>
      </c>
      <c r="CS82" s="133">
        <f t="array" ref="CS82:CS84">MMULT($Q$43:$S$45,CS76:CS78)</f>
        <v>53.830002465205752</v>
      </c>
      <c r="CT82" s="133">
        <f t="array" ref="CT82:CT84">MMULT($Q$43:$S$45,CT76:CT78)</f>
        <v>22.824715389325767</v>
      </c>
      <c r="CU82" s="133">
        <f t="array" ref="CU82:CU84">MMULT($Q$43:$S$45,CU76:CU78)</f>
        <v>34.732231467130305</v>
      </c>
      <c r="CV82" s="133">
        <f t="array" ref="CV82:CV84">MMULT($Q$43:$S$45,CV76:CV78)</f>
        <v>10.775029758505326</v>
      </c>
      <c r="CW82" s="133">
        <f t="array" ref="CW82:CW84">MMULT($Q$43:$S$45,CW76:CW78)</f>
        <v>39.213005278440633</v>
      </c>
      <c r="CX82" s="133">
        <f t="array" ref="CX82:CX84">MMULT($Q$43:$S$45,CX76:CX78)</f>
        <v>51.716708989786106</v>
      </c>
      <c r="CY82" s="133">
        <f t="array" ref="CY82:CY84">MMULT($Q$43:$S$45,CY76:CY78)</f>
        <v>19.605368294247302</v>
      </c>
      <c r="CZ82" s="133">
        <f t="array" ref="CZ82:CZ84">MMULT($Q$43:$S$45,CZ76:CZ78)</f>
        <v>33.312263460304543</v>
      </c>
      <c r="DA82" s="133">
        <f t="array" ref="DA82:DA84">MMULT($Q$43:$S$45,DA76:DA78)</f>
        <v>21.287127797382905</v>
      </c>
      <c r="DC82">
        <v>78</v>
      </c>
      <c r="DD82" s="84">
        <v>44.904097888191664</v>
      </c>
      <c r="DE82" s="84">
        <v>-10.857092891277329</v>
      </c>
      <c r="DF82" s="84">
        <v>-29.710178342906602</v>
      </c>
      <c r="DG82" s="84">
        <v>43.99970994299143</v>
      </c>
      <c r="DH82" s="84">
        <v>-7.4241378440932175</v>
      </c>
      <c r="DI82" s="84">
        <v>-32.296544077053298</v>
      </c>
      <c r="DJ82" s="84">
        <v>4.3923098276622685</v>
      </c>
      <c r="DK82" s="84">
        <f t="shared" si="118"/>
        <v>19.292385622178546</v>
      </c>
      <c r="DL82" s="84">
        <f t="shared" si="119"/>
        <v>4.3620316884174679</v>
      </c>
      <c r="DM82" s="84">
        <f t="shared" si="120"/>
        <v>249.92600584864547</v>
      </c>
      <c r="DN82" s="85">
        <v>6</v>
      </c>
      <c r="DO82">
        <v>6</v>
      </c>
      <c r="DP82">
        <f t="shared" si="88"/>
        <v>247.5</v>
      </c>
      <c r="DQ82" s="270">
        <v>-7.6536686473017905</v>
      </c>
      <c r="DR82" s="270">
        <v>-18.477590650225736</v>
      </c>
    </row>
    <row r="83" spans="1:122">
      <c r="A83">
        <v>750</v>
      </c>
      <c r="B83" s="90">
        <f>'Color metric'!B77</f>
        <v>5.9345554190944054E-2</v>
      </c>
      <c r="C83" s="82">
        <f>Reference!N83</f>
        <v>7.9308750056768513</v>
      </c>
      <c r="D83" s="82"/>
      <c r="E83" s="137" t="s">
        <v>152</v>
      </c>
      <c r="F83" s="133">
        <v>100.00000000000001</v>
      </c>
      <c r="G83" s="133">
        <v>59.835247873135209</v>
      </c>
      <c r="H83" s="133">
        <v>22.874614761618705</v>
      </c>
      <c r="I83" s="133">
        <v>5.4413440949537586</v>
      </c>
      <c r="J83" s="133">
        <v>32.43992578511903</v>
      </c>
      <c r="K83" s="133">
        <v>12.838740250438562</v>
      </c>
      <c r="L83" s="133">
        <v>15.250415620211733</v>
      </c>
      <c r="M83" s="133">
        <v>8.8747207673470445</v>
      </c>
      <c r="N83" s="133">
        <v>8.7155122465547787</v>
      </c>
      <c r="O83" s="133">
        <v>4.9301932132591997</v>
      </c>
      <c r="P83" s="133">
        <v>36.300514366517675</v>
      </c>
      <c r="Q83" s="133">
        <v>18.309342225914584</v>
      </c>
      <c r="R83" s="133">
        <v>23.289796512831877</v>
      </c>
      <c r="S83" s="133">
        <v>10.182778997375182</v>
      </c>
      <c r="T83" s="133">
        <v>41.158396398428152</v>
      </c>
      <c r="U83" s="133">
        <v>36.13674089552763</v>
      </c>
      <c r="V83" s="133">
        <v>12.802391333603117</v>
      </c>
      <c r="W83" s="133">
        <v>14.139561968625594</v>
      </c>
      <c r="X83" s="133">
        <v>19.79989195541226</v>
      </c>
      <c r="Y83" s="133">
        <v>34.277790902033381</v>
      </c>
      <c r="Z83" s="133">
        <v>27.716298088853353</v>
      </c>
      <c r="AA83" s="133">
        <v>56.806243311382246</v>
      </c>
      <c r="AB83" s="133">
        <v>43.339444274758435</v>
      </c>
      <c r="AC83" s="133">
        <v>74.134290088668493</v>
      </c>
      <c r="AD83" s="133">
        <v>68.895739673932212</v>
      </c>
      <c r="AE83" s="133">
        <v>34.504923236792152</v>
      </c>
      <c r="AF83" s="133">
        <v>66.274964574008038</v>
      </c>
      <c r="AG83" s="133">
        <v>40.211335080474704</v>
      </c>
      <c r="AH83" s="133">
        <v>10.585584670052885</v>
      </c>
      <c r="AI83" s="133">
        <v>61.799826924515841</v>
      </c>
      <c r="AJ83" s="133">
        <v>28.726804791650956</v>
      </c>
      <c r="AK83" s="133">
        <v>65.914119594787707</v>
      </c>
      <c r="AL83" s="133">
        <v>41.902720932619793</v>
      </c>
      <c r="AM83" s="133">
        <v>70.111563266844271</v>
      </c>
      <c r="AN83" s="133">
        <v>26.120429944905304</v>
      </c>
      <c r="AO83" s="133">
        <v>11.069664387805892</v>
      </c>
      <c r="AP83" s="133">
        <v>53.039685813911937</v>
      </c>
      <c r="AQ83" s="133">
        <v>14.678799877758424</v>
      </c>
      <c r="AR83" s="133">
        <v>63.932843391912648</v>
      </c>
      <c r="AS83" s="133">
        <v>7.6134986615054459</v>
      </c>
      <c r="AT83" s="133">
        <v>16.500042101387056</v>
      </c>
      <c r="AU83" s="133">
        <v>68.882692361638206</v>
      </c>
      <c r="AV83" s="133">
        <v>36.059930817607409</v>
      </c>
      <c r="AW83" s="133">
        <v>41.497566876705726</v>
      </c>
      <c r="AX83" s="133">
        <v>4.9586841748385888</v>
      </c>
      <c r="AY83" s="133">
        <v>24.797256969602305</v>
      </c>
      <c r="AZ83" s="133">
        <v>33.616874093643396</v>
      </c>
      <c r="BA83" s="133">
        <v>37.766554003529706</v>
      </c>
      <c r="BB83" s="133">
        <v>50.766041850119784</v>
      </c>
      <c r="BC83" s="133">
        <v>14.713331792821814</v>
      </c>
      <c r="BD83" s="133">
        <v>21.572531769640339</v>
      </c>
      <c r="BE83" s="133">
        <v>25.091152982417281</v>
      </c>
      <c r="BF83" s="133">
        <v>11.820285911695875</v>
      </c>
      <c r="BG83" s="133">
        <v>18.876011356246028</v>
      </c>
      <c r="BH83" s="133">
        <v>69.097046514951828</v>
      </c>
      <c r="BI83" s="133">
        <v>62.320594523729952</v>
      </c>
      <c r="BJ83" s="133">
        <v>43.433292933181541</v>
      </c>
      <c r="BK83" s="133">
        <v>26.731904352669972</v>
      </c>
      <c r="BL83" s="133">
        <v>23.046347099978252</v>
      </c>
      <c r="BM83" s="133">
        <v>68.824420140862756</v>
      </c>
      <c r="BN83" s="133">
        <v>70.187420956376997</v>
      </c>
      <c r="BO83" s="133">
        <v>49.235939588850407</v>
      </c>
      <c r="BP83" s="133">
        <v>33.79574056871828</v>
      </c>
      <c r="BQ83" s="133">
        <v>7.4056067179344023</v>
      </c>
      <c r="BR83" s="133">
        <v>27.7865096036019</v>
      </c>
      <c r="BS83" s="133">
        <v>11.120805831744816</v>
      </c>
      <c r="BT83" s="133">
        <v>15.085313315696329</v>
      </c>
      <c r="BU83" s="133">
        <v>17.631248550284901</v>
      </c>
      <c r="BV83" s="133">
        <v>31.861860199828332</v>
      </c>
      <c r="BW83" s="133">
        <v>19.814952072483351</v>
      </c>
      <c r="BX83" s="133">
        <v>44.077865392055799</v>
      </c>
      <c r="BY83" s="133">
        <v>8.6228604729963294</v>
      </c>
      <c r="BZ83" s="133">
        <v>47.817351096724039</v>
      </c>
      <c r="CA83" s="133">
        <v>26.379784622231838</v>
      </c>
      <c r="CB83" s="133">
        <v>4.8735420297621399</v>
      </c>
      <c r="CC83" s="133">
        <v>7.5606455490636959</v>
      </c>
      <c r="CD83" s="133">
        <v>17.345834686804611</v>
      </c>
      <c r="CE83" s="133">
        <v>13.915293117188298</v>
      </c>
      <c r="CF83" s="133">
        <v>14.311190733361437</v>
      </c>
      <c r="CG83" s="133">
        <v>43.881856900652913</v>
      </c>
      <c r="CH83" s="133">
        <v>32.739848978624693</v>
      </c>
      <c r="CI83" s="133">
        <v>13.09102966501905</v>
      </c>
      <c r="CJ83" s="133">
        <v>67.339895183668858</v>
      </c>
      <c r="CK83" s="133">
        <v>41.597450810618817</v>
      </c>
      <c r="CL83" s="133">
        <v>4.7616254752412814</v>
      </c>
      <c r="CM83" s="133">
        <v>10.780518080223848</v>
      </c>
      <c r="CN83" s="133">
        <v>31.634010626002972</v>
      </c>
      <c r="CO83" s="133">
        <v>9.6682564177668482</v>
      </c>
      <c r="CP83" s="133">
        <v>26.654814081067897</v>
      </c>
      <c r="CQ83" s="133">
        <v>8.608821871718277</v>
      </c>
      <c r="CR83" s="133">
        <v>11.402225181871593</v>
      </c>
      <c r="CS83" s="133">
        <v>53.28078739974756</v>
      </c>
      <c r="CT83" s="133">
        <v>20.965139249977664</v>
      </c>
      <c r="CU83" s="133">
        <v>32.651733841756901</v>
      </c>
      <c r="CV83" s="133">
        <v>8.80379856314687</v>
      </c>
      <c r="CW83" s="133">
        <v>35.656314063241346</v>
      </c>
      <c r="CX83" s="133">
        <v>47.535507374046112</v>
      </c>
      <c r="CY83" s="133">
        <v>16.265148126732583</v>
      </c>
      <c r="CZ83" s="133">
        <v>26.034547040434504</v>
      </c>
      <c r="DA83" s="133">
        <v>15.489664398137029</v>
      </c>
      <c r="DC83">
        <v>79</v>
      </c>
      <c r="DD83" s="84">
        <v>74.308775271117185</v>
      </c>
      <c r="DE83" s="84">
        <v>-3.2720997060974812</v>
      </c>
      <c r="DF83" s="84">
        <v>-19.23775433880439</v>
      </c>
      <c r="DG83" s="84">
        <v>73.482084642038416</v>
      </c>
      <c r="DH83" s="84">
        <v>-2.4798984077797739</v>
      </c>
      <c r="DI83" s="84">
        <v>-20.414525994223002</v>
      </c>
      <c r="DJ83" s="84">
        <v>1.6418866654734647</v>
      </c>
      <c r="DK83" s="84">
        <f t="shared" si="118"/>
        <v>2.6957918222595731</v>
      </c>
      <c r="DL83" s="84">
        <f t="shared" si="119"/>
        <v>4.543913874892322</v>
      </c>
      <c r="DM83" s="84">
        <f t="shared" si="120"/>
        <v>260.34708750226599</v>
      </c>
      <c r="DN83" s="85">
        <v>6</v>
      </c>
      <c r="DO83">
        <v>3</v>
      </c>
      <c r="DP83">
        <f t="shared" si="88"/>
        <v>247.5</v>
      </c>
      <c r="DQ83" s="270">
        <v>-7.6536686473017905</v>
      </c>
      <c r="DR83" s="270">
        <v>-18.477590650225736</v>
      </c>
    </row>
    <row r="84" spans="1:122">
      <c r="A84">
        <v>755</v>
      </c>
      <c r="B84" s="90">
        <f>'Color metric'!B78</f>
        <v>5.2025671007898573E-2</v>
      </c>
      <c r="C84" s="82">
        <f>Reference!N84</f>
        <v>7.9748975055612972</v>
      </c>
      <c r="D84" s="82"/>
      <c r="E84" s="137" t="s">
        <v>153</v>
      </c>
      <c r="F84" s="133">
        <v>99.999999999999986</v>
      </c>
      <c r="G84" s="133">
        <v>60.621912569481943</v>
      </c>
      <c r="H84" s="133">
        <v>22.150342529345551</v>
      </c>
      <c r="I84" s="133">
        <v>5.2329227115158741</v>
      </c>
      <c r="J84" s="133">
        <v>28.582903692920741</v>
      </c>
      <c r="K84" s="133">
        <v>9.3595168639894037</v>
      </c>
      <c r="L84" s="133">
        <v>12.548822187358795</v>
      </c>
      <c r="M84" s="133">
        <v>5.6400222977656504</v>
      </c>
      <c r="N84" s="133">
        <v>5.8380056766205382</v>
      </c>
      <c r="O84" s="133">
        <v>4.8631535358088671</v>
      </c>
      <c r="P84" s="133">
        <v>18.776596996233991</v>
      </c>
      <c r="Q84" s="133">
        <v>7.4177247051063189</v>
      </c>
      <c r="R84" s="133">
        <v>8.9703511188891394</v>
      </c>
      <c r="S84" s="133">
        <v>5.0652452710946587</v>
      </c>
      <c r="T84" s="133">
        <v>35.921895895557242</v>
      </c>
      <c r="U84" s="133">
        <v>26.768518852708993</v>
      </c>
      <c r="V84" s="133">
        <v>5.8777034918702062</v>
      </c>
      <c r="W84" s="133">
        <v>6.3672948105759648</v>
      </c>
      <c r="X84" s="133">
        <v>11.983029588959726</v>
      </c>
      <c r="Y84" s="133">
        <v>13.228926564093809</v>
      </c>
      <c r="Z84" s="133">
        <v>6.633340157145267</v>
      </c>
      <c r="AA84" s="133">
        <v>19.068969785758281</v>
      </c>
      <c r="AB84" s="133">
        <v>12.221472124546848</v>
      </c>
      <c r="AC84" s="133">
        <v>55.085160691457951</v>
      </c>
      <c r="AD84" s="133">
        <v>31.098964397275317</v>
      </c>
      <c r="AE84" s="133">
        <v>6.4240541429283953</v>
      </c>
      <c r="AF84" s="133">
        <v>22.974784879945972</v>
      </c>
      <c r="AG84" s="133">
        <v>25.198320722160013</v>
      </c>
      <c r="AH84" s="133">
        <v>5.0213324264148493</v>
      </c>
      <c r="AI84" s="133">
        <v>20.945797022189684</v>
      </c>
      <c r="AJ84" s="133">
        <v>15.562756090937619</v>
      </c>
      <c r="AK84" s="133">
        <v>22.961556215922407</v>
      </c>
      <c r="AL84" s="133">
        <v>10.001099406762689</v>
      </c>
      <c r="AM84" s="133">
        <v>40.021761453672482</v>
      </c>
      <c r="AN84" s="133">
        <v>6.472207157559577</v>
      </c>
      <c r="AO84" s="133">
        <v>5.4336328333400532</v>
      </c>
      <c r="AP84" s="133">
        <v>44.910299568648256</v>
      </c>
      <c r="AQ84" s="133">
        <v>6.1229417529853629</v>
      </c>
      <c r="AR84" s="133">
        <v>40.705553090522876</v>
      </c>
      <c r="AS84" s="133">
        <v>5.7140172571205925</v>
      </c>
      <c r="AT84" s="133">
        <v>9.9144809807598584</v>
      </c>
      <c r="AU84" s="133">
        <v>57.352916164810544</v>
      </c>
      <c r="AV84" s="133">
        <v>9.9573047785076643</v>
      </c>
      <c r="AW84" s="133">
        <v>11.580717423532866</v>
      </c>
      <c r="AX84" s="133">
        <v>4.7299143830980475</v>
      </c>
      <c r="AY84" s="133">
        <v>10.202087559002214</v>
      </c>
      <c r="AZ84" s="133">
        <v>19.152735762911298</v>
      </c>
      <c r="BA84" s="133">
        <v>26.963142272754297</v>
      </c>
      <c r="BB84" s="133">
        <v>31.645442882674402</v>
      </c>
      <c r="BC84" s="133">
        <v>7.9176962254737537</v>
      </c>
      <c r="BD84" s="133">
        <v>16.062045957488223</v>
      </c>
      <c r="BE84" s="133">
        <v>20.049101407993433</v>
      </c>
      <c r="BF84" s="133">
        <v>7.8622122038676343</v>
      </c>
      <c r="BG84" s="133">
        <v>14.039664507009716</v>
      </c>
      <c r="BH84" s="133">
        <v>67.188049975325725</v>
      </c>
      <c r="BI84" s="133">
        <v>61.998548542967242</v>
      </c>
      <c r="BJ84" s="133">
        <v>42.983801117839093</v>
      </c>
      <c r="BK84" s="133">
        <v>26.468115352353962</v>
      </c>
      <c r="BL84" s="133">
        <v>24.536758891855641</v>
      </c>
      <c r="BM84" s="133">
        <v>70.161976124771257</v>
      </c>
      <c r="BN84" s="133">
        <v>71.87094053365486</v>
      </c>
      <c r="BO84" s="133">
        <v>52.571240924041575</v>
      </c>
      <c r="BP84" s="133">
        <v>35.5262957957572</v>
      </c>
      <c r="BQ84" s="133">
        <v>7.7619196346279811</v>
      </c>
      <c r="BR84" s="133">
        <v>38.279638407909687</v>
      </c>
      <c r="BS84" s="133">
        <v>14.247150074297743</v>
      </c>
      <c r="BT84" s="133">
        <v>23.752130349857488</v>
      </c>
      <c r="BU84" s="133">
        <v>28.600676105135662</v>
      </c>
      <c r="BV84" s="133">
        <v>42.832819590274468</v>
      </c>
      <c r="BW84" s="133">
        <v>24.165085540176221</v>
      </c>
      <c r="BX84" s="133">
        <v>66.848789431962828</v>
      </c>
      <c r="BY84" s="133">
        <v>16.253847941895742</v>
      </c>
      <c r="BZ84" s="133">
        <v>53.561123882817121</v>
      </c>
      <c r="CA84" s="133">
        <v>50.810345978171064</v>
      </c>
      <c r="CB84" s="133">
        <v>5.3196351928014884</v>
      </c>
      <c r="CC84" s="133">
        <v>15.42685481580272</v>
      </c>
      <c r="CD84" s="133">
        <v>42.993524844596799</v>
      </c>
      <c r="CE84" s="133">
        <v>26.378720277343191</v>
      </c>
      <c r="CF84" s="133">
        <v>36.592254634838163</v>
      </c>
      <c r="CG84" s="133">
        <v>63.106300449209861</v>
      </c>
      <c r="CH84" s="133">
        <v>53.743331591290804</v>
      </c>
      <c r="CI84" s="133">
        <v>30.460832526993634</v>
      </c>
      <c r="CJ84" s="133">
        <v>77.030659159396976</v>
      </c>
      <c r="CK84" s="133">
        <v>56.472378592731175</v>
      </c>
      <c r="CL84" s="133">
        <v>5.8781277668989578</v>
      </c>
      <c r="CM84" s="133">
        <v>15.260049953670018</v>
      </c>
      <c r="CN84" s="133">
        <v>52.708882505214952</v>
      </c>
      <c r="CO84" s="133">
        <v>20.33577983114667</v>
      </c>
      <c r="CP84" s="133">
        <v>43.042141829237764</v>
      </c>
      <c r="CQ84" s="133">
        <v>15.484161489562169</v>
      </c>
      <c r="CR84" s="133">
        <v>20.635142942343066</v>
      </c>
      <c r="CS84" s="133">
        <v>54.760144672526977</v>
      </c>
      <c r="CT84" s="133">
        <v>27.200148991917317</v>
      </c>
      <c r="CU84" s="133">
        <v>38.841588131210514</v>
      </c>
      <c r="CV84" s="133">
        <v>12.956214019688375</v>
      </c>
      <c r="CW84" s="133">
        <v>42.44741690140463</v>
      </c>
      <c r="CX84" s="133">
        <v>54.528654767001932</v>
      </c>
      <c r="CY84" s="133">
        <v>20.060192004952292</v>
      </c>
      <c r="CZ84" s="133">
        <v>29.668115621066498</v>
      </c>
      <c r="DA84" s="133">
        <v>18.188797999664853</v>
      </c>
      <c r="DC84">
        <v>80</v>
      </c>
      <c r="DD84" s="84">
        <v>66.528167165515285</v>
      </c>
      <c r="DE84" s="84">
        <v>1.1510588900755752</v>
      </c>
      <c r="DF84" s="84">
        <v>-22.115953053179396</v>
      </c>
      <c r="DG84" s="84">
        <v>65.751325176012756</v>
      </c>
      <c r="DH84" s="84">
        <v>2.0276315227354349</v>
      </c>
      <c r="DI84" s="84">
        <v>-23.661234138508849</v>
      </c>
      <c r="DJ84" s="84">
        <v>1.9390092030878701</v>
      </c>
      <c r="DK84" s="84">
        <f t="shared" si="118"/>
        <v>3.759756689659457</v>
      </c>
      <c r="DL84" s="84">
        <f t="shared" si="119"/>
        <v>4.7643886038023942</v>
      </c>
      <c r="DM84" s="84">
        <f t="shared" si="120"/>
        <v>272.97935895810411</v>
      </c>
      <c r="DN84" s="85">
        <v>6</v>
      </c>
      <c r="DO84">
        <v>7</v>
      </c>
      <c r="DP84">
        <f t="shared" si="88"/>
        <v>247.5</v>
      </c>
      <c r="DQ84" s="270">
        <v>-7.6536686473017905</v>
      </c>
      <c r="DR84" s="270">
        <v>-18.477590650225736</v>
      </c>
    </row>
    <row r="85" spans="1:122">
      <c r="A85">
        <v>760</v>
      </c>
      <c r="B85" s="90">
        <f>'Color metric'!B79</f>
        <v>4.5682177177113745E-2</v>
      </c>
      <c r="C85" s="82">
        <f>Reference!N85</f>
        <v>8.0168695514539596</v>
      </c>
      <c r="D85" s="82"/>
      <c r="E85" s="137" t="s">
        <v>154</v>
      </c>
      <c r="F85" s="133">
        <f t="array" ref="F85:F87">MMULT($Q$43:$S$45,F79:F81)</f>
        <v>100.00100000000002</v>
      </c>
      <c r="G85" s="133">
        <f t="array" ref="G85:G87">MMULT($Q$43:$S$45,G79:G81)</f>
        <v>100.00100000000002</v>
      </c>
      <c r="H85" s="133">
        <f t="array" ref="H85:H87">MMULT($Q$43:$S$45,H79:H81)</f>
        <v>100.00100000000002</v>
      </c>
      <c r="I85" s="133">
        <f t="array" ref="I85:I87">MMULT($Q$43:$S$45,I79:I81)</f>
        <v>100.00100000000002</v>
      </c>
      <c r="J85" s="133">
        <f t="array" ref="J85:J87">MMULT($Q$43:$S$45,J79:J81)</f>
        <v>100.00100000000002</v>
      </c>
      <c r="K85" s="133">
        <f t="array" ref="K85:K87">MMULT($Q$43:$S$45,K79:K81)</f>
        <v>100.00100000000002</v>
      </c>
      <c r="L85" s="133">
        <f t="array" ref="L85:L87">MMULT($Q$43:$S$45,L79:L81)</f>
        <v>100.00100000000002</v>
      </c>
      <c r="M85" s="133">
        <f t="array" ref="M85:M87">MMULT($Q$43:$S$45,M79:M81)</f>
        <v>100.00100000000002</v>
      </c>
      <c r="N85" s="133">
        <f t="array" ref="N85:N87">MMULT($Q$43:$S$45,N79:N81)</f>
        <v>100.00100000000002</v>
      </c>
      <c r="O85" s="133">
        <f t="array" ref="O85:O87">MMULT($Q$43:$S$45,O79:O81)</f>
        <v>100.00100000000002</v>
      </c>
      <c r="P85" s="133">
        <f t="array" ref="P85:P87">MMULT($Q$43:$S$45,P79:P81)</f>
        <v>100.00100000000002</v>
      </c>
      <c r="Q85" s="133">
        <f t="array" ref="Q85:Q87">MMULT($Q$43:$S$45,Q79:Q81)</f>
        <v>100.00100000000002</v>
      </c>
      <c r="R85" s="133">
        <f t="array" ref="R85:R87">MMULT($Q$43:$S$45,R79:R81)</f>
        <v>100.00100000000002</v>
      </c>
      <c r="S85" s="133">
        <f t="array" ref="S85:S87">MMULT($Q$43:$S$45,S79:S81)</f>
        <v>100.00100000000002</v>
      </c>
      <c r="T85" s="133">
        <f t="array" ref="T85:T87">MMULT($Q$43:$S$45,T79:T81)</f>
        <v>100.00100000000002</v>
      </c>
      <c r="U85" s="133">
        <f t="array" ref="U85:U87">MMULT($Q$43:$S$45,U79:U81)</f>
        <v>100.00100000000002</v>
      </c>
      <c r="V85" s="133">
        <f t="array" ref="V85:V87">MMULT($Q$43:$S$45,V79:V81)</f>
        <v>100.00100000000002</v>
      </c>
      <c r="W85" s="133">
        <f t="array" ref="W85:W87">MMULT($Q$43:$S$45,W79:W81)</f>
        <v>100.00100000000002</v>
      </c>
      <c r="X85" s="133">
        <f t="array" ref="X85:X87">MMULT($Q$43:$S$45,X79:X81)</f>
        <v>100.00100000000002</v>
      </c>
      <c r="Y85" s="133">
        <f t="array" ref="Y85:Y87">MMULT($Q$43:$S$45,Y79:Y81)</f>
        <v>100.00100000000002</v>
      </c>
      <c r="Z85" s="133">
        <f t="array" ref="Z85:Z87">MMULT($Q$43:$S$45,Z79:Z81)</f>
        <v>100.00100000000002</v>
      </c>
      <c r="AA85" s="133">
        <f t="array" ref="AA85:AA87">MMULT($Q$43:$S$45,AA79:AA81)</f>
        <v>100.00100000000002</v>
      </c>
      <c r="AB85" s="133">
        <f t="array" ref="AB85:AB87">MMULT($Q$43:$S$45,AB79:AB81)</f>
        <v>100.00100000000002</v>
      </c>
      <c r="AC85" s="133">
        <f t="array" ref="AC85:AC87">MMULT($Q$43:$S$45,AC79:AC81)</f>
        <v>100.00100000000002</v>
      </c>
      <c r="AD85" s="133">
        <f t="array" ref="AD85:AD87">MMULT($Q$43:$S$45,AD79:AD81)</f>
        <v>100.00100000000002</v>
      </c>
      <c r="AE85" s="133">
        <f t="array" ref="AE85:AE87">MMULT($Q$43:$S$45,AE79:AE81)</f>
        <v>100.00100000000002</v>
      </c>
      <c r="AF85" s="133">
        <f t="array" ref="AF85:AF87">MMULT($Q$43:$S$45,AF79:AF81)</f>
        <v>100.00100000000002</v>
      </c>
      <c r="AG85" s="133">
        <f t="array" ref="AG85:AG87">MMULT($Q$43:$S$45,AG79:AG81)</f>
        <v>100.00100000000002</v>
      </c>
      <c r="AH85" s="133">
        <f t="array" ref="AH85:AH87">MMULT($Q$43:$S$45,AH79:AH81)</f>
        <v>100.00100000000002</v>
      </c>
      <c r="AI85" s="133">
        <f t="array" ref="AI85:AI87">MMULT($Q$43:$S$45,AI79:AI81)</f>
        <v>100.00100000000002</v>
      </c>
      <c r="AJ85" s="133">
        <f t="array" ref="AJ85:AJ87">MMULT($Q$43:$S$45,AJ79:AJ81)</f>
        <v>100.00100000000002</v>
      </c>
      <c r="AK85" s="133">
        <f t="array" ref="AK85:AK87">MMULT($Q$43:$S$45,AK79:AK81)</f>
        <v>100.00100000000002</v>
      </c>
      <c r="AL85" s="133">
        <f t="array" ref="AL85:AL87">MMULT($Q$43:$S$45,AL79:AL81)</f>
        <v>100.00100000000002</v>
      </c>
      <c r="AM85" s="133">
        <f t="array" ref="AM85:AM87">MMULT($Q$43:$S$45,AM79:AM81)</f>
        <v>100.00100000000002</v>
      </c>
      <c r="AN85" s="133">
        <f t="array" ref="AN85:AN87">MMULT($Q$43:$S$45,AN79:AN81)</f>
        <v>100.00100000000002</v>
      </c>
      <c r="AO85" s="133">
        <f t="array" ref="AO85:AO87">MMULT($Q$43:$S$45,AO79:AO81)</f>
        <v>100.00100000000002</v>
      </c>
      <c r="AP85" s="133">
        <f t="array" ref="AP85:AP87">MMULT($Q$43:$S$45,AP79:AP81)</f>
        <v>100.00100000000002</v>
      </c>
      <c r="AQ85" s="133">
        <f t="array" ref="AQ85:AQ87">MMULT($Q$43:$S$45,AQ79:AQ81)</f>
        <v>100.00100000000002</v>
      </c>
      <c r="AR85" s="133">
        <f t="array" ref="AR85:AR87">MMULT($Q$43:$S$45,AR79:AR81)</f>
        <v>100.00100000000002</v>
      </c>
      <c r="AS85" s="133">
        <f t="array" ref="AS85:AS87">MMULT($Q$43:$S$45,AS79:AS81)</f>
        <v>100.00100000000002</v>
      </c>
      <c r="AT85" s="133">
        <f t="array" ref="AT85:AT87">MMULT($Q$43:$S$45,AT79:AT81)</f>
        <v>100.00100000000002</v>
      </c>
      <c r="AU85" s="133">
        <f t="array" ref="AU85:AU87">MMULT($Q$43:$S$45,AU79:AU81)</f>
        <v>100.00100000000002</v>
      </c>
      <c r="AV85" s="133">
        <f t="array" ref="AV85:AV87">MMULT($Q$43:$S$45,AV79:AV81)</f>
        <v>100.00100000000002</v>
      </c>
      <c r="AW85" s="133">
        <f t="array" ref="AW85:AW87">MMULT($Q$43:$S$45,AW79:AW81)</f>
        <v>100.00100000000002</v>
      </c>
      <c r="AX85" s="133">
        <f t="array" ref="AX85:AX87">MMULT($Q$43:$S$45,AX79:AX81)</f>
        <v>100.00100000000002</v>
      </c>
      <c r="AY85" s="133">
        <f t="array" ref="AY85:AY87">MMULT($Q$43:$S$45,AY79:AY81)</f>
        <v>100.00100000000002</v>
      </c>
      <c r="AZ85" s="133">
        <f t="array" ref="AZ85:AZ87">MMULT($Q$43:$S$45,AZ79:AZ81)</f>
        <v>100.00100000000002</v>
      </c>
      <c r="BA85" s="133">
        <f t="array" ref="BA85:BA87">MMULT($Q$43:$S$45,BA79:BA81)</f>
        <v>100.00100000000002</v>
      </c>
      <c r="BB85" s="133">
        <f t="array" ref="BB85:BB87">MMULT($Q$43:$S$45,BB79:BB81)</f>
        <v>100.00100000000002</v>
      </c>
      <c r="BC85" s="133">
        <f t="array" ref="BC85:BC87">MMULT($Q$43:$S$45,BC79:BC81)</f>
        <v>100.00100000000002</v>
      </c>
      <c r="BD85" s="133">
        <f t="array" ref="BD85:BD87">MMULT($Q$43:$S$45,BD79:BD81)</f>
        <v>100.00100000000002</v>
      </c>
      <c r="BE85" s="133">
        <f t="array" ref="BE85:BE87">MMULT($Q$43:$S$45,BE79:BE81)</f>
        <v>100.00100000000002</v>
      </c>
      <c r="BF85" s="133">
        <f t="array" ref="BF85:BF87">MMULT($Q$43:$S$45,BF79:BF81)</f>
        <v>100.00100000000002</v>
      </c>
      <c r="BG85" s="133">
        <f t="array" ref="BG85:BG87">MMULT($Q$43:$S$45,BG79:BG81)</f>
        <v>100.00100000000002</v>
      </c>
      <c r="BH85" s="133">
        <f t="array" ref="BH85:BH87">MMULT($Q$43:$S$45,BH79:BH81)</f>
        <v>100.00100000000002</v>
      </c>
      <c r="BI85" s="133">
        <f t="array" ref="BI85:BI87">MMULT($Q$43:$S$45,BI79:BI81)</f>
        <v>100.00100000000002</v>
      </c>
      <c r="BJ85" s="133">
        <f t="array" ref="BJ85:BJ87">MMULT($Q$43:$S$45,BJ79:BJ81)</f>
        <v>100.00100000000002</v>
      </c>
      <c r="BK85" s="133">
        <f t="array" ref="BK85:BK87">MMULT($Q$43:$S$45,BK79:BK81)</f>
        <v>100.00100000000002</v>
      </c>
      <c r="BL85" s="133">
        <f t="array" ref="BL85:BL87">MMULT($Q$43:$S$45,BL79:BL81)</f>
        <v>100.00100000000002</v>
      </c>
      <c r="BM85" s="133">
        <f t="array" ref="BM85:BM87">MMULT($Q$43:$S$45,BM79:BM81)</f>
        <v>100.00100000000002</v>
      </c>
      <c r="BN85" s="133">
        <f t="array" ref="BN85:BN87">MMULT($Q$43:$S$45,BN79:BN81)</f>
        <v>100.00100000000002</v>
      </c>
      <c r="BO85" s="133">
        <f t="array" ref="BO85:BO87">MMULT($Q$43:$S$45,BO79:BO81)</f>
        <v>100.00100000000002</v>
      </c>
      <c r="BP85" s="133">
        <f t="array" ref="BP85:BP87">MMULT($Q$43:$S$45,BP79:BP81)</f>
        <v>100.00100000000002</v>
      </c>
      <c r="BQ85" s="133">
        <f t="array" ref="BQ85:BQ87">MMULT($Q$43:$S$45,BQ79:BQ81)</f>
        <v>100.00100000000002</v>
      </c>
      <c r="BR85" s="133">
        <f t="array" ref="BR85:BR87">MMULT($Q$43:$S$45,BR79:BR81)</f>
        <v>100.00100000000002</v>
      </c>
      <c r="BS85" s="133">
        <f t="array" ref="BS85:BS87">MMULT($Q$43:$S$45,BS79:BS81)</f>
        <v>100.00100000000002</v>
      </c>
      <c r="BT85" s="133">
        <f t="array" ref="BT85:BT87">MMULT($Q$43:$S$45,BT79:BT81)</f>
        <v>100.00100000000002</v>
      </c>
      <c r="BU85" s="133">
        <f t="array" ref="BU85:BU87">MMULT($Q$43:$S$45,BU79:BU81)</f>
        <v>100.00100000000002</v>
      </c>
      <c r="BV85" s="133">
        <f t="array" ref="BV85:BV87">MMULT($Q$43:$S$45,BV79:BV81)</f>
        <v>100.00100000000002</v>
      </c>
      <c r="BW85" s="133">
        <f t="array" ref="BW85:BW87">MMULT($Q$43:$S$45,BW79:BW81)</f>
        <v>100.00100000000002</v>
      </c>
      <c r="BX85" s="133">
        <f t="array" ref="BX85:BX87">MMULT($Q$43:$S$45,BX79:BX81)</f>
        <v>100.00100000000002</v>
      </c>
      <c r="BY85" s="133">
        <f t="array" ref="BY85:BY87">MMULT($Q$43:$S$45,BY79:BY81)</f>
        <v>100.00100000000002</v>
      </c>
      <c r="BZ85" s="133">
        <f t="array" ref="BZ85:BZ87">MMULT($Q$43:$S$45,BZ79:BZ81)</f>
        <v>100.00100000000002</v>
      </c>
      <c r="CA85" s="133">
        <f t="array" ref="CA85:CA87">MMULT($Q$43:$S$45,CA79:CA81)</f>
        <v>100.00100000000002</v>
      </c>
      <c r="CB85" s="133">
        <f t="array" ref="CB85:CB87">MMULT($Q$43:$S$45,CB79:CB81)</f>
        <v>100.00100000000002</v>
      </c>
      <c r="CC85" s="133">
        <f t="array" ref="CC85:CC87">MMULT($Q$43:$S$45,CC79:CC81)</f>
        <v>100.00100000000002</v>
      </c>
      <c r="CD85" s="133">
        <f t="array" ref="CD85:CD87">MMULT($Q$43:$S$45,CD79:CD81)</f>
        <v>100.00100000000002</v>
      </c>
      <c r="CE85" s="133">
        <f t="array" ref="CE85:CE87">MMULT($Q$43:$S$45,CE79:CE81)</f>
        <v>100.00100000000002</v>
      </c>
      <c r="CF85" s="133">
        <f t="array" ref="CF85:CF87">MMULT($Q$43:$S$45,CF79:CF81)</f>
        <v>100.00100000000002</v>
      </c>
      <c r="CG85" s="133">
        <f t="array" ref="CG85:CG87">MMULT($Q$43:$S$45,CG79:CG81)</f>
        <v>100.00100000000002</v>
      </c>
      <c r="CH85" s="133">
        <f t="array" ref="CH85:CH87">MMULT($Q$43:$S$45,CH79:CH81)</f>
        <v>100.00100000000002</v>
      </c>
      <c r="CI85" s="133">
        <f t="array" ref="CI85:CI87">MMULT($Q$43:$S$45,CI79:CI81)</f>
        <v>100.00100000000002</v>
      </c>
      <c r="CJ85" s="133">
        <f t="array" ref="CJ85:CJ87">MMULT($Q$43:$S$45,CJ79:CJ81)</f>
        <v>100.00100000000002</v>
      </c>
      <c r="CK85" s="133">
        <f t="array" ref="CK85:CK87">MMULT($Q$43:$S$45,CK79:CK81)</f>
        <v>100.00100000000002</v>
      </c>
      <c r="CL85" s="133">
        <f t="array" ref="CL85:CL87">MMULT($Q$43:$S$45,CL79:CL81)</f>
        <v>100.00100000000002</v>
      </c>
      <c r="CM85" s="133">
        <f t="array" ref="CM85:CM87">MMULT($Q$43:$S$45,CM79:CM81)</f>
        <v>100.00100000000002</v>
      </c>
      <c r="CN85" s="133">
        <f t="array" ref="CN85:CN87">MMULT($Q$43:$S$45,CN79:CN81)</f>
        <v>100.00100000000002</v>
      </c>
      <c r="CO85" s="133">
        <f t="array" ref="CO85:CO87">MMULT($Q$43:$S$45,CO79:CO81)</f>
        <v>100.00100000000002</v>
      </c>
      <c r="CP85" s="133">
        <f t="array" ref="CP85:CP87">MMULT($Q$43:$S$45,CP79:CP81)</f>
        <v>100.00100000000002</v>
      </c>
      <c r="CQ85" s="133">
        <f t="array" ref="CQ85:CQ87">MMULT($Q$43:$S$45,CQ79:CQ81)</f>
        <v>100.00100000000002</v>
      </c>
      <c r="CR85" s="133">
        <f t="array" ref="CR85:CR87">MMULT($Q$43:$S$45,CR79:CR81)</f>
        <v>100.00100000000002</v>
      </c>
      <c r="CS85" s="133">
        <f t="array" ref="CS85:CS87">MMULT($Q$43:$S$45,CS79:CS81)</f>
        <v>100.00100000000002</v>
      </c>
      <c r="CT85" s="133">
        <f t="array" ref="CT85:CT87">MMULT($Q$43:$S$45,CT79:CT81)</f>
        <v>100.00100000000002</v>
      </c>
      <c r="CU85" s="133">
        <f t="array" ref="CU85:CU87">MMULT($Q$43:$S$45,CU79:CU81)</f>
        <v>100.00100000000002</v>
      </c>
      <c r="CV85" s="133">
        <f t="array" ref="CV85:CV87">MMULT($Q$43:$S$45,CV79:CV81)</f>
        <v>100.00100000000002</v>
      </c>
      <c r="CW85" s="133">
        <f t="array" ref="CW85:CW87">MMULT($Q$43:$S$45,CW79:CW81)</f>
        <v>100.00100000000002</v>
      </c>
      <c r="CX85" s="133">
        <f t="array" ref="CX85:CX87">MMULT($Q$43:$S$45,CX79:CX81)</f>
        <v>100.00100000000002</v>
      </c>
      <c r="CY85" s="133">
        <f t="array" ref="CY85:CY87">MMULT($Q$43:$S$45,CY79:CY81)</f>
        <v>100.00100000000002</v>
      </c>
      <c r="CZ85" s="133">
        <f t="array" ref="CZ85:CZ87">MMULT($Q$43:$S$45,CZ79:CZ81)</f>
        <v>100.00100000000002</v>
      </c>
      <c r="DA85" s="133">
        <f t="array" ref="DA85:DA87">MMULT($Q$43:$S$45,DA79:DA81)</f>
        <v>100.00100000000002</v>
      </c>
      <c r="DC85">
        <v>81</v>
      </c>
      <c r="DD85" s="84">
        <v>45.143651175723804</v>
      </c>
      <c r="DE85" s="84">
        <v>4.520239695287092</v>
      </c>
      <c r="DF85" s="84">
        <v>-26.117308196575092</v>
      </c>
      <c r="DG85" s="84">
        <v>43.525908838650963</v>
      </c>
      <c r="DH85" s="84">
        <v>3.2283142442523274</v>
      </c>
      <c r="DI85" s="84">
        <v>-27.921292474118776</v>
      </c>
      <c r="DJ85" s="84">
        <v>2.7460008947220107</v>
      </c>
      <c r="DK85" s="84">
        <f t="shared" si="118"/>
        <v>7.540520913814083</v>
      </c>
      <c r="DL85" s="84">
        <f t="shared" si="119"/>
        <v>4.8837657407058517</v>
      </c>
      <c r="DM85" s="84">
        <f t="shared" si="120"/>
        <v>279.81916507302765</v>
      </c>
      <c r="DN85" s="85">
        <v>7</v>
      </c>
      <c r="DO85">
        <v>1</v>
      </c>
      <c r="DP85">
        <f>ATAN(DR85/DQ85)*180/PI() +360</f>
        <v>292.5</v>
      </c>
      <c r="DQ85" s="270">
        <v>7.6536686473018003</v>
      </c>
      <c r="DR85" s="270">
        <v>-18.477590650225732</v>
      </c>
    </row>
    <row r="86" spans="1:122">
      <c r="A86">
        <v>765</v>
      </c>
      <c r="B86" s="90">
        <f>'Color metric'!B80</f>
        <v>3.9927560758034546E-2</v>
      </c>
      <c r="C86" s="82">
        <f>Reference!N86</f>
        <v>8.0568136235592736</v>
      </c>
      <c r="D86" s="82"/>
      <c r="E86" s="137" t="s">
        <v>155</v>
      </c>
      <c r="F86" s="133">
        <v>100.00000000000001</v>
      </c>
      <c r="G86" s="133">
        <v>100.00000000000001</v>
      </c>
      <c r="H86" s="133">
        <v>100.00000000000001</v>
      </c>
      <c r="I86" s="133">
        <v>100.00000000000001</v>
      </c>
      <c r="J86" s="133">
        <v>100.00000000000001</v>
      </c>
      <c r="K86" s="133">
        <v>100.00000000000001</v>
      </c>
      <c r="L86" s="133">
        <v>100.00000000000001</v>
      </c>
      <c r="M86" s="133">
        <v>100.00000000000001</v>
      </c>
      <c r="N86" s="133">
        <v>100.00000000000001</v>
      </c>
      <c r="O86" s="133">
        <v>100.00000000000001</v>
      </c>
      <c r="P86" s="133">
        <v>100.00000000000001</v>
      </c>
      <c r="Q86" s="133">
        <v>100.00000000000001</v>
      </c>
      <c r="R86" s="133">
        <v>100.00000000000001</v>
      </c>
      <c r="S86" s="133">
        <v>100.00000000000001</v>
      </c>
      <c r="T86" s="133">
        <v>100.00000000000001</v>
      </c>
      <c r="U86" s="133">
        <v>100.00000000000001</v>
      </c>
      <c r="V86" s="133">
        <v>100.00000000000001</v>
      </c>
      <c r="W86" s="133">
        <v>100.00000000000001</v>
      </c>
      <c r="X86" s="133">
        <v>100.00000000000001</v>
      </c>
      <c r="Y86" s="133">
        <v>100.00000000000001</v>
      </c>
      <c r="Z86" s="133">
        <v>100.00000000000001</v>
      </c>
      <c r="AA86" s="133">
        <v>100.00000000000001</v>
      </c>
      <c r="AB86" s="133">
        <v>100.00000000000001</v>
      </c>
      <c r="AC86" s="133">
        <v>100.00000000000001</v>
      </c>
      <c r="AD86" s="133">
        <v>100.00000000000001</v>
      </c>
      <c r="AE86" s="133">
        <v>100.00000000000001</v>
      </c>
      <c r="AF86" s="133">
        <v>100.00000000000001</v>
      </c>
      <c r="AG86" s="133">
        <v>100.00000000000001</v>
      </c>
      <c r="AH86" s="133">
        <v>100.00000000000001</v>
      </c>
      <c r="AI86" s="133">
        <v>100.00000000000001</v>
      </c>
      <c r="AJ86" s="133">
        <v>100.00000000000001</v>
      </c>
      <c r="AK86" s="133">
        <v>100.00000000000001</v>
      </c>
      <c r="AL86" s="133">
        <v>100.00000000000001</v>
      </c>
      <c r="AM86" s="133">
        <v>100.00000000000001</v>
      </c>
      <c r="AN86" s="133">
        <v>100.00000000000001</v>
      </c>
      <c r="AO86" s="133">
        <v>100.00000000000001</v>
      </c>
      <c r="AP86" s="133">
        <v>100.00000000000001</v>
      </c>
      <c r="AQ86" s="133">
        <v>100.00000000000001</v>
      </c>
      <c r="AR86" s="133">
        <v>100.00000000000001</v>
      </c>
      <c r="AS86" s="133">
        <v>100.00000000000001</v>
      </c>
      <c r="AT86" s="133">
        <v>100.00000000000001</v>
      </c>
      <c r="AU86" s="133">
        <v>100.00000000000001</v>
      </c>
      <c r="AV86" s="133">
        <v>100.00000000000001</v>
      </c>
      <c r="AW86" s="133">
        <v>100.00000000000001</v>
      </c>
      <c r="AX86" s="133">
        <v>100.00000000000001</v>
      </c>
      <c r="AY86" s="133">
        <v>100.00000000000001</v>
      </c>
      <c r="AZ86" s="133">
        <v>100.00000000000001</v>
      </c>
      <c r="BA86" s="133">
        <v>100.00000000000001</v>
      </c>
      <c r="BB86" s="133">
        <v>100.00000000000001</v>
      </c>
      <c r="BC86" s="133">
        <v>100.00000000000001</v>
      </c>
      <c r="BD86" s="133">
        <v>100.00000000000001</v>
      </c>
      <c r="BE86" s="133">
        <v>100.00000000000001</v>
      </c>
      <c r="BF86" s="133">
        <v>100.00000000000001</v>
      </c>
      <c r="BG86" s="133">
        <v>100.00000000000001</v>
      </c>
      <c r="BH86" s="133">
        <v>100.00000000000001</v>
      </c>
      <c r="BI86" s="133">
        <v>100.00000000000001</v>
      </c>
      <c r="BJ86" s="133">
        <v>100.00000000000001</v>
      </c>
      <c r="BK86" s="133">
        <v>100.00000000000001</v>
      </c>
      <c r="BL86" s="133">
        <v>100.00000000000001</v>
      </c>
      <c r="BM86" s="133">
        <v>100.00000000000001</v>
      </c>
      <c r="BN86" s="133">
        <v>100.00000000000001</v>
      </c>
      <c r="BO86" s="133">
        <v>100.00000000000001</v>
      </c>
      <c r="BP86" s="133">
        <v>100.00000000000001</v>
      </c>
      <c r="BQ86" s="133">
        <v>100.00000000000001</v>
      </c>
      <c r="BR86" s="133">
        <v>100.00000000000001</v>
      </c>
      <c r="BS86" s="133">
        <v>100.00000000000001</v>
      </c>
      <c r="BT86" s="133">
        <v>100.00000000000001</v>
      </c>
      <c r="BU86" s="133">
        <v>100.00000000000001</v>
      </c>
      <c r="BV86" s="133">
        <v>100.00000000000001</v>
      </c>
      <c r="BW86" s="133">
        <v>100.00000000000001</v>
      </c>
      <c r="BX86" s="133">
        <v>100.00000000000001</v>
      </c>
      <c r="BY86" s="133">
        <v>100.00000000000001</v>
      </c>
      <c r="BZ86" s="133">
        <v>100.00000000000001</v>
      </c>
      <c r="CA86" s="133">
        <v>100.00000000000001</v>
      </c>
      <c r="CB86" s="133">
        <v>100.00000000000001</v>
      </c>
      <c r="CC86" s="133">
        <v>100.00000000000001</v>
      </c>
      <c r="CD86" s="133">
        <v>100.00000000000001</v>
      </c>
      <c r="CE86" s="133">
        <v>100.00000000000001</v>
      </c>
      <c r="CF86" s="133">
        <v>100.00000000000001</v>
      </c>
      <c r="CG86" s="133">
        <v>100.00000000000001</v>
      </c>
      <c r="CH86" s="133">
        <v>100.00000000000001</v>
      </c>
      <c r="CI86" s="133">
        <v>100.00000000000001</v>
      </c>
      <c r="CJ86" s="133">
        <v>100.00000000000001</v>
      </c>
      <c r="CK86" s="133">
        <v>100.00000000000001</v>
      </c>
      <c r="CL86" s="133">
        <v>100.00000000000001</v>
      </c>
      <c r="CM86" s="133">
        <v>100.00000000000001</v>
      </c>
      <c r="CN86" s="133">
        <v>100.00000000000001</v>
      </c>
      <c r="CO86" s="133">
        <v>100.00000000000001</v>
      </c>
      <c r="CP86" s="133">
        <v>100.00000000000001</v>
      </c>
      <c r="CQ86" s="133">
        <v>100.00000000000001</v>
      </c>
      <c r="CR86" s="133">
        <v>100.00000000000001</v>
      </c>
      <c r="CS86" s="133">
        <v>100.00000000000001</v>
      </c>
      <c r="CT86" s="133">
        <v>100.00000000000001</v>
      </c>
      <c r="CU86" s="133">
        <v>100.00000000000001</v>
      </c>
      <c r="CV86" s="133">
        <v>100.00000000000001</v>
      </c>
      <c r="CW86" s="133">
        <v>100.00000000000001</v>
      </c>
      <c r="CX86" s="133">
        <v>100.00000000000001</v>
      </c>
      <c r="CY86" s="133">
        <v>100.00000000000001</v>
      </c>
      <c r="CZ86" s="133">
        <v>100.00000000000001</v>
      </c>
      <c r="DA86" s="133">
        <v>100.00000000000001</v>
      </c>
      <c r="DC86">
        <v>82</v>
      </c>
      <c r="DD86" s="84">
        <v>87.579391852526427</v>
      </c>
      <c r="DE86" s="84">
        <v>1.238808340722044</v>
      </c>
      <c r="DF86" s="84">
        <v>-9.3492584073241201</v>
      </c>
      <c r="DG86" s="84">
        <v>87.394543670023623</v>
      </c>
      <c r="DH86" s="84">
        <v>1.6290318197755642</v>
      </c>
      <c r="DI86" s="84">
        <v>-10.093476233743713</v>
      </c>
      <c r="DJ86" s="84">
        <v>0.8604088489432955</v>
      </c>
      <c r="DK86" s="84">
        <f t="shared" si="118"/>
        <v>0.74030338733992673</v>
      </c>
      <c r="DL86" s="84">
        <f t="shared" si="119"/>
        <v>4.8441249679903713</v>
      </c>
      <c r="DM86" s="84">
        <f t="shared" si="120"/>
        <v>277.54791609979327</v>
      </c>
      <c r="DN86" s="85">
        <v>7</v>
      </c>
      <c r="DO86">
        <v>3</v>
      </c>
      <c r="DP86">
        <f t="shared" ref="DP86:DP103" si="131">ATAN(DR86/DQ86)*180/PI() +360</f>
        <v>292.5</v>
      </c>
      <c r="DQ86" s="270">
        <v>7.6536686473018003</v>
      </c>
      <c r="DR86" s="270">
        <v>-18.477590650225732</v>
      </c>
    </row>
    <row r="87" spans="1:122">
      <c r="A87">
        <v>770</v>
      </c>
      <c r="B87" s="90">
        <f>'Color metric'!B81</f>
        <v>3.4924883904470662E-2</v>
      </c>
      <c r="C87" s="82">
        <f>Reference!N87</f>
        <v>8.0947532489101732</v>
      </c>
      <c r="D87" s="82"/>
      <c r="E87" s="137" t="s">
        <v>156</v>
      </c>
      <c r="F87" s="133">
        <v>99.999999999999986</v>
      </c>
      <c r="G87" s="133">
        <v>99.999999999999986</v>
      </c>
      <c r="H87" s="133">
        <v>99.999999999999986</v>
      </c>
      <c r="I87" s="133">
        <v>99.999999999999986</v>
      </c>
      <c r="J87" s="133">
        <v>99.999999999999986</v>
      </c>
      <c r="K87" s="133">
        <v>99.999999999999986</v>
      </c>
      <c r="L87" s="133">
        <v>99.999999999999986</v>
      </c>
      <c r="M87" s="133">
        <v>99.999999999999986</v>
      </c>
      <c r="N87" s="133">
        <v>99.999999999999986</v>
      </c>
      <c r="O87" s="133">
        <v>99.999999999999986</v>
      </c>
      <c r="P87" s="133">
        <v>99.999999999999986</v>
      </c>
      <c r="Q87" s="133">
        <v>99.999999999999986</v>
      </c>
      <c r="R87" s="133">
        <v>99.999999999999986</v>
      </c>
      <c r="S87" s="133">
        <v>99.999999999999986</v>
      </c>
      <c r="T87" s="133">
        <v>99.999999999999986</v>
      </c>
      <c r="U87" s="133">
        <v>99.999999999999986</v>
      </c>
      <c r="V87" s="133">
        <v>99.999999999999986</v>
      </c>
      <c r="W87" s="133">
        <v>99.999999999999986</v>
      </c>
      <c r="X87" s="133">
        <v>99.999999999999986</v>
      </c>
      <c r="Y87" s="133">
        <v>99.999999999999986</v>
      </c>
      <c r="Z87" s="133">
        <v>99.999999999999986</v>
      </c>
      <c r="AA87" s="133">
        <v>99.999999999999986</v>
      </c>
      <c r="AB87" s="133">
        <v>99.999999999999986</v>
      </c>
      <c r="AC87" s="133">
        <v>99.999999999999986</v>
      </c>
      <c r="AD87" s="133">
        <v>99.999999999999986</v>
      </c>
      <c r="AE87" s="133">
        <v>99.999999999999986</v>
      </c>
      <c r="AF87" s="133">
        <v>99.999999999999986</v>
      </c>
      <c r="AG87" s="133">
        <v>99.999999999999986</v>
      </c>
      <c r="AH87" s="133">
        <v>99.999999999999986</v>
      </c>
      <c r="AI87" s="133">
        <v>99.999999999999986</v>
      </c>
      <c r="AJ87" s="133">
        <v>99.999999999999986</v>
      </c>
      <c r="AK87" s="133">
        <v>99.999999999999986</v>
      </c>
      <c r="AL87" s="133">
        <v>99.999999999999986</v>
      </c>
      <c r="AM87" s="133">
        <v>99.999999999999986</v>
      </c>
      <c r="AN87" s="133">
        <v>99.999999999999986</v>
      </c>
      <c r="AO87" s="133">
        <v>99.999999999999986</v>
      </c>
      <c r="AP87" s="133">
        <v>99.999999999999986</v>
      </c>
      <c r="AQ87" s="133">
        <v>99.999999999999986</v>
      </c>
      <c r="AR87" s="133">
        <v>99.999999999999986</v>
      </c>
      <c r="AS87" s="133">
        <v>99.999999999999986</v>
      </c>
      <c r="AT87" s="133">
        <v>99.999999999999986</v>
      </c>
      <c r="AU87" s="133">
        <v>99.999999999999986</v>
      </c>
      <c r="AV87" s="133">
        <v>99.999999999999986</v>
      </c>
      <c r="AW87" s="133">
        <v>99.999999999999986</v>
      </c>
      <c r="AX87" s="133">
        <v>99.999999999999986</v>
      </c>
      <c r="AY87" s="133">
        <v>99.999999999999986</v>
      </c>
      <c r="AZ87" s="133">
        <v>99.999999999999986</v>
      </c>
      <c r="BA87" s="133">
        <v>99.999999999999986</v>
      </c>
      <c r="BB87" s="133">
        <v>99.999999999999986</v>
      </c>
      <c r="BC87" s="133">
        <v>99.999999999999986</v>
      </c>
      <c r="BD87" s="133">
        <v>99.999999999999986</v>
      </c>
      <c r="BE87" s="133">
        <v>99.999999999999986</v>
      </c>
      <c r="BF87" s="133">
        <v>99.999999999999986</v>
      </c>
      <c r="BG87" s="133">
        <v>99.999999999999986</v>
      </c>
      <c r="BH87" s="133">
        <v>99.999999999999986</v>
      </c>
      <c r="BI87" s="133">
        <v>99.999999999999986</v>
      </c>
      <c r="BJ87" s="133">
        <v>99.999999999999986</v>
      </c>
      <c r="BK87" s="133">
        <v>99.999999999999986</v>
      </c>
      <c r="BL87" s="133">
        <v>99.999999999999986</v>
      </c>
      <c r="BM87" s="133">
        <v>99.999999999999986</v>
      </c>
      <c r="BN87" s="133">
        <v>99.999999999999986</v>
      </c>
      <c r="BO87" s="133">
        <v>99.999999999999986</v>
      </c>
      <c r="BP87" s="133">
        <v>99.999999999999986</v>
      </c>
      <c r="BQ87" s="133">
        <v>99.999999999999986</v>
      </c>
      <c r="BR87" s="133">
        <v>99.999999999999986</v>
      </c>
      <c r="BS87" s="133">
        <v>99.999999999999986</v>
      </c>
      <c r="BT87" s="133">
        <v>99.999999999999986</v>
      </c>
      <c r="BU87" s="133">
        <v>99.999999999999986</v>
      </c>
      <c r="BV87" s="133">
        <v>99.999999999999986</v>
      </c>
      <c r="BW87" s="133">
        <v>99.999999999999986</v>
      </c>
      <c r="BX87" s="133">
        <v>99.999999999999986</v>
      </c>
      <c r="BY87" s="133">
        <v>99.999999999999986</v>
      </c>
      <c r="BZ87" s="133">
        <v>99.999999999999986</v>
      </c>
      <c r="CA87" s="133">
        <v>99.999999999999986</v>
      </c>
      <c r="CB87" s="133">
        <v>99.999999999999986</v>
      </c>
      <c r="CC87" s="133">
        <v>99.999999999999986</v>
      </c>
      <c r="CD87" s="133">
        <v>99.999999999999986</v>
      </c>
      <c r="CE87" s="133">
        <v>99.999999999999986</v>
      </c>
      <c r="CF87" s="133">
        <v>99.999999999999986</v>
      </c>
      <c r="CG87" s="133">
        <v>99.999999999999986</v>
      </c>
      <c r="CH87" s="133">
        <v>99.999999999999986</v>
      </c>
      <c r="CI87" s="133">
        <v>99.999999999999986</v>
      </c>
      <c r="CJ87" s="133">
        <v>99.999999999999986</v>
      </c>
      <c r="CK87" s="133">
        <v>99.999999999999986</v>
      </c>
      <c r="CL87" s="133">
        <v>99.999999999999986</v>
      </c>
      <c r="CM87" s="133">
        <v>99.999999999999986</v>
      </c>
      <c r="CN87" s="133">
        <v>99.999999999999986</v>
      </c>
      <c r="CO87" s="133">
        <v>99.999999999999986</v>
      </c>
      <c r="CP87" s="133">
        <v>99.999999999999986</v>
      </c>
      <c r="CQ87" s="133">
        <v>99.999999999999986</v>
      </c>
      <c r="CR87" s="133">
        <v>99.999999999999986</v>
      </c>
      <c r="CS87" s="133">
        <v>99.999999999999986</v>
      </c>
      <c r="CT87" s="133">
        <v>99.999999999999986</v>
      </c>
      <c r="CU87" s="133">
        <v>99.999999999999986</v>
      </c>
      <c r="CV87" s="133">
        <v>99.999999999999986</v>
      </c>
      <c r="CW87" s="133">
        <v>99.999999999999986</v>
      </c>
      <c r="CX87" s="133">
        <v>99.999999999999986</v>
      </c>
      <c r="CY87" s="133">
        <v>99.999999999999986</v>
      </c>
      <c r="CZ87" s="133">
        <v>99.999999999999986</v>
      </c>
      <c r="DA87" s="133">
        <v>99.999999999999986</v>
      </c>
      <c r="DC87">
        <v>83</v>
      </c>
      <c r="DD87" s="84">
        <v>73.490203525028392</v>
      </c>
      <c r="DE87" s="84">
        <v>3.5677856750256813</v>
      </c>
      <c r="DF87" s="84">
        <v>-15.712967557230355</v>
      </c>
      <c r="DG87" s="84">
        <v>73.221872382240491</v>
      </c>
      <c r="DH87" s="84">
        <v>3.6719068983163203</v>
      </c>
      <c r="DI87" s="84">
        <v>-16.506684354585431</v>
      </c>
      <c r="DJ87" s="84">
        <v>0.8442921210890213</v>
      </c>
      <c r="DK87" s="84">
        <f t="shared" si="118"/>
        <v>0.71282918573299858</v>
      </c>
      <c r="DL87" s="84">
        <f t="shared" si="119"/>
        <v>4.935663248553757</v>
      </c>
      <c r="DM87" s="84">
        <f t="shared" si="120"/>
        <v>282.7926732399597</v>
      </c>
      <c r="DN87" s="85">
        <v>7</v>
      </c>
      <c r="DO87">
        <v>3</v>
      </c>
      <c r="DP87">
        <f t="shared" si="131"/>
        <v>292.5</v>
      </c>
      <c r="DQ87" s="270">
        <v>7.6536686473018003</v>
      </c>
      <c r="DR87" s="270">
        <v>-18.477590650225732</v>
      </c>
    </row>
    <row r="88" spans="1:122">
      <c r="A88">
        <v>775</v>
      </c>
      <c r="B88" s="90">
        <f>'Color metric'!B82</f>
        <v>3.0611337225072678E-2</v>
      </c>
      <c r="C88" s="82">
        <f>Reference!N88</f>
        <v>8.1307129202256299</v>
      </c>
      <c r="D88" s="82"/>
      <c r="E88" s="137" t="s">
        <v>157</v>
      </c>
      <c r="F88" s="133">
        <f t="shared" ref="F88:BQ88" si="132">((400*(F59*F82/100)^0.42)/(((F59*F82/100)^0.42)+27.13))+0.1</f>
        <v>13.047263118560837</v>
      </c>
      <c r="G88" s="133">
        <f t="shared" si="132"/>
        <v>11.002335584838754</v>
      </c>
      <c r="H88" s="133">
        <f t="shared" si="132"/>
        <v>8.0737869973202496</v>
      </c>
      <c r="I88" s="133">
        <f t="shared" si="132"/>
        <v>4.2773592646188643</v>
      </c>
      <c r="J88" s="133">
        <f t="shared" si="132"/>
        <v>8.8413607875386564</v>
      </c>
      <c r="K88" s="133">
        <f t="shared" si="132"/>
        <v>6.6921743693266178</v>
      </c>
      <c r="L88" s="133">
        <f t="shared" si="132"/>
        <v>6.5365707610972867</v>
      </c>
      <c r="M88" s="133">
        <f t="shared" si="132"/>
        <v>5.7956966921745705</v>
      </c>
      <c r="N88" s="133">
        <f t="shared" si="132"/>
        <v>5.6634245563550776</v>
      </c>
      <c r="O88" s="133">
        <f t="shared" si="132"/>
        <v>3.8866597160403851</v>
      </c>
      <c r="P88" s="133">
        <f t="shared" si="132"/>
        <v>9.7928874912175985</v>
      </c>
      <c r="Q88" s="133">
        <f t="shared" si="132"/>
        <v>7.5732545084847853</v>
      </c>
      <c r="R88" s="133">
        <f t="shared" si="132"/>
        <v>8.3847031551400679</v>
      </c>
      <c r="S88" s="133">
        <f t="shared" si="132"/>
        <v>5.7126814670342849</v>
      </c>
      <c r="T88" s="133">
        <f t="shared" si="132"/>
        <v>9.2928440890782102</v>
      </c>
      <c r="U88" s="133">
        <f t="shared" si="132"/>
        <v>9.0431773588371254</v>
      </c>
      <c r="V88" s="133">
        <f t="shared" si="132"/>
        <v>6.2259853661562961</v>
      </c>
      <c r="W88" s="133">
        <f t="shared" si="132"/>
        <v>6.4095433658869494</v>
      </c>
      <c r="X88" s="133">
        <f t="shared" si="132"/>
        <v>7.1563650599341804</v>
      </c>
      <c r="Y88" s="133">
        <f t="shared" si="132"/>
        <v>9.1066714033820038</v>
      </c>
      <c r="Z88" s="133">
        <f t="shared" si="132"/>
        <v>8.6491757752977101</v>
      </c>
      <c r="AA88" s="133">
        <f t="shared" si="132"/>
        <v>11.171139506167842</v>
      </c>
      <c r="AB88" s="133">
        <f t="shared" si="132"/>
        <v>10.11951752540673</v>
      </c>
      <c r="AC88" s="133">
        <f t="shared" si="132"/>
        <v>11.777159286228692</v>
      </c>
      <c r="AD88" s="133">
        <f t="shared" si="132"/>
        <v>11.7020934416541</v>
      </c>
      <c r="AE88" s="133">
        <f t="shared" si="132"/>
        <v>9.1107656538343189</v>
      </c>
      <c r="AF88" s="133">
        <f t="shared" si="132"/>
        <v>11.609998505526644</v>
      </c>
      <c r="AG88" s="133">
        <f t="shared" si="132"/>
        <v>9.1961290335143779</v>
      </c>
      <c r="AH88" s="133">
        <f t="shared" si="132"/>
        <v>5.3749072256208468</v>
      </c>
      <c r="AI88" s="133">
        <f t="shared" si="132"/>
        <v>11.139933855239439</v>
      </c>
      <c r="AJ88" s="133">
        <f t="shared" si="132"/>
        <v>8.0659639897963711</v>
      </c>
      <c r="AK88" s="133">
        <f t="shared" si="132"/>
        <v>11.377985650427579</v>
      </c>
      <c r="AL88" s="133">
        <f t="shared" si="132"/>
        <v>9.520810940260418</v>
      </c>
      <c r="AM88" s="133">
        <f t="shared" si="132"/>
        <v>11.509372367833407</v>
      </c>
      <c r="AN88" s="133">
        <f t="shared" si="132"/>
        <v>7.7880654922907375</v>
      </c>
      <c r="AO88" s="133">
        <f t="shared" si="132"/>
        <v>5.4118073470583754</v>
      </c>
      <c r="AP88" s="133">
        <f t="shared" si="132"/>
        <v>10.150585313761468</v>
      </c>
      <c r="AQ88" s="133">
        <f t="shared" si="132"/>
        <v>6.0491745232202412</v>
      </c>
      <c r="AR88" s="133">
        <f t="shared" si="132"/>
        <v>10.980121040162803</v>
      </c>
      <c r="AS88" s="133">
        <f t="shared" si="132"/>
        <v>4.5957417407348347</v>
      </c>
      <c r="AT88" s="133">
        <f t="shared" si="132"/>
        <v>6.2973747225439229</v>
      </c>
      <c r="AU88" s="133">
        <f t="shared" si="132"/>
        <v>11.224285055017662</v>
      </c>
      <c r="AV88" s="133">
        <f t="shared" si="132"/>
        <v>8.5045809834877204</v>
      </c>
      <c r="AW88" s="133">
        <f t="shared" si="132"/>
        <v>8.9915018546954606</v>
      </c>
      <c r="AX88" s="133">
        <f t="shared" si="132"/>
        <v>3.8506648488271065</v>
      </c>
      <c r="AY88" s="133">
        <f t="shared" si="132"/>
        <v>7.1949506617784822</v>
      </c>
      <c r="AZ88" s="133">
        <f t="shared" si="132"/>
        <v>8.2235445557624178</v>
      </c>
      <c r="BA88" s="133">
        <f t="shared" si="132"/>
        <v>8.6995869405758448</v>
      </c>
      <c r="BB88" s="133">
        <f t="shared" si="132"/>
        <v>9.6085321921573286</v>
      </c>
      <c r="BC88" s="133">
        <f t="shared" si="132"/>
        <v>5.7672027211181209</v>
      </c>
      <c r="BD88" s="133">
        <f t="shared" si="132"/>
        <v>6.7265249403068204</v>
      </c>
      <c r="BE88" s="133">
        <f t="shared" si="132"/>
        <v>7.2065148534471826</v>
      </c>
      <c r="BF88" s="133">
        <f t="shared" si="132"/>
        <v>5.15831539710251</v>
      </c>
      <c r="BG88" s="133">
        <f t="shared" si="132"/>
        <v>6.0209356105212057</v>
      </c>
      <c r="BH88" s="133">
        <f t="shared" si="132"/>
        <v>10.946191117581266</v>
      </c>
      <c r="BI88" s="133">
        <f t="shared" si="132"/>
        <v>10.433597316809205</v>
      </c>
      <c r="BJ88" s="133">
        <f t="shared" si="132"/>
        <v>8.6057206524143801</v>
      </c>
      <c r="BK88" s="133">
        <f t="shared" si="132"/>
        <v>6.9104081058948115</v>
      </c>
      <c r="BL88" s="133">
        <f t="shared" si="132"/>
        <v>6.4661348137835235</v>
      </c>
      <c r="BM88" s="133">
        <f t="shared" si="132"/>
        <v>10.91690927720845</v>
      </c>
      <c r="BN88" s="133">
        <f t="shared" si="132"/>
        <v>11.198782215567439</v>
      </c>
      <c r="BO88" s="133">
        <f t="shared" si="132"/>
        <v>9.5180163767629455</v>
      </c>
      <c r="BP88" s="133">
        <f t="shared" si="132"/>
        <v>8.304184943048627</v>
      </c>
      <c r="BQ88" s="133">
        <f t="shared" si="132"/>
        <v>4.5033253846947829</v>
      </c>
      <c r="BR88" s="133">
        <f t="shared" ref="BR88:DA88" si="133">((400*(BR59*BR82/100)^0.42)/(((BR59*BR82/100)^0.42)+27.13))+0.1</f>
        <v>7.0004908039144658</v>
      </c>
      <c r="BS88" s="133">
        <f t="shared" si="133"/>
        <v>4.9974813881682785</v>
      </c>
      <c r="BT88" s="133">
        <f t="shared" si="133"/>
        <v>5.4059953573209532</v>
      </c>
      <c r="BU88" s="133">
        <f t="shared" si="133"/>
        <v>5.7614832430259391</v>
      </c>
      <c r="BV88" s="133">
        <f t="shared" si="133"/>
        <v>7.7856387196348376</v>
      </c>
      <c r="BW88" s="133">
        <f t="shared" si="133"/>
        <v>6.6047800559355352</v>
      </c>
      <c r="BX88" s="133">
        <f t="shared" si="133"/>
        <v>8.8357068690802603</v>
      </c>
      <c r="BY88" s="133">
        <f t="shared" si="133"/>
        <v>4.4305074222357392</v>
      </c>
      <c r="BZ88" s="133">
        <f t="shared" si="133"/>
        <v>9.5496561665982256</v>
      </c>
      <c r="CA88" s="133">
        <f t="shared" si="133"/>
        <v>6.9231868333582911</v>
      </c>
      <c r="CB88" s="133">
        <f t="shared" si="133"/>
        <v>3.801791421938244</v>
      </c>
      <c r="CC88" s="133">
        <f t="shared" si="133"/>
        <v>4.2285295222077304</v>
      </c>
      <c r="CD88" s="133">
        <f t="shared" si="133"/>
        <v>5.8484868164008095</v>
      </c>
      <c r="CE88" s="133">
        <f t="shared" si="133"/>
        <v>5.5518068338061184</v>
      </c>
      <c r="CF88" s="133">
        <f t="shared" si="133"/>
        <v>5.4329611311823394</v>
      </c>
      <c r="CG88" s="133">
        <f t="shared" si="133"/>
        <v>9.1537555339251089</v>
      </c>
      <c r="CH88" s="133">
        <f t="shared" si="133"/>
        <v>8.1538617098730697</v>
      </c>
      <c r="CI88" s="133">
        <f t="shared" si="133"/>
        <v>5.5957505517870931</v>
      </c>
      <c r="CJ88" s="133">
        <f t="shared" si="133"/>
        <v>11.082992609231219</v>
      </c>
      <c r="CK88" s="133">
        <f t="shared" si="133"/>
        <v>9.1000366006179778</v>
      </c>
      <c r="CL88" s="133">
        <f t="shared" si="133"/>
        <v>3.8061411128829969</v>
      </c>
      <c r="CM88" s="133">
        <f t="shared" si="133"/>
        <v>5.302656961755515</v>
      </c>
      <c r="CN88" s="133">
        <f t="shared" si="133"/>
        <v>8.2199803341132505</v>
      </c>
      <c r="CO88" s="133">
        <f t="shared" si="133"/>
        <v>5.1558182385395828</v>
      </c>
      <c r="CP88" s="133">
        <f t="shared" si="133"/>
        <v>7.8706400487809001</v>
      </c>
      <c r="CQ88" s="133">
        <f t="shared" si="133"/>
        <v>5.0412926609113118</v>
      </c>
      <c r="CR88" s="133">
        <f t="shared" si="133"/>
        <v>5.6956849653458175</v>
      </c>
      <c r="CS88" s="133">
        <f t="shared" si="133"/>
        <v>10.156298702288341</v>
      </c>
      <c r="CT88" s="133">
        <f t="shared" si="133"/>
        <v>7.1673145202244992</v>
      </c>
      <c r="CU88" s="133">
        <f t="shared" si="133"/>
        <v>8.5014606728035851</v>
      </c>
      <c r="CV88" s="133">
        <f t="shared" si="133"/>
        <v>5.2810732418856894</v>
      </c>
      <c r="CW88" s="133">
        <f t="shared" si="133"/>
        <v>8.9310239801956737</v>
      </c>
      <c r="CX88" s="133">
        <f t="shared" si="133"/>
        <v>9.9927047804988032</v>
      </c>
      <c r="CY88" s="133">
        <f t="shared" si="133"/>
        <v>6.7373787209606952</v>
      </c>
      <c r="CZ88" s="133">
        <f t="shared" si="133"/>
        <v>8.3584656568925269</v>
      </c>
      <c r="DA88" s="133">
        <f t="shared" si="133"/>
        <v>6.9668077465837213</v>
      </c>
      <c r="DC88">
        <v>84</v>
      </c>
      <c r="DD88" s="84">
        <v>28.442837843051244</v>
      </c>
      <c r="DE88" s="84">
        <v>3.8951160693942106</v>
      </c>
      <c r="DF88" s="84">
        <v>-6.1783307958391456</v>
      </c>
      <c r="DG88" s="84">
        <v>27.979294175669402</v>
      </c>
      <c r="DH88" s="84">
        <v>4.5474360457535932</v>
      </c>
      <c r="DI88" s="84">
        <v>-7.5270458411791079</v>
      </c>
      <c r="DJ88" s="84">
        <v>1.5682558326541272</v>
      </c>
      <c r="DK88" s="84">
        <f t="shared" si="118"/>
        <v>2.4594263566536898</v>
      </c>
      <c r="DL88" s="84">
        <f t="shared" si="119"/>
        <v>5.2748963436671543</v>
      </c>
      <c r="DM88" s="84">
        <f t="shared" si="120"/>
        <v>302.2292978611174</v>
      </c>
      <c r="DN88" s="85">
        <v>7</v>
      </c>
      <c r="DO88">
        <v>6</v>
      </c>
      <c r="DP88">
        <f t="shared" si="131"/>
        <v>292.5</v>
      </c>
      <c r="DQ88" s="270">
        <v>7.6536686473018003</v>
      </c>
      <c r="DR88" s="270">
        <v>-18.477590650225732</v>
      </c>
    </row>
    <row r="89" spans="1:122">
      <c r="A89">
        <v>780</v>
      </c>
      <c r="B89" s="90">
        <f>'Color metric'!B83</f>
        <v>2.7176764262350855E-2</v>
      </c>
      <c r="C89" s="82">
        <f>Reference!N89</f>
        <v>8.1647180177564618</v>
      </c>
      <c r="D89" s="82"/>
      <c r="E89" s="137" t="s">
        <v>158</v>
      </c>
      <c r="F89" s="133">
        <f t="shared" ref="F89:BQ89" si="134">((400*(F59*F83/100)^0.42)/(((F59*F83/100)^0.42)+27.13))+0.1</f>
        <v>13.047210500554204</v>
      </c>
      <c r="G89" s="133">
        <f t="shared" si="134"/>
        <v>10.601086536593542</v>
      </c>
      <c r="H89" s="133">
        <f t="shared" si="134"/>
        <v>7.1736849602754624</v>
      </c>
      <c r="I89" s="133">
        <f t="shared" si="134"/>
        <v>4.0012704356013371</v>
      </c>
      <c r="J89" s="133">
        <f t="shared" si="134"/>
        <v>8.2688054552124601</v>
      </c>
      <c r="K89" s="133">
        <f t="shared" si="134"/>
        <v>5.6712669071819022</v>
      </c>
      <c r="L89" s="133">
        <f t="shared" si="134"/>
        <v>6.0827322616847326</v>
      </c>
      <c r="M89" s="133">
        <f t="shared" si="134"/>
        <v>4.8804567352578889</v>
      </c>
      <c r="N89" s="133">
        <f t="shared" si="134"/>
        <v>4.8446781585973371</v>
      </c>
      <c r="O89" s="133">
        <f t="shared" si="134"/>
        <v>3.844417407456385</v>
      </c>
      <c r="P89" s="133">
        <f t="shared" si="134"/>
        <v>8.6553876863797257</v>
      </c>
      <c r="Q89" s="133">
        <f t="shared" si="134"/>
        <v>6.5524664325646711</v>
      </c>
      <c r="R89" s="133">
        <f t="shared" si="134"/>
        <v>7.2263717920116362</v>
      </c>
      <c r="S89" s="133">
        <f t="shared" si="134"/>
        <v>5.1610407967226468</v>
      </c>
      <c r="T89" s="133">
        <f t="shared" si="134"/>
        <v>9.1083659294008577</v>
      </c>
      <c r="U89" s="133">
        <f t="shared" si="134"/>
        <v>8.6395016003856178</v>
      </c>
      <c r="V89" s="133">
        <f t="shared" si="134"/>
        <v>5.6647289054664141</v>
      </c>
      <c r="W89" s="133">
        <f t="shared" si="134"/>
        <v>5.8983910471229262</v>
      </c>
      <c r="X89" s="133">
        <f t="shared" si="134"/>
        <v>6.7644994621213836</v>
      </c>
      <c r="Y89" s="133">
        <f t="shared" si="134"/>
        <v>8.4560836433635558</v>
      </c>
      <c r="Z89" s="133">
        <f t="shared" si="134"/>
        <v>7.7563439598562969</v>
      </c>
      <c r="AA89" s="133">
        <f t="shared" si="134"/>
        <v>10.380275266842844</v>
      </c>
      <c r="AB89" s="133">
        <f t="shared" si="134"/>
        <v>9.301319227914723</v>
      </c>
      <c r="AC89" s="133">
        <f t="shared" si="134"/>
        <v>11.561670308198932</v>
      </c>
      <c r="AD89" s="133">
        <f t="shared" si="134"/>
        <v>11.223924352194857</v>
      </c>
      <c r="AE89" s="133">
        <f t="shared" si="134"/>
        <v>8.4788080191660651</v>
      </c>
      <c r="AF89" s="133">
        <f t="shared" si="134"/>
        <v>11.049119642364403</v>
      </c>
      <c r="AG89" s="133">
        <f t="shared" si="134"/>
        <v>9.0226737045412726</v>
      </c>
      <c r="AH89" s="133">
        <f t="shared" si="134"/>
        <v>5.2431117751453149</v>
      </c>
      <c r="AI89" s="133">
        <f t="shared" si="134"/>
        <v>10.740724071931526</v>
      </c>
      <c r="AJ89" s="133">
        <f t="shared" si="134"/>
        <v>7.8701135443044894</v>
      </c>
      <c r="AK89" s="133">
        <f t="shared" si="134"/>
        <v>11.024726909821039</v>
      </c>
      <c r="AL89" s="133">
        <f t="shared" si="134"/>
        <v>9.1748887556754202</v>
      </c>
      <c r="AM89" s="133">
        <f t="shared" si="134"/>
        <v>11.303657685948744</v>
      </c>
      <c r="AN89" s="133">
        <f t="shared" si="134"/>
        <v>7.5715191786607932</v>
      </c>
      <c r="AO89" s="133">
        <f t="shared" si="134"/>
        <v>5.339337166143431</v>
      </c>
      <c r="AP89" s="133">
        <f t="shared" si="134"/>
        <v>10.09557849168395</v>
      </c>
      <c r="AQ89" s="133">
        <f t="shared" si="134"/>
        <v>5.988907017260428</v>
      </c>
      <c r="AR89" s="133">
        <f t="shared" si="134"/>
        <v>10.889338624167387</v>
      </c>
      <c r="AS89" s="133">
        <f t="shared" si="134"/>
        <v>4.5857344000289695</v>
      </c>
      <c r="AT89" s="133">
        <f t="shared" si="134"/>
        <v>6.2808269592113151</v>
      </c>
      <c r="AU89" s="133">
        <f t="shared" si="134"/>
        <v>11.223064127203948</v>
      </c>
      <c r="AV89" s="133">
        <f t="shared" si="134"/>
        <v>8.6320361640958403</v>
      </c>
      <c r="AW89" s="133">
        <f t="shared" si="134"/>
        <v>9.1387673581116236</v>
      </c>
      <c r="AX89" s="133">
        <f t="shared" si="134"/>
        <v>3.8534052621540833</v>
      </c>
      <c r="AY89" s="133">
        <f t="shared" si="134"/>
        <v>7.41310724927924</v>
      </c>
      <c r="AZ89" s="133">
        <f t="shared" si="134"/>
        <v>8.3894432164642598</v>
      </c>
      <c r="BA89" s="133">
        <f t="shared" si="134"/>
        <v>8.7957229232707892</v>
      </c>
      <c r="BB89" s="133">
        <f t="shared" si="134"/>
        <v>9.9178014775723593</v>
      </c>
      <c r="BC89" s="133">
        <f t="shared" si="134"/>
        <v>5.9946359066261099</v>
      </c>
      <c r="BD89" s="133">
        <f t="shared" si="134"/>
        <v>7.004661156655942</v>
      </c>
      <c r="BE89" s="133">
        <f t="shared" si="134"/>
        <v>7.4487197375461101</v>
      </c>
      <c r="BF89" s="133">
        <f t="shared" si="134"/>
        <v>5.4837480415490143</v>
      </c>
      <c r="BG89" s="133">
        <f t="shared" si="134"/>
        <v>6.6342424753035312</v>
      </c>
      <c r="BH89" s="133">
        <f t="shared" si="134"/>
        <v>11.237184315376131</v>
      </c>
      <c r="BI89" s="133">
        <f t="shared" si="134"/>
        <v>10.777289361003277</v>
      </c>
      <c r="BJ89" s="133">
        <f t="shared" si="134"/>
        <v>9.3094898596307036</v>
      </c>
      <c r="BK89" s="133">
        <f t="shared" si="134"/>
        <v>7.6431113900416188</v>
      </c>
      <c r="BL89" s="133">
        <f t="shared" si="134"/>
        <v>7.1955463323403999</v>
      </c>
      <c r="BM89" s="133">
        <f t="shared" si="134"/>
        <v>11.219220969079601</v>
      </c>
      <c r="BN89" s="133">
        <f t="shared" si="134"/>
        <v>11.308604658762723</v>
      </c>
      <c r="BO89" s="133">
        <f t="shared" si="134"/>
        <v>9.7954540729171846</v>
      </c>
      <c r="BP89" s="133">
        <f t="shared" si="134"/>
        <v>8.4075550621957404</v>
      </c>
      <c r="BQ89" s="133">
        <f t="shared" si="134"/>
        <v>4.5344517891452822</v>
      </c>
      <c r="BR89" s="133">
        <f t="shared" ref="BR89:DA89" si="135">((400*(BR59*BR83/100)^0.42)/(((BR59*BR83/100)^0.42)+27.13))+0.1</f>
        <v>7.7643280036667006</v>
      </c>
      <c r="BS89" s="133">
        <f t="shared" si="135"/>
        <v>5.3493566692651955</v>
      </c>
      <c r="BT89" s="133">
        <f t="shared" si="135"/>
        <v>6.0558494697021041</v>
      </c>
      <c r="BU89" s="133">
        <f t="shared" si="135"/>
        <v>6.4526111235872046</v>
      </c>
      <c r="BV89" s="133">
        <f t="shared" si="135"/>
        <v>8.2085951865145255</v>
      </c>
      <c r="BW89" s="133">
        <f t="shared" si="135"/>
        <v>6.7665925498423816</v>
      </c>
      <c r="BX89" s="133">
        <f t="shared" si="135"/>
        <v>9.365323664028006</v>
      </c>
      <c r="BY89" s="133">
        <f t="shared" si="135"/>
        <v>4.8236789936096862</v>
      </c>
      <c r="BZ89" s="133">
        <f t="shared" si="135"/>
        <v>9.6799670839822749</v>
      </c>
      <c r="CA89" s="133">
        <f t="shared" si="135"/>
        <v>7.6020053999271786</v>
      </c>
      <c r="CB89" s="133">
        <f t="shared" si="135"/>
        <v>3.8264548873760029</v>
      </c>
      <c r="CC89" s="133">
        <f t="shared" si="135"/>
        <v>4.5727756781318059</v>
      </c>
      <c r="CD89" s="133">
        <f t="shared" si="135"/>
        <v>6.4099001401608113</v>
      </c>
      <c r="CE89" s="133">
        <f t="shared" si="135"/>
        <v>5.8601438015300529</v>
      </c>
      <c r="CF89" s="133">
        <f t="shared" si="135"/>
        <v>5.9274189470275855</v>
      </c>
      <c r="CG89" s="133">
        <f t="shared" si="135"/>
        <v>9.3483972090790655</v>
      </c>
      <c r="CH89" s="133">
        <f t="shared" si="135"/>
        <v>8.299792657943188</v>
      </c>
      <c r="CI89" s="133">
        <f t="shared" si="135"/>
        <v>5.7163467339083702</v>
      </c>
      <c r="CJ89" s="133">
        <f t="shared" si="135"/>
        <v>11.120644239764449</v>
      </c>
      <c r="CK89" s="133">
        <f t="shared" si="135"/>
        <v>9.1476920333975134</v>
      </c>
      <c r="CL89" s="133">
        <f t="shared" si="135"/>
        <v>3.7906050609840101</v>
      </c>
      <c r="CM89" s="133">
        <f t="shared" si="135"/>
        <v>5.2821671043896972</v>
      </c>
      <c r="CN89" s="133">
        <f t="shared" si="135"/>
        <v>8.1846836561323446</v>
      </c>
      <c r="CO89" s="133">
        <f t="shared" si="135"/>
        <v>5.0533680428519672</v>
      </c>
      <c r="CP89" s="133">
        <f t="shared" si="135"/>
        <v>7.6341396849936913</v>
      </c>
      <c r="CQ89" s="133">
        <f t="shared" si="135"/>
        <v>4.8204856059780266</v>
      </c>
      <c r="CR89" s="133">
        <f t="shared" si="135"/>
        <v>5.4040102991904817</v>
      </c>
      <c r="CS89" s="133">
        <f t="shared" si="135"/>
        <v>10.114159688299889</v>
      </c>
      <c r="CT89" s="133">
        <f t="shared" si="135"/>
        <v>6.9237381331636216</v>
      </c>
      <c r="CU89" s="133">
        <f t="shared" si="135"/>
        <v>8.2907065045150379</v>
      </c>
      <c r="CV89" s="133">
        <f t="shared" si="135"/>
        <v>4.864565719192167</v>
      </c>
      <c r="CW89" s="133">
        <f t="shared" si="135"/>
        <v>8.5926501562610724</v>
      </c>
      <c r="CX89" s="133">
        <f t="shared" si="135"/>
        <v>9.6567782946301719</v>
      </c>
      <c r="CY89" s="133">
        <f t="shared" si="135"/>
        <v>6.244287456536326</v>
      </c>
      <c r="CZ89" s="133">
        <f t="shared" si="135"/>
        <v>7.5613842282642318</v>
      </c>
      <c r="DA89" s="133">
        <f t="shared" si="135"/>
        <v>6.1213836821639092</v>
      </c>
      <c r="DC89">
        <v>85</v>
      </c>
      <c r="DD89" s="84">
        <v>41.9108165231237</v>
      </c>
      <c r="DE89" s="84">
        <v>6.2332635408307917</v>
      </c>
      <c r="DF89" s="84">
        <v>-11.742701216227527</v>
      </c>
      <c r="DG89" s="84">
        <v>41.209010208214288</v>
      </c>
      <c r="DH89" s="84">
        <v>5.4600179611139215</v>
      </c>
      <c r="DI89" s="84">
        <v>-14.64324157721909</v>
      </c>
      <c r="DJ89" s="84">
        <v>3.0827869235384195</v>
      </c>
      <c r="DK89" s="84">
        <f t="shared" si="118"/>
        <v>9.503575215939474</v>
      </c>
      <c r="DL89" s="84">
        <f t="shared" si="119"/>
        <v>5.2003877089722774</v>
      </c>
      <c r="DM89" s="84">
        <f t="shared" si="120"/>
        <v>297.96026755581892</v>
      </c>
      <c r="DN89" s="85">
        <v>7</v>
      </c>
      <c r="DO89">
        <v>1</v>
      </c>
      <c r="DP89">
        <f t="shared" si="131"/>
        <v>292.5</v>
      </c>
      <c r="DQ89" s="270">
        <v>7.6536686473018003</v>
      </c>
      <c r="DR89" s="270">
        <v>-18.477590650225732</v>
      </c>
    </row>
    <row r="90" spans="1:122">
      <c r="A90" s="228">
        <v>785</v>
      </c>
      <c r="B90" s="230">
        <v>0</v>
      </c>
      <c r="C90" s="229">
        <f>Reference!N90</f>
        <v>0</v>
      </c>
      <c r="D90" s="82"/>
      <c r="E90" s="137" t="s">
        <v>159</v>
      </c>
      <c r="F90" s="133">
        <f t="shared" ref="F90:BQ90" si="136">((400*(F59*F84/100)^0.42)/(((F59*F84/100)^0.42)+27.13))+0.1</f>
        <v>13.047210500554202</v>
      </c>
      <c r="G90" s="133">
        <f t="shared" si="136"/>
        <v>10.657327410503008</v>
      </c>
      <c r="H90" s="133">
        <f t="shared" si="136"/>
        <v>7.08039517037904</v>
      </c>
      <c r="I90" s="133">
        <f t="shared" si="136"/>
        <v>3.9384067241111813</v>
      </c>
      <c r="J90" s="133">
        <f t="shared" si="136"/>
        <v>7.8540595163056208</v>
      </c>
      <c r="K90" s="133">
        <f t="shared" si="136"/>
        <v>4.9871270302983675</v>
      </c>
      <c r="L90" s="133">
        <f t="shared" si="136"/>
        <v>5.6188113760178799</v>
      </c>
      <c r="M90" s="133">
        <f t="shared" si="136"/>
        <v>4.0598900221376679</v>
      </c>
      <c r="N90" s="133">
        <f t="shared" si="136"/>
        <v>4.1171081635374271</v>
      </c>
      <c r="O90" s="133">
        <f t="shared" si="136"/>
        <v>3.8231476875799228</v>
      </c>
      <c r="P90" s="133">
        <f t="shared" si="136"/>
        <v>6.6200024503274308</v>
      </c>
      <c r="Q90" s="133">
        <f t="shared" si="136"/>
        <v>4.5374641588667188</v>
      </c>
      <c r="R90" s="133">
        <f t="shared" si="136"/>
        <v>4.9017657393773026</v>
      </c>
      <c r="S90" s="133">
        <f t="shared" si="136"/>
        <v>3.8867549191724788</v>
      </c>
      <c r="T90" s="133">
        <f t="shared" si="136"/>
        <v>8.618596140690574</v>
      </c>
      <c r="U90" s="133">
        <f t="shared" si="136"/>
        <v>7.6473671572163697</v>
      </c>
      <c r="V90" s="133">
        <f t="shared" si="136"/>
        <v>4.1284429856340061</v>
      </c>
      <c r="W90" s="133">
        <f t="shared" si="136"/>
        <v>4.2646799596364122</v>
      </c>
      <c r="X90" s="133">
        <f t="shared" si="136"/>
        <v>5.5143371257674554</v>
      </c>
      <c r="Y90" s="133">
        <f t="shared" si="136"/>
        <v>5.7407694829341471</v>
      </c>
      <c r="Z90" s="133">
        <f t="shared" si="136"/>
        <v>4.336134098376129</v>
      </c>
      <c r="AA90" s="133">
        <f t="shared" si="136"/>
        <v>6.6617551094755951</v>
      </c>
      <c r="AB90" s="133">
        <f t="shared" si="136"/>
        <v>5.5587140159492883</v>
      </c>
      <c r="AC90" s="133">
        <f t="shared" si="136"/>
        <v>10.251641165793217</v>
      </c>
      <c r="AD90" s="133">
        <f t="shared" si="136"/>
        <v>8.1281263956608818</v>
      </c>
      <c r="AE90" s="133">
        <f t="shared" si="136"/>
        <v>4.2800697253445623</v>
      </c>
      <c r="AF90" s="133">
        <f t="shared" si="136"/>
        <v>7.1864483435665809</v>
      </c>
      <c r="AG90" s="133">
        <f t="shared" si="136"/>
        <v>7.4616438314322746</v>
      </c>
      <c r="AH90" s="133">
        <f t="shared" si="136"/>
        <v>3.873062282201353</v>
      </c>
      <c r="AI90" s="133">
        <f t="shared" si="136"/>
        <v>6.9211384118714863</v>
      </c>
      <c r="AJ90" s="133">
        <f t="shared" si="136"/>
        <v>6.1331212492618761</v>
      </c>
      <c r="AK90" s="133">
        <f t="shared" si="136"/>
        <v>7.1847646856345477</v>
      </c>
      <c r="AL90" s="133">
        <f t="shared" si="136"/>
        <v>5.1233961791882292</v>
      </c>
      <c r="AM90" s="133">
        <f t="shared" si="136"/>
        <v>9.0053759227086108</v>
      </c>
      <c r="AN90" s="133">
        <f t="shared" si="136"/>
        <v>4.2930633151102917</v>
      </c>
      <c r="AO90" s="133">
        <f t="shared" si="136"/>
        <v>3.9989700578641201</v>
      </c>
      <c r="AP90" s="133">
        <f t="shared" si="136"/>
        <v>9.4367108499259249</v>
      </c>
      <c r="AQ90" s="133">
        <f t="shared" si="136"/>
        <v>4.1974863936840805</v>
      </c>
      <c r="AR90" s="133">
        <f t="shared" si="136"/>
        <v>9.0675406467702011</v>
      </c>
      <c r="AS90" s="133">
        <f t="shared" si="136"/>
        <v>4.0814111569328055</v>
      </c>
      <c r="AT90" s="133">
        <f t="shared" si="136"/>
        <v>5.1053063295216559</v>
      </c>
      <c r="AU90" s="133">
        <f t="shared" si="136"/>
        <v>10.420642155701291</v>
      </c>
      <c r="AV90" s="133">
        <f t="shared" si="136"/>
        <v>5.1142614919546823</v>
      </c>
      <c r="AW90" s="133">
        <f t="shared" si="136"/>
        <v>5.4382625029528588</v>
      </c>
      <c r="AX90" s="133">
        <f t="shared" si="136"/>
        <v>3.7803572917448873</v>
      </c>
      <c r="AY90" s="133">
        <f t="shared" si="136"/>
        <v>5.1650182006711658</v>
      </c>
      <c r="AZ90" s="133">
        <f t="shared" si="136"/>
        <v>6.6736472728228859</v>
      </c>
      <c r="BA90" s="133">
        <f t="shared" si="136"/>
        <v>7.6699305624501433</v>
      </c>
      <c r="BB90" s="133">
        <f t="shared" si="136"/>
        <v>8.1858858525662761</v>
      </c>
      <c r="BC90" s="133">
        <f t="shared" si="136"/>
        <v>4.6593074180954517</v>
      </c>
      <c r="BD90" s="133">
        <f t="shared" si="136"/>
        <v>6.2124403594953508</v>
      </c>
      <c r="BE90" s="133">
        <f t="shared" si="136"/>
        <v>6.7990143068244171</v>
      </c>
      <c r="BF90" s="133">
        <f t="shared" si="136"/>
        <v>4.646013953786059</v>
      </c>
      <c r="BG90" s="133">
        <f t="shared" si="136"/>
        <v>5.8813990417739301</v>
      </c>
      <c r="BH90" s="133">
        <f t="shared" si="136"/>
        <v>11.110487669670526</v>
      </c>
      <c r="BI90" s="133">
        <f t="shared" si="136"/>
        <v>10.754698974377032</v>
      </c>
      <c r="BJ90" s="133">
        <f t="shared" si="136"/>
        <v>9.2702596979727332</v>
      </c>
      <c r="BK90" s="133">
        <f t="shared" si="136"/>
        <v>7.6123475792562934</v>
      </c>
      <c r="BL90" s="133">
        <f t="shared" si="136"/>
        <v>7.3813310407652422</v>
      </c>
      <c r="BM90" s="133">
        <f t="shared" si="136"/>
        <v>11.306945662874428</v>
      </c>
      <c r="BN90" s="133">
        <f t="shared" si="136"/>
        <v>11.417573164811319</v>
      </c>
      <c r="BO90" s="133">
        <f t="shared" si="136"/>
        <v>10.059330762617538</v>
      </c>
      <c r="BP90" s="133">
        <f t="shared" si="136"/>
        <v>8.5799059025250539</v>
      </c>
      <c r="BQ90" s="133">
        <f t="shared" si="136"/>
        <v>4.6218437098710634</v>
      </c>
      <c r="BR90" s="133">
        <f t="shared" ref="BR90:DA90" si="137">((400*(BR59*BR84/100)^0.42)/(((BR59*BR84/100)^0.42)+27.13))+0.1</f>
        <v>8.8440660943533214</v>
      </c>
      <c r="BS90" s="133">
        <f t="shared" si="137"/>
        <v>5.9166118653076962</v>
      </c>
      <c r="BT90" s="133">
        <f t="shared" si="137"/>
        <v>7.2843887625980468</v>
      </c>
      <c r="BU90" s="133">
        <f t="shared" si="137"/>
        <v>7.8560448633241036</v>
      </c>
      <c r="BV90" s="133">
        <f t="shared" si="137"/>
        <v>9.2570274016226701</v>
      </c>
      <c r="BW90" s="133">
        <f t="shared" si="137"/>
        <v>7.3356437643191255</v>
      </c>
      <c r="BX90" s="133">
        <f t="shared" si="137"/>
        <v>11.087745199507673</v>
      </c>
      <c r="BY90" s="133">
        <f t="shared" si="137"/>
        <v>6.2425217644572841</v>
      </c>
      <c r="BZ90" s="133">
        <f t="shared" si="137"/>
        <v>10.135701206740261</v>
      </c>
      <c r="CA90" s="133">
        <f t="shared" si="137"/>
        <v>9.9213108390399913</v>
      </c>
      <c r="CB90" s="133">
        <f t="shared" si="137"/>
        <v>3.9647365010096141</v>
      </c>
      <c r="CC90" s="133">
        <f t="shared" si="137"/>
        <v>6.1112710365533118</v>
      </c>
      <c r="CD90" s="133">
        <f t="shared" si="137"/>
        <v>9.2711109477899942</v>
      </c>
      <c r="CE90" s="133">
        <f t="shared" si="137"/>
        <v>7.601880655697161</v>
      </c>
      <c r="CF90" s="133">
        <f t="shared" si="137"/>
        <v>8.6835807663974247</v>
      </c>
      <c r="CG90" s="133">
        <f t="shared" si="137"/>
        <v>10.832110375093082</v>
      </c>
      <c r="CH90" s="133">
        <f t="shared" si="137"/>
        <v>10.14966603146682</v>
      </c>
      <c r="CI90" s="133">
        <f t="shared" si="137"/>
        <v>8.059907718935138</v>
      </c>
      <c r="CJ90" s="133">
        <f t="shared" si="137"/>
        <v>11.742244288779293</v>
      </c>
      <c r="CK90" s="133">
        <f t="shared" si="137"/>
        <v>10.355507299504875</v>
      </c>
      <c r="CL90" s="133">
        <f t="shared" si="137"/>
        <v>4.1285638841823076</v>
      </c>
      <c r="CM90" s="133">
        <f t="shared" si="137"/>
        <v>6.0842956355478934</v>
      </c>
      <c r="CN90" s="133">
        <f t="shared" si="137"/>
        <v>10.07000137811654</v>
      </c>
      <c r="CO90" s="133">
        <f t="shared" si="137"/>
        <v>6.8384047362051579</v>
      </c>
      <c r="CP90" s="133">
        <f t="shared" si="137"/>
        <v>9.2753653229714406</v>
      </c>
      <c r="CQ90" s="133">
        <f t="shared" si="137"/>
        <v>6.1204986597584554</v>
      </c>
      <c r="CR90" s="133">
        <f t="shared" si="137"/>
        <v>6.8791874976737182</v>
      </c>
      <c r="CS90" s="133">
        <f t="shared" si="137"/>
        <v>10.22707917509446</v>
      </c>
      <c r="CT90" s="133">
        <f t="shared" si="137"/>
        <v>7.6972769519320998</v>
      </c>
      <c r="CU90" s="133">
        <f t="shared" si="137"/>
        <v>8.8965705789523053</v>
      </c>
      <c r="CV90" s="133">
        <f t="shared" si="137"/>
        <v>5.6923220759296571</v>
      </c>
      <c r="CW90" s="133">
        <f t="shared" si="137"/>
        <v>9.2231227710367385</v>
      </c>
      <c r="CX90" s="133">
        <f t="shared" si="137"/>
        <v>10.209531609726707</v>
      </c>
      <c r="CY90" s="133">
        <f t="shared" si="137"/>
        <v>6.8005443860033505</v>
      </c>
      <c r="CZ90" s="133">
        <f t="shared" si="137"/>
        <v>7.9739648152416969</v>
      </c>
      <c r="DA90" s="133">
        <f t="shared" si="137"/>
        <v>6.5348776162363666</v>
      </c>
      <c r="DC90">
        <v>86</v>
      </c>
      <c r="DD90" s="84">
        <v>66.562195893728827</v>
      </c>
      <c r="DE90" s="84">
        <v>10.075987920046504</v>
      </c>
      <c r="DF90" s="84">
        <v>-20.232863114813679</v>
      </c>
      <c r="DG90" s="84">
        <v>65.223493098757601</v>
      </c>
      <c r="DH90" s="84">
        <v>7.8317521555093323</v>
      </c>
      <c r="DI90" s="84">
        <v>-22.531565127561684</v>
      </c>
      <c r="DJ90" s="84">
        <v>3.4803376680292457</v>
      </c>
      <c r="DK90" s="84">
        <f t="shared" si="118"/>
        <v>12.112750283503248</v>
      </c>
      <c r="DL90" s="84">
        <f t="shared" si="119"/>
        <v>5.1744361845115661</v>
      </c>
      <c r="DM90" s="84">
        <f t="shared" si="120"/>
        <v>296.47335473228964</v>
      </c>
      <c r="DN90" s="85">
        <v>7</v>
      </c>
      <c r="DO90">
        <v>3</v>
      </c>
      <c r="DP90">
        <f t="shared" si="131"/>
        <v>292.5</v>
      </c>
      <c r="DQ90" s="270">
        <v>7.6536686473018003</v>
      </c>
      <c r="DR90" s="270">
        <v>-18.477590650225732</v>
      </c>
    </row>
    <row r="91" spans="1:122">
      <c r="A91" s="228">
        <v>790</v>
      </c>
      <c r="B91" s="230">
        <f t="shared" ref="B91:B99" si="138">B90</f>
        <v>0</v>
      </c>
      <c r="C91" s="229">
        <f>Reference!N91</f>
        <v>0</v>
      </c>
      <c r="D91" s="82"/>
      <c r="E91" s="137" t="s">
        <v>160</v>
      </c>
      <c r="F91" s="133">
        <f t="shared" ref="F91:BQ91" si="139">((400*(F59*F85/100)^0.42)/(((F59*F85/100)^0.42)+27.13))+0.1</f>
        <v>13.047263118560837</v>
      </c>
      <c r="G91" s="133">
        <f t="shared" si="139"/>
        <v>13.047263118560837</v>
      </c>
      <c r="H91" s="133">
        <f t="shared" si="139"/>
        <v>13.047263118560837</v>
      </c>
      <c r="I91" s="133">
        <f t="shared" si="139"/>
        <v>13.047263118560837</v>
      </c>
      <c r="J91" s="133">
        <f t="shared" si="139"/>
        <v>13.047263118560837</v>
      </c>
      <c r="K91" s="133">
        <f t="shared" si="139"/>
        <v>13.047263118560837</v>
      </c>
      <c r="L91" s="133">
        <f t="shared" si="139"/>
        <v>13.047263118560837</v>
      </c>
      <c r="M91" s="133">
        <f t="shared" si="139"/>
        <v>13.047263118560837</v>
      </c>
      <c r="N91" s="133">
        <f t="shared" si="139"/>
        <v>13.047263118560837</v>
      </c>
      <c r="O91" s="133">
        <f t="shared" si="139"/>
        <v>13.047263118560837</v>
      </c>
      <c r="P91" s="133">
        <f t="shared" si="139"/>
        <v>13.047263118560837</v>
      </c>
      <c r="Q91" s="133">
        <f t="shared" si="139"/>
        <v>13.047263118560837</v>
      </c>
      <c r="R91" s="133">
        <f t="shared" si="139"/>
        <v>13.047263118560837</v>
      </c>
      <c r="S91" s="133">
        <f t="shared" si="139"/>
        <v>13.047263118560837</v>
      </c>
      <c r="T91" s="133">
        <f t="shared" si="139"/>
        <v>13.047263118560837</v>
      </c>
      <c r="U91" s="133">
        <f t="shared" si="139"/>
        <v>13.047263118560837</v>
      </c>
      <c r="V91" s="133">
        <f t="shared" si="139"/>
        <v>13.047263118560837</v>
      </c>
      <c r="W91" s="133">
        <f t="shared" si="139"/>
        <v>13.047263118560837</v>
      </c>
      <c r="X91" s="133">
        <f t="shared" si="139"/>
        <v>13.047263118560837</v>
      </c>
      <c r="Y91" s="133">
        <f t="shared" si="139"/>
        <v>13.047263118560837</v>
      </c>
      <c r="Z91" s="133">
        <f t="shared" si="139"/>
        <v>13.047263118560837</v>
      </c>
      <c r="AA91" s="133">
        <f t="shared" si="139"/>
        <v>13.047263118560837</v>
      </c>
      <c r="AB91" s="133">
        <f t="shared" si="139"/>
        <v>13.047263118560837</v>
      </c>
      <c r="AC91" s="133">
        <f t="shared" si="139"/>
        <v>13.047263118560837</v>
      </c>
      <c r="AD91" s="133">
        <f t="shared" si="139"/>
        <v>13.047263118560837</v>
      </c>
      <c r="AE91" s="133">
        <f t="shared" si="139"/>
        <v>13.047263118560837</v>
      </c>
      <c r="AF91" s="133">
        <f t="shared" si="139"/>
        <v>13.047263118560837</v>
      </c>
      <c r="AG91" s="133">
        <f t="shared" si="139"/>
        <v>13.047263118560837</v>
      </c>
      <c r="AH91" s="133">
        <f t="shared" si="139"/>
        <v>13.047263118560837</v>
      </c>
      <c r="AI91" s="133">
        <f t="shared" si="139"/>
        <v>13.047263118560837</v>
      </c>
      <c r="AJ91" s="133">
        <f t="shared" si="139"/>
        <v>13.047263118560837</v>
      </c>
      <c r="AK91" s="133">
        <f t="shared" si="139"/>
        <v>13.047263118560837</v>
      </c>
      <c r="AL91" s="133">
        <f t="shared" si="139"/>
        <v>13.047263118560837</v>
      </c>
      <c r="AM91" s="133">
        <f t="shared" si="139"/>
        <v>13.047263118560837</v>
      </c>
      <c r="AN91" s="133">
        <f t="shared" si="139"/>
        <v>13.047263118560837</v>
      </c>
      <c r="AO91" s="133">
        <f t="shared" si="139"/>
        <v>13.047263118560837</v>
      </c>
      <c r="AP91" s="133">
        <f t="shared" si="139"/>
        <v>13.047263118560837</v>
      </c>
      <c r="AQ91" s="133">
        <f t="shared" si="139"/>
        <v>13.047263118560837</v>
      </c>
      <c r="AR91" s="133">
        <f t="shared" si="139"/>
        <v>13.047263118560837</v>
      </c>
      <c r="AS91" s="133">
        <f t="shared" si="139"/>
        <v>13.047263118560837</v>
      </c>
      <c r="AT91" s="133">
        <f t="shared" si="139"/>
        <v>13.047263118560837</v>
      </c>
      <c r="AU91" s="133">
        <f t="shared" si="139"/>
        <v>13.047263118560837</v>
      </c>
      <c r="AV91" s="133">
        <f t="shared" si="139"/>
        <v>13.047263118560837</v>
      </c>
      <c r="AW91" s="133">
        <f t="shared" si="139"/>
        <v>13.047263118560837</v>
      </c>
      <c r="AX91" s="133">
        <f t="shared" si="139"/>
        <v>13.047263118560837</v>
      </c>
      <c r="AY91" s="133">
        <f t="shared" si="139"/>
        <v>13.047263118560837</v>
      </c>
      <c r="AZ91" s="133">
        <f t="shared" si="139"/>
        <v>13.047263118560837</v>
      </c>
      <c r="BA91" s="133">
        <f t="shared" si="139"/>
        <v>13.047263118560837</v>
      </c>
      <c r="BB91" s="133">
        <f t="shared" si="139"/>
        <v>13.047263118560837</v>
      </c>
      <c r="BC91" s="133">
        <f t="shared" si="139"/>
        <v>13.047263118560837</v>
      </c>
      <c r="BD91" s="133">
        <f t="shared" si="139"/>
        <v>13.047263118560837</v>
      </c>
      <c r="BE91" s="133">
        <f t="shared" si="139"/>
        <v>13.047263118560837</v>
      </c>
      <c r="BF91" s="133">
        <f t="shared" si="139"/>
        <v>13.047263118560837</v>
      </c>
      <c r="BG91" s="133">
        <f t="shared" si="139"/>
        <v>13.047263118560837</v>
      </c>
      <c r="BH91" s="133">
        <f t="shared" si="139"/>
        <v>13.047263118560837</v>
      </c>
      <c r="BI91" s="133">
        <f t="shared" si="139"/>
        <v>13.047263118560837</v>
      </c>
      <c r="BJ91" s="133">
        <f t="shared" si="139"/>
        <v>13.047263118560837</v>
      </c>
      <c r="BK91" s="133">
        <f t="shared" si="139"/>
        <v>13.047263118560837</v>
      </c>
      <c r="BL91" s="133">
        <f t="shared" si="139"/>
        <v>13.047263118560837</v>
      </c>
      <c r="BM91" s="133">
        <f t="shared" si="139"/>
        <v>13.047263118560837</v>
      </c>
      <c r="BN91" s="133">
        <f t="shared" si="139"/>
        <v>13.047263118560837</v>
      </c>
      <c r="BO91" s="133">
        <f t="shared" si="139"/>
        <v>13.047263118560837</v>
      </c>
      <c r="BP91" s="133">
        <f t="shared" si="139"/>
        <v>13.047263118560837</v>
      </c>
      <c r="BQ91" s="133">
        <f t="shared" si="139"/>
        <v>13.047263118560837</v>
      </c>
      <c r="BR91" s="133">
        <f t="shared" ref="BR91:DA91" si="140">((400*(BR59*BR85/100)^0.42)/(((BR59*BR85/100)^0.42)+27.13))+0.1</f>
        <v>13.047263118560837</v>
      </c>
      <c r="BS91" s="133">
        <f t="shared" si="140"/>
        <v>13.047263118560837</v>
      </c>
      <c r="BT91" s="133">
        <f t="shared" si="140"/>
        <v>13.047263118560837</v>
      </c>
      <c r="BU91" s="133">
        <f t="shared" si="140"/>
        <v>13.047263118560837</v>
      </c>
      <c r="BV91" s="133">
        <f t="shared" si="140"/>
        <v>13.047263118560837</v>
      </c>
      <c r="BW91" s="133">
        <f t="shared" si="140"/>
        <v>13.047263118560837</v>
      </c>
      <c r="BX91" s="133">
        <f t="shared" si="140"/>
        <v>13.047263118560837</v>
      </c>
      <c r="BY91" s="133">
        <f t="shared" si="140"/>
        <v>13.047263118560837</v>
      </c>
      <c r="BZ91" s="133">
        <f t="shared" si="140"/>
        <v>13.047263118560837</v>
      </c>
      <c r="CA91" s="133">
        <f t="shared" si="140"/>
        <v>13.047263118560837</v>
      </c>
      <c r="CB91" s="133">
        <f t="shared" si="140"/>
        <v>13.047263118560837</v>
      </c>
      <c r="CC91" s="133">
        <f t="shared" si="140"/>
        <v>13.047263118560837</v>
      </c>
      <c r="CD91" s="133">
        <f t="shared" si="140"/>
        <v>13.047263118560837</v>
      </c>
      <c r="CE91" s="133">
        <f t="shared" si="140"/>
        <v>13.047263118560837</v>
      </c>
      <c r="CF91" s="133">
        <f t="shared" si="140"/>
        <v>13.047263118560837</v>
      </c>
      <c r="CG91" s="133">
        <f t="shared" si="140"/>
        <v>13.047263118560837</v>
      </c>
      <c r="CH91" s="133">
        <f t="shared" si="140"/>
        <v>13.047263118560837</v>
      </c>
      <c r="CI91" s="133">
        <f t="shared" si="140"/>
        <v>13.047263118560837</v>
      </c>
      <c r="CJ91" s="133">
        <f t="shared" si="140"/>
        <v>13.047263118560837</v>
      </c>
      <c r="CK91" s="133">
        <f t="shared" si="140"/>
        <v>13.047263118560837</v>
      </c>
      <c r="CL91" s="133">
        <f t="shared" si="140"/>
        <v>13.047263118560837</v>
      </c>
      <c r="CM91" s="133">
        <f t="shared" si="140"/>
        <v>13.047263118560837</v>
      </c>
      <c r="CN91" s="133">
        <f t="shared" si="140"/>
        <v>13.047263118560837</v>
      </c>
      <c r="CO91" s="133">
        <f t="shared" si="140"/>
        <v>13.047263118560837</v>
      </c>
      <c r="CP91" s="133">
        <f t="shared" si="140"/>
        <v>13.047263118560837</v>
      </c>
      <c r="CQ91" s="133">
        <f t="shared" si="140"/>
        <v>13.047263118560837</v>
      </c>
      <c r="CR91" s="133">
        <f t="shared" si="140"/>
        <v>13.047263118560837</v>
      </c>
      <c r="CS91" s="133">
        <f t="shared" si="140"/>
        <v>13.047263118560837</v>
      </c>
      <c r="CT91" s="133">
        <f t="shared" si="140"/>
        <v>13.047263118560837</v>
      </c>
      <c r="CU91" s="133">
        <f t="shared" si="140"/>
        <v>13.047263118560837</v>
      </c>
      <c r="CV91" s="133">
        <f t="shared" si="140"/>
        <v>13.047263118560837</v>
      </c>
      <c r="CW91" s="133">
        <f t="shared" si="140"/>
        <v>13.047263118560837</v>
      </c>
      <c r="CX91" s="133">
        <f t="shared" si="140"/>
        <v>13.047263118560837</v>
      </c>
      <c r="CY91" s="133">
        <f t="shared" si="140"/>
        <v>13.047263118560837</v>
      </c>
      <c r="CZ91" s="133">
        <f t="shared" si="140"/>
        <v>13.047263118560837</v>
      </c>
      <c r="DA91" s="133">
        <f t="shared" si="140"/>
        <v>13.047263118560837</v>
      </c>
      <c r="DC91">
        <v>87</v>
      </c>
      <c r="DD91" s="84">
        <v>40.500982801849794</v>
      </c>
      <c r="DE91" s="84">
        <v>13.428184559330223</v>
      </c>
      <c r="DF91" s="84">
        <v>-19.543829672040587</v>
      </c>
      <c r="DG91" s="84">
        <v>39.565428547756397</v>
      </c>
      <c r="DH91" s="84">
        <v>13.225833013210414</v>
      </c>
      <c r="DI91" s="84">
        <v>-21.768527203471773</v>
      </c>
      <c r="DJ91" s="84">
        <v>2.4218767551065317</v>
      </c>
      <c r="DK91" s="84">
        <f t="shared" si="118"/>
        <v>5.8654870169253428</v>
      </c>
      <c r="DL91" s="84">
        <f t="shared" si="119"/>
        <v>5.3143914216135055</v>
      </c>
      <c r="DM91" s="84">
        <f t="shared" si="120"/>
        <v>304.49219913898355</v>
      </c>
      <c r="DN91" s="85">
        <v>7</v>
      </c>
      <c r="DO91">
        <v>6</v>
      </c>
      <c r="DP91">
        <f t="shared" si="131"/>
        <v>292.5</v>
      </c>
      <c r="DQ91" s="270">
        <v>7.6536686473018003</v>
      </c>
      <c r="DR91" s="270">
        <v>-18.477590650225732</v>
      </c>
    </row>
    <row r="92" spans="1:122">
      <c r="A92" s="228">
        <v>795</v>
      </c>
      <c r="B92" s="230">
        <f t="shared" si="138"/>
        <v>0</v>
      </c>
      <c r="C92" s="229">
        <f>Reference!N92</f>
        <v>0</v>
      </c>
      <c r="D92" s="82"/>
      <c r="E92" s="137" t="s">
        <v>161</v>
      </c>
      <c r="F92" s="133">
        <f t="shared" ref="F92:BQ92" si="141">((400*(F59*F86/100)^0.42)/(((F59*F86/100)^0.42)+27.13))+0.1</f>
        <v>13.047210500554204</v>
      </c>
      <c r="G92" s="133">
        <f t="shared" si="141"/>
        <v>13.047210500554204</v>
      </c>
      <c r="H92" s="133">
        <f t="shared" si="141"/>
        <v>13.047210500554204</v>
      </c>
      <c r="I92" s="133">
        <f t="shared" si="141"/>
        <v>13.047210500554204</v>
      </c>
      <c r="J92" s="133">
        <f t="shared" si="141"/>
        <v>13.047210500554204</v>
      </c>
      <c r="K92" s="133">
        <f t="shared" si="141"/>
        <v>13.047210500554204</v>
      </c>
      <c r="L92" s="133">
        <f t="shared" si="141"/>
        <v>13.047210500554204</v>
      </c>
      <c r="M92" s="133">
        <f t="shared" si="141"/>
        <v>13.047210500554204</v>
      </c>
      <c r="N92" s="133">
        <f t="shared" si="141"/>
        <v>13.047210500554204</v>
      </c>
      <c r="O92" s="133">
        <f t="shared" si="141"/>
        <v>13.047210500554204</v>
      </c>
      <c r="P92" s="133">
        <f t="shared" si="141"/>
        <v>13.047210500554204</v>
      </c>
      <c r="Q92" s="133">
        <f t="shared" si="141"/>
        <v>13.047210500554204</v>
      </c>
      <c r="R92" s="133">
        <f t="shared" si="141"/>
        <v>13.047210500554204</v>
      </c>
      <c r="S92" s="133">
        <f t="shared" si="141"/>
        <v>13.047210500554204</v>
      </c>
      <c r="T92" s="133">
        <f t="shared" si="141"/>
        <v>13.047210500554204</v>
      </c>
      <c r="U92" s="133">
        <f t="shared" si="141"/>
        <v>13.047210500554204</v>
      </c>
      <c r="V92" s="133">
        <f t="shared" si="141"/>
        <v>13.047210500554204</v>
      </c>
      <c r="W92" s="133">
        <f t="shared" si="141"/>
        <v>13.047210500554204</v>
      </c>
      <c r="X92" s="133">
        <f t="shared" si="141"/>
        <v>13.047210500554204</v>
      </c>
      <c r="Y92" s="133">
        <f t="shared" si="141"/>
        <v>13.047210500554204</v>
      </c>
      <c r="Z92" s="133">
        <f t="shared" si="141"/>
        <v>13.047210500554204</v>
      </c>
      <c r="AA92" s="133">
        <f t="shared" si="141"/>
        <v>13.047210500554204</v>
      </c>
      <c r="AB92" s="133">
        <f t="shared" si="141"/>
        <v>13.047210500554204</v>
      </c>
      <c r="AC92" s="133">
        <f t="shared" si="141"/>
        <v>13.047210500554204</v>
      </c>
      <c r="AD92" s="133">
        <f t="shared" si="141"/>
        <v>13.047210500554204</v>
      </c>
      <c r="AE92" s="133">
        <f t="shared" si="141"/>
        <v>13.047210500554204</v>
      </c>
      <c r="AF92" s="133">
        <f t="shared" si="141"/>
        <v>13.047210500554204</v>
      </c>
      <c r="AG92" s="133">
        <f t="shared" si="141"/>
        <v>13.047210500554204</v>
      </c>
      <c r="AH92" s="133">
        <f t="shared" si="141"/>
        <v>13.047210500554204</v>
      </c>
      <c r="AI92" s="133">
        <f t="shared" si="141"/>
        <v>13.047210500554204</v>
      </c>
      <c r="AJ92" s="133">
        <f t="shared" si="141"/>
        <v>13.047210500554204</v>
      </c>
      <c r="AK92" s="133">
        <f t="shared" si="141"/>
        <v>13.047210500554204</v>
      </c>
      <c r="AL92" s="133">
        <f t="shared" si="141"/>
        <v>13.047210500554204</v>
      </c>
      <c r="AM92" s="133">
        <f t="shared" si="141"/>
        <v>13.047210500554204</v>
      </c>
      <c r="AN92" s="133">
        <f t="shared" si="141"/>
        <v>13.047210500554204</v>
      </c>
      <c r="AO92" s="133">
        <f t="shared" si="141"/>
        <v>13.047210500554204</v>
      </c>
      <c r="AP92" s="133">
        <f t="shared" si="141"/>
        <v>13.047210500554204</v>
      </c>
      <c r="AQ92" s="133">
        <f t="shared" si="141"/>
        <v>13.047210500554204</v>
      </c>
      <c r="AR92" s="133">
        <f t="shared" si="141"/>
        <v>13.047210500554204</v>
      </c>
      <c r="AS92" s="133">
        <f t="shared" si="141"/>
        <v>13.047210500554204</v>
      </c>
      <c r="AT92" s="133">
        <f t="shared" si="141"/>
        <v>13.047210500554204</v>
      </c>
      <c r="AU92" s="133">
        <f t="shared" si="141"/>
        <v>13.047210500554204</v>
      </c>
      <c r="AV92" s="133">
        <f t="shared" si="141"/>
        <v>13.047210500554204</v>
      </c>
      <c r="AW92" s="133">
        <f t="shared" si="141"/>
        <v>13.047210500554204</v>
      </c>
      <c r="AX92" s="133">
        <f t="shared" si="141"/>
        <v>13.047210500554204</v>
      </c>
      <c r="AY92" s="133">
        <f t="shared" si="141"/>
        <v>13.047210500554204</v>
      </c>
      <c r="AZ92" s="133">
        <f t="shared" si="141"/>
        <v>13.047210500554204</v>
      </c>
      <c r="BA92" s="133">
        <f t="shared" si="141"/>
        <v>13.047210500554204</v>
      </c>
      <c r="BB92" s="133">
        <f t="shared" si="141"/>
        <v>13.047210500554204</v>
      </c>
      <c r="BC92" s="133">
        <f t="shared" si="141"/>
        <v>13.047210500554204</v>
      </c>
      <c r="BD92" s="133">
        <f t="shared" si="141"/>
        <v>13.047210500554204</v>
      </c>
      <c r="BE92" s="133">
        <f t="shared" si="141"/>
        <v>13.047210500554204</v>
      </c>
      <c r="BF92" s="133">
        <f t="shared" si="141"/>
        <v>13.047210500554204</v>
      </c>
      <c r="BG92" s="133">
        <f t="shared" si="141"/>
        <v>13.047210500554204</v>
      </c>
      <c r="BH92" s="133">
        <f t="shared" si="141"/>
        <v>13.047210500554204</v>
      </c>
      <c r="BI92" s="133">
        <f t="shared" si="141"/>
        <v>13.047210500554204</v>
      </c>
      <c r="BJ92" s="133">
        <f t="shared" si="141"/>
        <v>13.047210500554204</v>
      </c>
      <c r="BK92" s="133">
        <f t="shared" si="141"/>
        <v>13.047210500554204</v>
      </c>
      <c r="BL92" s="133">
        <f t="shared" si="141"/>
        <v>13.047210500554204</v>
      </c>
      <c r="BM92" s="133">
        <f t="shared" si="141"/>
        <v>13.047210500554204</v>
      </c>
      <c r="BN92" s="133">
        <f t="shared" si="141"/>
        <v>13.047210500554204</v>
      </c>
      <c r="BO92" s="133">
        <f t="shared" si="141"/>
        <v>13.047210500554204</v>
      </c>
      <c r="BP92" s="133">
        <f t="shared" si="141"/>
        <v>13.047210500554204</v>
      </c>
      <c r="BQ92" s="133">
        <f t="shared" si="141"/>
        <v>13.047210500554204</v>
      </c>
      <c r="BR92" s="133">
        <f t="shared" ref="BR92:DA92" si="142">((400*(BR59*BR86/100)^0.42)/(((BR59*BR86/100)^0.42)+27.13))+0.1</f>
        <v>13.047210500554204</v>
      </c>
      <c r="BS92" s="133">
        <f t="shared" si="142"/>
        <v>13.047210500554204</v>
      </c>
      <c r="BT92" s="133">
        <f t="shared" si="142"/>
        <v>13.047210500554204</v>
      </c>
      <c r="BU92" s="133">
        <f t="shared" si="142"/>
        <v>13.047210500554204</v>
      </c>
      <c r="BV92" s="133">
        <f t="shared" si="142"/>
        <v>13.047210500554204</v>
      </c>
      <c r="BW92" s="133">
        <f t="shared" si="142"/>
        <v>13.047210500554204</v>
      </c>
      <c r="BX92" s="133">
        <f t="shared" si="142"/>
        <v>13.047210500554204</v>
      </c>
      <c r="BY92" s="133">
        <f t="shared" si="142"/>
        <v>13.047210500554204</v>
      </c>
      <c r="BZ92" s="133">
        <f t="shared" si="142"/>
        <v>13.047210500554204</v>
      </c>
      <c r="CA92" s="133">
        <f t="shared" si="142"/>
        <v>13.047210500554204</v>
      </c>
      <c r="CB92" s="133">
        <f t="shared" si="142"/>
        <v>13.047210500554204</v>
      </c>
      <c r="CC92" s="133">
        <f t="shared" si="142"/>
        <v>13.047210500554204</v>
      </c>
      <c r="CD92" s="133">
        <f t="shared" si="142"/>
        <v>13.047210500554204</v>
      </c>
      <c r="CE92" s="133">
        <f t="shared" si="142"/>
        <v>13.047210500554204</v>
      </c>
      <c r="CF92" s="133">
        <f t="shared" si="142"/>
        <v>13.047210500554204</v>
      </c>
      <c r="CG92" s="133">
        <f t="shared" si="142"/>
        <v>13.047210500554204</v>
      </c>
      <c r="CH92" s="133">
        <f t="shared" si="142"/>
        <v>13.047210500554204</v>
      </c>
      <c r="CI92" s="133">
        <f t="shared" si="142"/>
        <v>13.047210500554204</v>
      </c>
      <c r="CJ92" s="133">
        <f t="shared" si="142"/>
        <v>13.047210500554204</v>
      </c>
      <c r="CK92" s="133">
        <f t="shared" si="142"/>
        <v>13.047210500554204</v>
      </c>
      <c r="CL92" s="133">
        <f t="shared" si="142"/>
        <v>13.047210500554204</v>
      </c>
      <c r="CM92" s="133">
        <f t="shared" si="142"/>
        <v>13.047210500554204</v>
      </c>
      <c r="CN92" s="133">
        <f t="shared" si="142"/>
        <v>13.047210500554204</v>
      </c>
      <c r="CO92" s="133">
        <f t="shared" si="142"/>
        <v>13.047210500554204</v>
      </c>
      <c r="CP92" s="133">
        <f t="shared" si="142"/>
        <v>13.047210500554204</v>
      </c>
      <c r="CQ92" s="133">
        <f t="shared" si="142"/>
        <v>13.047210500554204</v>
      </c>
      <c r="CR92" s="133">
        <f t="shared" si="142"/>
        <v>13.047210500554204</v>
      </c>
      <c r="CS92" s="133">
        <f t="shared" si="142"/>
        <v>13.047210500554204</v>
      </c>
      <c r="CT92" s="133">
        <f t="shared" si="142"/>
        <v>13.047210500554204</v>
      </c>
      <c r="CU92" s="133">
        <f t="shared" si="142"/>
        <v>13.047210500554204</v>
      </c>
      <c r="CV92" s="133">
        <f t="shared" si="142"/>
        <v>13.047210500554204</v>
      </c>
      <c r="CW92" s="133">
        <f t="shared" si="142"/>
        <v>13.047210500554204</v>
      </c>
      <c r="CX92" s="133">
        <f t="shared" si="142"/>
        <v>13.047210500554204</v>
      </c>
      <c r="CY92" s="133">
        <f t="shared" si="142"/>
        <v>13.047210500554204</v>
      </c>
      <c r="CZ92" s="133">
        <f t="shared" si="142"/>
        <v>13.047210500554204</v>
      </c>
      <c r="DA92" s="133">
        <f t="shared" si="142"/>
        <v>13.047210500554204</v>
      </c>
      <c r="DC92">
        <v>88</v>
      </c>
      <c r="DD92" s="84">
        <v>63.191470852439473</v>
      </c>
      <c r="DE92" s="84">
        <v>17.573053025165489</v>
      </c>
      <c r="DF92" s="84">
        <v>-15.419664954129745</v>
      </c>
      <c r="DG92" s="84">
        <v>62.33401054253163</v>
      </c>
      <c r="DH92" s="84">
        <v>16.769081037195857</v>
      </c>
      <c r="DI92" s="84">
        <v>-16.82062734062411</v>
      </c>
      <c r="DJ92" s="84">
        <v>1.828744035910735</v>
      </c>
      <c r="DK92" s="84">
        <f t="shared" si="118"/>
        <v>3.3443047488790834</v>
      </c>
      <c r="DL92" s="84">
        <f t="shared" si="119"/>
        <v>5.5629632854286317</v>
      </c>
      <c r="DM92" s="84">
        <f t="shared" si="120"/>
        <v>318.73431784129093</v>
      </c>
      <c r="DN92" s="85">
        <v>7</v>
      </c>
      <c r="DO92">
        <v>6</v>
      </c>
      <c r="DP92">
        <f t="shared" si="131"/>
        <v>292.5</v>
      </c>
      <c r="DQ92" s="270">
        <v>7.6536686473018003</v>
      </c>
      <c r="DR92" s="270">
        <v>-18.477590650225732</v>
      </c>
    </row>
    <row r="93" spans="1:122">
      <c r="A93" s="228">
        <v>800</v>
      </c>
      <c r="B93" s="230">
        <f t="shared" si="138"/>
        <v>0</v>
      </c>
      <c r="C93" s="229">
        <f>Reference!N93</f>
        <v>0</v>
      </c>
      <c r="D93" s="82"/>
      <c r="E93" s="137" t="s">
        <v>162</v>
      </c>
      <c r="F93" s="133">
        <f t="shared" ref="F93:BQ93" si="143">((400*(F59*F87/100)^0.42)/(((F59*F87/100)^0.42)+27.13))+0.1</f>
        <v>13.047210500554202</v>
      </c>
      <c r="G93" s="133">
        <f t="shared" si="143"/>
        <v>13.047210500554202</v>
      </c>
      <c r="H93" s="133">
        <f t="shared" si="143"/>
        <v>13.047210500554202</v>
      </c>
      <c r="I93" s="133">
        <f t="shared" si="143"/>
        <v>13.047210500554202</v>
      </c>
      <c r="J93" s="133">
        <f t="shared" si="143"/>
        <v>13.047210500554202</v>
      </c>
      <c r="K93" s="133">
        <f t="shared" si="143"/>
        <v>13.047210500554202</v>
      </c>
      <c r="L93" s="133">
        <f t="shared" si="143"/>
        <v>13.047210500554202</v>
      </c>
      <c r="M93" s="133">
        <f t="shared" si="143"/>
        <v>13.047210500554202</v>
      </c>
      <c r="N93" s="133">
        <f t="shared" si="143"/>
        <v>13.047210500554202</v>
      </c>
      <c r="O93" s="133">
        <f t="shared" si="143"/>
        <v>13.047210500554202</v>
      </c>
      <c r="P93" s="133">
        <f t="shared" si="143"/>
        <v>13.047210500554202</v>
      </c>
      <c r="Q93" s="133">
        <f t="shared" si="143"/>
        <v>13.047210500554202</v>
      </c>
      <c r="R93" s="133">
        <f t="shared" si="143"/>
        <v>13.047210500554202</v>
      </c>
      <c r="S93" s="133">
        <f t="shared" si="143"/>
        <v>13.047210500554202</v>
      </c>
      <c r="T93" s="133">
        <f t="shared" si="143"/>
        <v>13.047210500554202</v>
      </c>
      <c r="U93" s="133">
        <f t="shared" si="143"/>
        <v>13.047210500554202</v>
      </c>
      <c r="V93" s="133">
        <f t="shared" si="143"/>
        <v>13.047210500554202</v>
      </c>
      <c r="W93" s="133">
        <f t="shared" si="143"/>
        <v>13.047210500554202</v>
      </c>
      <c r="X93" s="133">
        <f t="shared" si="143"/>
        <v>13.047210500554202</v>
      </c>
      <c r="Y93" s="133">
        <f t="shared" si="143"/>
        <v>13.047210500554202</v>
      </c>
      <c r="Z93" s="133">
        <f t="shared" si="143"/>
        <v>13.047210500554202</v>
      </c>
      <c r="AA93" s="133">
        <f t="shared" si="143"/>
        <v>13.047210500554202</v>
      </c>
      <c r="AB93" s="133">
        <f t="shared" si="143"/>
        <v>13.047210500554202</v>
      </c>
      <c r="AC93" s="133">
        <f t="shared" si="143"/>
        <v>13.047210500554202</v>
      </c>
      <c r="AD93" s="133">
        <f t="shared" si="143"/>
        <v>13.047210500554202</v>
      </c>
      <c r="AE93" s="133">
        <f t="shared" si="143"/>
        <v>13.047210500554202</v>
      </c>
      <c r="AF93" s="133">
        <f t="shared" si="143"/>
        <v>13.047210500554202</v>
      </c>
      <c r="AG93" s="133">
        <f t="shared" si="143"/>
        <v>13.047210500554202</v>
      </c>
      <c r="AH93" s="133">
        <f t="shared" si="143"/>
        <v>13.047210500554202</v>
      </c>
      <c r="AI93" s="133">
        <f t="shared" si="143"/>
        <v>13.047210500554202</v>
      </c>
      <c r="AJ93" s="133">
        <f t="shared" si="143"/>
        <v>13.047210500554202</v>
      </c>
      <c r="AK93" s="133">
        <f t="shared" si="143"/>
        <v>13.047210500554202</v>
      </c>
      <c r="AL93" s="133">
        <f t="shared" si="143"/>
        <v>13.047210500554202</v>
      </c>
      <c r="AM93" s="133">
        <f t="shared" si="143"/>
        <v>13.047210500554202</v>
      </c>
      <c r="AN93" s="133">
        <f t="shared" si="143"/>
        <v>13.047210500554202</v>
      </c>
      <c r="AO93" s="133">
        <f t="shared" si="143"/>
        <v>13.047210500554202</v>
      </c>
      <c r="AP93" s="133">
        <f t="shared" si="143"/>
        <v>13.047210500554202</v>
      </c>
      <c r="AQ93" s="133">
        <f t="shared" si="143"/>
        <v>13.047210500554202</v>
      </c>
      <c r="AR93" s="133">
        <f t="shared" si="143"/>
        <v>13.047210500554202</v>
      </c>
      <c r="AS93" s="133">
        <f t="shared" si="143"/>
        <v>13.047210500554202</v>
      </c>
      <c r="AT93" s="133">
        <f t="shared" si="143"/>
        <v>13.047210500554202</v>
      </c>
      <c r="AU93" s="133">
        <f t="shared" si="143"/>
        <v>13.047210500554202</v>
      </c>
      <c r="AV93" s="133">
        <f t="shared" si="143"/>
        <v>13.047210500554202</v>
      </c>
      <c r="AW93" s="133">
        <f t="shared" si="143"/>
        <v>13.047210500554202</v>
      </c>
      <c r="AX93" s="133">
        <f t="shared" si="143"/>
        <v>13.047210500554202</v>
      </c>
      <c r="AY93" s="133">
        <f t="shared" si="143"/>
        <v>13.047210500554202</v>
      </c>
      <c r="AZ93" s="133">
        <f t="shared" si="143"/>
        <v>13.047210500554202</v>
      </c>
      <c r="BA93" s="133">
        <f t="shared" si="143"/>
        <v>13.047210500554202</v>
      </c>
      <c r="BB93" s="133">
        <f t="shared" si="143"/>
        <v>13.047210500554202</v>
      </c>
      <c r="BC93" s="133">
        <f t="shared" si="143"/>
        <v>13.047210500554202</v>
      </c>
      <c r="BD93" s="133">
        <f t="shared" si="143"/>
        <v>13.047210500554202</v>
      </c>
      <c r="BE93" s="133">
        <f t="shared" si="143"/>
        <v>13.047210500554202</v>
      </c>
      <c r="BF93" s="133">
        <f t="shared" si="143"/>
        <v>13.047210500554202</v>
      </c>
      <c r="BG93" s="133">
        <f t="shared" si="143"/>
        <v>13.047210500554202</v>
      </c>
      <c r="BH93" s="133">
        <f t="shared" si="143"/>
        <v>13.047210500554202</v>
      </c>
      <c r="BI93" s="133">
        <f t="shared" si="143"/>
        <v>13.047210500554202</v>
      </c>
      <c r="BJ93" s="133">
        <f t="shared" si="143"/>
        <v>13.047210500554202</v>
      </c>
      <c r="BK93" s="133">
        <f t="shared" si="143"/>
        <v>13.047210500554202</v>
      </c>
      <c r="BL93" s="133">
        <f t="shared" si="143"/>
        <v>13.047210500554202</v>
      </c>
      <c r="BM93" s="133">
        <f t="shared" si="143"/>
        <v>13.047210500554202</v>
      </c>
      <c r="BN93" s="133">
        <f t="shared" si="143"/>
        <v>13.047210500554202</v>
      </c>
      <c r="BO93" s="133">
        <f t="shared" si="143"/>
        <v>13.047210500554202</v>
      </c>
      <c r="BP93" s="133">
        <f t="shared" si="143"/>
        <v>13.047210500554202</v>
      </c>
      <c r="BQ93" s="133">
        <f t="shared" si="143"/>
        <v>13.047210500554202</v>
      </c>
      <c r="BR93" s="133">
        <f t="shared" ref="BR93:DA93" si="144">((400*(BR59*BR87/100)^0.42)/(((BR59*BR87/100)^0.42)+27.13))+0.1</f>
        <v>13.047210500554202</v>
      </c>
      <c r="BS93" s="133">
        <f t="shared" si="144"/>
        <v>13.047210500554202</v>
      </c>
      <c r="BT93" s="133">
        <f t="shared" si="144"/>
        <v>13.047210500554202</v>
      </c>
      <c r="BU93" s="133">
        <f t="shared" si="144"/>
        <v>13.047210500554202</v>
      </c>
      <c r="BV93" s="133">
        <f t="shared" si="144"/>
        <v>13.047210500554202</v>
      </c>
      <c r="BW93" s="133">
        <f t="shared" si="144"/>
        <v>13.047210500554202</v>
      </c>
      <c r="BX93" s="133">
        <f t="shared" si="144"/>
        <v>13.047210500554202</v>
      </c>
      <c r="BY93" s="133">
        <f t="shared" si="144"/>
        <v>13.047210500554202</v>
      </c>
      <c r="BZ93" s="133">
        <f t="shared" si="144"/>
        <v>13.047210500554202</v>
      </c>
      <c r="CA93" s="133">
        <f t="shared" si="144"/>
        <v>13.047210500554202</v>
      </c>
      <c r="CB93" s="133">
        <f t="shared" si="144"/>
        <v>13.047210500554202</v>
      </c>
      <c r="CC93" s="133">
        <f t="shared" si="144"/>
        <v>13.047210500554202</v>
      </c>
      <c r="CD93" s="133">
        <f t="shared" si="144"/>
        <v>13.047210500554202</v>
      </c>
      <c r="CE93" s="133">
        <f t="shared" si="144"/>
        <v>13.047210500554202</v>
      </c>
      <c r="CF93" s="133">
        <f t="shared" si="144"/>
        <v>13.047210500554202</v>
      </c>
      <c r="CG93" s="133">
        <f t="shared" si="144"/>
        <v>13.047210500554202</v>
      </c>
      <c r="CH93" s="133">
        <f t="shared" si="144"/>
        <v>13.047210500554202</v>
      </c>
      <c r="CI93" s="133">
        <f t="shared" si="144"/>
        <v>13.047210500554202</v>
      </c>
      <c r="CJ93" s="133">
        <f t="shared" si="144"/>
        <v>13.047210500554202</v>
      </c>
      <c r="CK93" s="133">
        <f t="shared" si="144"/>
        <v>13.047210500554202</v>
      </c>
      <c r="CL93" s="133">
        <f t="shared" si="144"/>
        <v>13.047210500554202</v>
      </c>
      <c r="CM93" s="133">
        <f t="shared" si="144"/>
        <v>13.047210500554202</v>
      </c>
      <c r="CN93" s="133">
        <f t="shared" si="144"/>
        <v>13.047210500554202</v>
      </c>
      <c r="CO93" s="133">
        <f t="shared" si="144"/>
        <v>13.047210500554202</v>
      </c>
      <c r="CP93" s="133">
        <f t="shared" si="144"/>
        <v>13.047210500554202</v>
      </c>
      <c r="CQ93" s="133">
        <f t="shared" si="144"/>
        <v>13.047210500554202</v>
      </c>
      <c r="CR93" s="133">
        <f t="shared" si="144"/>
        <v>13.047210500554202</v>
      </c>
      <c r="CS93" s="133">
        <f t="shared" si="144"/>
        <v>13.047210500554202</v>
      </c>
      <c r="CT93" s="133">
        <f t="shared" si="144"/>
        <v>13.047210500554202</v>
      </c>
      <c r="CU93" s="133">
        <f t="shared" si="144"/>
        <v>13.047210500554202</v>
      </c>
      <c r="CV93" s="133">
        <f t="shared" si="144"/>
        <v>13.047210500554202</v>
      </c>
      <c r="CW93" s="133">
        <f t="shared" si="144"/>
        <v>13.047210500554202</v>
      </c>
      <c r="CX93" s="133">
        <f t="shared" si="144"/>
        <v>13.047210500554202</v>
      </c>
      <c r="CY93" s="133">
        <f t="shared" si="144"/>
        <v>13.047210500554202</v>
      </c>
      <c r="CZ93" s="133">
        <f t="shared" si="144"/>
        <v>13.047210500554202</v>
      </c>
      <c r="DA93" s="133">
        <f t="shared" si="144"/>
        <v>13.047210500554202</v>
      </c>
      <c r="DC93">
        <v>89</v>
      </c>
      <c r="DD93" s="84">
        <v>39.047918901869494</v>
      </c>
      <c r="DE93" s="84">
        <v>17.303925143618738</v>
      </c>
      <c r="DF93" s="84">
        <v>-13.494275846090988</v>
      </c>
      <c r="DG93" s="84">
        <v>38.305201411845403</v>
      </c>
      <c r="DH93" s="84">
        <v>15.194242731545653</v>
      </c>
      <c r="DI93" s="84">
        <v>-16.131334931152814</v>
      </c>
      <c r="DJ93" s="84">
        <v>3.4578128590057204</v>
      </c>
      <c r="DK93" s="84">
        <f t="shared" si="118"/>
        <v>11.956469767905315</v>
      </c>
      <c r="DL93" s="84">
        <f t="shared" si="119"/>
        <v>5.620859114674019</v>
      </c>
      <c r="DM93" s="84">
        <f t="shared" si="120"/>
        <v>322.05150450846173</v>
      </c>
      <c r="DN93" s="85">
        <v>8</v>
      </c>
      <c r="DO93">
        <v>1</v>
      </c>
      <c r="DP93">
        <f t="shared" si="131"/>
        <v>337.5</v>
      </c>
      <c r="DQ93" s="270">
        <v>18.477590650225736</v>
      </c>
      <c r="DR93" s="270">
        <v>-7.6536686473017914</v>
      </c>
    </row>
    <row r="94" spans="1:122">
      <c r="A94" s="228">
        <v>805</v>
      </c>
      <c r="B94" s="230">
        <f t="shared" si="138"/>
        <v>0</v>
      </c>
      <c r="C94" s="229">
        <f>Reference!N94</f>
        <v>0</v>
      </c>
      <c r="D94" s="82"/>
      <c r="E94" s="137" t="s">
        <v>16</v>
      </c>
      <c r="F94" s="133">
        <f>F88-12*F89/11+F90/11</f>
        <v>5.2618006631144354E-5</v>
      </c>
      <c r="G94" s="133">
        <f t="shared" ref="G94:BR94" si="145">G88-12*G89/11+G90/11</f>
        <v>0.40636185496425525</v>
      </c>
      <c r="H94" s="133">
        <f t="shared" si="145"/>
        <v>0.89162114705420337</v>
      </c>
      <c r="I94" s="133">
        <f t="shared" si="145"/>
        <v>0.27037394615478605</v>
      </c>
      <c r="J94" s="133">
        <f t="shared" si="145"/>
        <v>0.53485115606193689</v>
      </c>
      <c r="K94" s="133">
        <f t="shared" si="145"/>
        <v>0.95871292788257634</v>
      </c>
      <c r="L94" s="133">
        <f t="shared" si="145"/>
        <v>0.41166387344283983</v>
      </c>
      <c r="M94" s="133">
        <f t="shared" si="145"/>
        <v>0.84064298299666107</v>
      </c>
      <c r="N94" s="133">
        <f t="shared" si="145"/>
        <v>0.75260367093411196</v>
      </c>
      <c r="O94" s="133">
        <f t="shared" si="145"/>
        <v>4.0308697686139761E-2</v>
      </c>
      <c r="P94" s="133">
        <f t="shared" si="145"/>
        <v>0.95246478337857343</v>
      </c>
      <c r="Q94" s="133">
        <f t="shared" si="145"/>
        <v>0.83760605103848229</v>
      </c>
      <c r="R94" s="133">
        <f t="shared" si="145"/>
        <v>0.94700354016167443</v>
      </c>
      <c r="S94" s="133">
        <f t="shared" si="145"/>
        <v>0.43579649962525929</v>
      </c>
      <c r="T94" s="133">
        <f t="shared" si="145"/>
        <v>0.13995363343096401</v>
      </c>
      <c r="U94" s="133">
        <f t="shared" si="145"/>
        <v>0.31348171816339443</v>
      </c>
      <c r="V94" s="133">
        <f t="shared" si="145"/>
        <v>0.42159410434148198</v>
      </c>
      <c r="W94" s="133">
        <f t="shared" si="145"/>
        <v>0.36263312899252242</v>
      </c>
      <c r="X94" s="133">
        <f t="shared" si="145"/>
        <v>0.27821447632607699</v>
      </c>
      <c r="Y94" s="133">
        <f t="shared" si="145"/>
        <v>0.40374101816122854</v>
      </c>
      <c r="Z94" s="133">
        <f t="shared" si="145"/>
        <v>0.58190364621594215</v>
      </c>
      <c r="AA94" s="133">
        <f t="shared" si="145"/>
        <v>0.45281695229161101</v>
      </c>
      <c r="AB94" s="133">
        <f t="shared" si="145"/>
        <v>0.47796146004060347</v>
      </c>
      <c r="AC94" s="133">
        <f t="shared" si="145"/>
        <v>9.6395419629240586E-2</v>
      </c>
      <c r="AD94" s="133">
        <f t="shared" si="145"/>
        <v>0.19673291159251782</v>
      </c>
      <c r="AE94" s="133">
        <f t="shared" si="145"/>
        <v>0.25025415341175372</v>
      </c>
      <c r="AF94" s="133">
        <f t="shared" si="145"/>
        <v>0.20972692690789296</v>
      </c>
      <c r="AG94" s="133">
        <f t="shared" si="145"/>
        <v>3.1543522326832996E-2</v>
      </c>
      <c r="AH94" s="133">
        <f t="shared" si="145"/>
        <v>7.2454965715353925E-3</v>
      </c>
      <c r="AI94" s="133">
        <f t="shared" si="145"/>
        <v>5.1974723302454895E-2</v>
      </c>
      <c r="AJ94" s="133">
        <f t="shared" si="145"/>
        <v>3.7942055033462263E-2</v>
      </c>
      <c r="AK94" s="133">
        <f t="shared" si="145"/>
        <v>4.1712656804965276E-3</v>
      </c>
      <c r="AL94" s="133">
        <f t="shared" si="145"/>
        <v>-2.2395322368383708E-2</v>
      </c>
      <c r="AM94" s="133">
        <f t="shared" si="145"/>
        <v>-3.2200238644413126E-3</v>
      </c>
      <c r="AN94" s="133">
        <f t="shared" si="145"/>
        <v>-8.1495128511009651E-2</v>
      </c>
      <c r="AO94" s="133">
        <f t="shared" si="145"/>
        <v>-4.9381374383175192E-2</v>
      </c>
      <c r="AP94" s="133">
        <f t="shared" si="145"/>
        <v>-4.89023626412044E-3</v>
      </c>
      <c r="AQ94" s="133">
        <f t="shared" si="145"/>
        <v>-0.10258891436530981</v>
      </c>
      <c r="AR94" s="133">
        <f t="shared" si="145"/>
        <v>-7.4835581949782792E-2</v>
      </c>
      <c r="AS94" s="133">
        <f t="shared" si="145"/>
        <v>-3.5840226848332213E-2</v>
      </c>
      <c r="AT94" s="133">
        <f t="shared" si="145"/>
        <v>-9.0317748457361291E-2</v>
      </c>
      <c r="AU94" s="133">
        <f t="shared" si="145"/>
        <v>-7.1726524141073278E-2</v>
      </c>
      <c r="AV94" s="133">
        <f t="shared" si="145"/>
        <v>-0.44725287807549791</v>
      </c>
      <c r="AW94" s="133">
        <f t="shared" si="145"/>
        <v>-0.48367503570332437</v>
      </c>
      <c r="AX94" s="133">
        <f t="shared" si="145"/>
        <v>-9.381137909631021E-3</v>
      </c>
      <c r="AY94" s="133">
        <f t="shared" si="145"/>
        <v>-0.42252831919240047</v>
      </c>
      <c r="AZ94" s="133">
        <f t="shared" si="145"/>
        <v>-0.32188011012378592</v>
      </c>
      <c r="BA94" s="133">
        <f t="shared" si="145"/>
        <v>-0.19848074276954986</v>
      </c>
      <c r="BB94" s="133">
        <f t="shared" si="145"/>
        <v>-0.46671616041558228</v>
      </c>
      <c r="BC94" s="133">
        <f t="shared" si="145"/>
        <v>-0.34882668446532245</v>
      </c>
      <c r="BD94" s="133">
        <f t="shared" si="145"/>
        <v>-0.35015628881826599</v>
      </c>
      <c r="BE94" s="133">
        <f t="shared" si="145"/>
        <v>-0.30126901416453644</v>
      </c>
      <c r="BF94" s="133">
        <f t="shared" si="145"/>
        <v>-0.40159028878859149</v>
      </c>
      <c r="BG94" s="133">
        <f t="shared" si="145"/>
        <v>-0.68174717692138065</v>
      </c>
      <c r="BH94" s="133">
        <f t="shared" si="145"/>
        <v>-0.3025110746771924</v>
      </c>
      <c r="BI94" s="133">
        <f t="shared" si="145"/>
        <v>-0.34574571570554768</v>
      </c>
      <c r="BJ94" s="133">
        <f t="shared" si="145"/>
        <v>-0.70733558554886666</v>
      </c>
      <c r="BK94" s="133">
        <f t="shared" si="145"/>
        <v>-0.73549999421820056</v>
      </c>
      <c r="BL94" s="133">
        <f t="shared" si="145"/>
        <v>-0.71252199960916363</v>
      </c>
      <c r="BM94" s="133">
        <f t="shared" si="145"/>
        <v>-0.29433671970798447</v>
      </c>
      <c r="BN94" s="133">
        <f t="shared" si="145"/>
        <v>-9.9916215372684469E-2</v>
      </c>
      <c r="BO94" s="133">
        <f t="shared" si="145"/>
        <v>-0.25344890618147964</v>
      </c>
      <c r="BP94" s="133">
        <f t="shared" si="145"/>
        <v>-8.7701860935358478E-2</v>
      </c>
      <c r="BQ94" s="133">
        <f t="shared" si="145"/>
        <v>-2.3181684384519174E-2</v>
      </c>
      <c r="BR94" s="133">
        <f t="shared" si="145"/>
        <v>-0.66567919150799582</v>
      </c>
      <c r="BS94" s="133">
        <f t="shared" ref="BS94:DA94" si="146">BS88-12*BS89/11+BS90/11</f>
        <v>-0.30030662691123566</v>
      </c>
      <c r="BT94" s="133">
        <f t="shared" si="146"/>
        <v>-0.53816872211788358</v>
      </c>
      <c r="BU94" s="133">
        <f t="shared" si="146"/>
        <v>-0.5635429951306391</v>
      </c>
      <c r="BV94" s="133">
        <f t="shared" si="146"/>
        <v>-0.32764444732440268</v>
      </c>
      <c r="BW94" s="133">
        <f t="shared" si="146"/>
        <v>-0.1100805653180511</v>
      </c>
      <c r="BX94" s="133">
        <f t="shared" si="146"/>
        <v>-0.37303301899504948</v>
      </c>
      <c r="BY94" s="133">
        <f t="shared" si="146"/>
        <v>-0.26418586493325591</v>
      </c>
      <c r="BZ94" s="133">
        <f t="shared" si="146"/>
        <v>-8.8880542587867484E-2</v>
      </c>
      <c r="CA94" s="133">
        <f t="shared" si="146"/>
        <v>-0.46797261755863184</v>
      </c>
      <c r="CB94" s="133">
        <f t="shared" si="146"/>
        <v>-1.2092409652885883E-2</v>
      </c>
      <c r="CC94" s="133">
        <f t="shared" si="146"/>
        <v>-0.20438294152212066</v>
      </c>
      <c r="CD94" s="133">
        <f t="shared" si="146"/>
        <v>-0.30130325033916694</v>
      </c>
      <c r="CE94" s="133">
        <f t="shared" si="146"/>
        <v>-0.14999725370874295</v>
      </c>
      <c r="CF94" s="133">
        <f t="shared" si="146"/>
        <v>-0.24389765044798806</v>
      </c>
      <c r="CG94" s="133">
        <f t="shared" si="146"/>
        <v>-5.9758660061772106E-2</v>
      </c>
      <c r="CH94" s="133">
        <f t="shared" si="146"/>
        <v>2.2239358613848292E-2</v>
      </c>
      <c r="CI94" s="133">
        <f t="shared" si="146"/>
        <v>9.2454816517520189E-2</v>
      </c>
      <c r="CJ94" s="133">
        <f t="shared" si="146"/>
        <v>1.8857464831755655E-2</v>
      </c>
      <c r="CK94" s="133">
        <f t="shared" si="146"/>
        <v>6.2145955048406254E-2</v>
      </c>
      <c r="CL94" s="133">
        <f t="shared" si="146"/>
        <v>4.6259581280650552E-2</v>
      </c>
      <c r="CM94" s="133">
        <f t="shared" si="146"/>
        <v>9.3410632925653547E-2</v>
      </c>
      <c r="CN94" s="133">
        <f t="shared" si="146"/>
        <v>0.20668919816128717</v>
      </c>
      <c r="CO94" s="133">
        <f t="shared" si="146"/>
        <v>0.26472625871972399</v>
      </c>
      <c r="CP94" s="133">
        <f t="shared" si="146"/>
        <v>0.38570269451245887</v>
      </c>
      <c r="CQ94" s="133">
        <f t="shared" si="146"/>
        <v>0.33899005982241526</v>
      </c>
      <c r="CR94" s="133">
        <f t="shared" si="146"/>
        <v>0.42578168419926599</v>
      </c>
      <c r="CS94" s="133">
        <f t="shared" si="146"/>
        <v>5.2404421878866625E-2</v>
      </c>
      <c r="CT94" s="133">
        <f t="shared" si="146"/>
        <v>0.31389809785801159</v>
      </c>
      <c r="CU94" s="133">
        <f t="shared" si="146"/>
        <v>0.26583272051011586</v>
      </c>
      <c r="CV94" s="133">
        <f t="shared" si="146"/>
        <v>0.49175810057874914</v>
      </c>
      <c r="CW94" s="133">
        <f t="shared" si="146"/>
        <v>0.39568951618693404</v>
      </c>
      <c r="CX94" s="133">
        <f t="shared" si="146"/>
        <v>0.38617678724104365</v>
      </c>
      <c r="CY94" s="133">
        <f t="shared" si="146"/>
        <v>0.54366007619409951</v>
      </c>
      <c r="CZ94" s="133">
        <f t="shared" si="146"/>
        <v>0.83458875471715432</v>
      </c>
      <c r="DA94" s="133">
        <f t="shared" si="146"/>
        <v>0.88301442206276282</v>
      </c>
      <c r="DC94">
        <v>90</v>
      </c>
      <c r="DD94" s="84">
        <v>44.650370705277233</v>
      </c>
      <c r="DE94" s="84">
        <v>19.961639018775287</v>
      </c>
      <c r="DF94" s="84">
        <v>-13.849456716244452</v>
      </c>
      <c r="DG94" s="84">
        <v>44.021768018107792</v>
      </c>
      <c r="DH94" s="84">
        <v>18.849751139163001</v>
      </c>
      <c r="DI94" s="84">
        <v>-14.962724602486363</v>
      </c>
      <c r="DJ94" s="84">
        <v>1.6943439384265755</v>
      </c>
      <c r="DK94" s="84">
        <f t="shared" si="118"/>
        <v>2.8708013816828792</v>
      </c>
      <c r="DL94" s="84">
        <f t="shared" si="119"/>
        <v>5.6766301278124152</v>
      </c>
      <c r="DM94" s="84">
        <f t="shared" si="120"/>
        <v>325.24694818046049</v>
      </c>
      <c r="DN94" s="85">
        <v>8</v>
      </c>
      <c r="DO94">
        <v>5</v>
      </c>
      <c r="DP94">
        <f t="shared" si="131"/>
        <v>337.5</v>
      </c>
      <c r="DQ94" s="270">
        <v>18.477590650225736</v>
      </c>
      <c r="DR94" s="270">
        <v>-7.6536686473017914</v>
      </c>
    </row>
    <row r="95" spans="1:122">
      <c r="A95" s="228">
        <v>810</v>
      </c>
      <c r="B95" s="230">
        <f t="shared" si="138"/>
        <v>0</v>
      </c>
      <c r="C95" s="229">
        <f>Reference!N95</f>
        <v>0</v>
      </c>
      <c r="D95" s="82"/>
      <c r="E95" s="137" t="s">
        <v>17</v>
      </c>
      <c r="F95" s="133">
        <f>(1/9)*(F88+F89-2*F90)</f>
        <v>5.8464451820030818E-6</v>
      </c>
      <c r="G95" s="133">
        <f t="shared" ref="G95:BR95" si="147">(1/9)*(G88+G89-2*G90)</f>
        <v>3.2085255602919929E-2</v>
      </c>
      <c r="H95" s="133">
        <f t="shared" si="147"/>
        <v>0.120742401870848</v>
      </c>
      <c r="I95" s="133">
        <f t="shared" si="147"/>
        <v>4.4646250221981987E-2</v>
      </c>
      <c r="J95" s="133">
        <f t="shared" si="147"/>
        <v>0.15578302334887498</v>
      </c>
      <c r="K95" s="133">
        <f t="shared" si="147"/>
        <v>0.26546524621242062</v>
      </c>
      <c r="L95" s="133">
        <f t="shared" si="147"/>
        <v>0.15352003008291781</v>
      </c>
      <c r="M95" s="133">
        <f t="shared" si="147"/>
        <v>0.28404148701745824</v>
      </c>
      <c r="N95" s="133">
        <f t="shared" si="147"/>
        <v>0.25265404309750672</v>
      </c>
      <c r="O95" s="133">
        <f t="shared" si="147"/>
        <v>9.4201942596582686E-3</v>
      </c>
      <c r="P95" s="133">
        <f t="shared" si="147"/>
        <v>0.5786966974380513</v>
      </c>
      <c r="Q95" s="133">
        <f t="shared" si="147"/>
        <v>0.56119918036844652</v>
      </c>
      <c r="R95" s="133">
        <f t="shared" si="147"/>
        <v>0.64528260759967748</v>
      </c>
      <c r="S95" s="133">
        <f t="shared" si="147"/>
        <v>0.34446804726799712</v>
      </c>
      <c r="T95" s="133">
        <f t="shared" si="147"/>
        <v>0.12933530412199129</v>
      </c>
      <c r="U95" s="133">
        <f t="shared" si="147"/>
        <v>0.26532718275444467</v>
      </c>
      <c r="V95" s="133">
        <f t="shared" si="147"/>
        <v>0.40375870003941072</v>
      </c>
      <c r="W95" s="133">
        <f t="shared" si="147"/>
        <v>0.41984161041522777</v>
      </c>
      <c r="X95" s="133">
        <f t="shared" si="147"/>
        <v>0.32135447450229471</v>
      </c>
      <c r="Y95" s="133">
        <f t="shared" si="147"/>
        <v>0.6756906756530292</v>
      </c>
      <c r="Z95" s="133">
        <f t="shared" si="147"/>
        <v>0.85925017093352785</v>
      </c>
      <c r="AA95" s="133">
        <f t="shared" si="147"/>
        <v>0.91421161711772148</v>
      </c>
      <c r="AB95" s="133">
        <f t="shared" si="147"/>
        <v>0.92260096904698619</v>
      </c>
      <c r="AC95" s="133">
        <f t="shared" si="147"/>
        <v>0.31506080698235428</v>
      </c>
      <c r="AD95" s="133">
        <f t="shared" si="147"/>
        <v>0.74108500028079916</v>
      </c>
      <c r="AE95" s="133">
        <f t="shared" si="147"/>
        <v>1.0032704691456955</v>
      </c>
      <c r="AF95" s="133">
        <f t="shared" si="147"/>
        <v>0.92069127341754264</v>
      </c>
      <c r="AG95" s="133">
        <f t="shared" si="147"/>
        <v>0.36616834168790013</v>
      </c>
      <c r="AH95" s="133">
        <f t="shared" si="147"/>
        <v>0.31909938181816161</v>
      </c>
      <c r="AI95" s="133">
        <f t="shared" si="147"/>
        <v>0.89315345593644357</v>
      </c>
      <c r="AJ95" s="133">
        <f t="shared" si="147"/>
        <v>0.40775944839745648</v>
      </c>
      <c r="AK95" s="133">
        <f t="shared" si="147"/>
        <v>0.89257590988661339</v>
      </c>
      <c r="AL95" s="133">
        <f t="shared" si="147"/>
        <v>0.93876748195104198</v>
      </c>
      <c r="AM95" s="133">
        <f t="shared" si="147"/>
        <v>0.53358646759610306</v>
      </c>
      <c r="AN95" s="133">
        <f t="shared" si="147"/>
        <v>0.7526064489701052</v>
      </c>
      <c r="AO95" s="133">
        <f t="shared" si="147"/>
        <v>0.30591159971928511</v>
      </c>
      <c r="AP95" s="133">
        <f t="shared" si="147"/>
        <v>0.15252690062150778</v>
      </c>
      <c r="AQ95" s="133">
        <f t="shared" si="147"/>
        <v>0.40478986145694523</v>
      </c>
      <c r="AR95" s="133">
        <f t="shared" si="147"/>
        <v>0.41493093008775417</v>
      </c>
      <c r="AS95" s="133">
        <f t="shared" si="147"/>
        <v>0.11318375854424367</v>
      </c>
      <c r="AT95" s="133">
        <f t="shared" si="147"/>
        <v>0.26306544696799189</v>
      </c>
      <c r="AU95" s="133">
        <f t="shared" si="147"/>
        <v>0.17845165231322507</v>
      </c>
      <c r="AV95" s="133">
        <f t="shared" si="147"/>
        <v>0.76756601818602177</v>
      </c>
      <c r="AW95" s="133">
        <f t="shared" si="147"/>
        <v>0.80597157854459645</v>
      </c>
      <c r="AX95" s="133">
        <f t="shared" si="147"/>
        <v>1.5928391943490616E-2</v>
      </c>
      <c r="AY95" s="133">
        <f t="shared" si="147"/>
        <v>0.47533572330171003</v>
      </c>
      <c r="AZ95" s="133">
        <f t="shared" si="147"/>
        <v>0.36285480295343397</v>
      </c>
      <c r="BA95" s="133">
        <f t="shared" si="147"/>
        <v>0.23949430432737212</v>
      </c>
      <c r="BB95" s="133">
        <f t="shared" si="147"/>
        <v>0.3505068849552373</v>
      </c>
      <c r="BC95" s="133">
        <f t="shared" si="147"/>
        <v>0.2714693101725919</v>
      </c>
      <c r="BD95" s="133">
        <f t="shared" si="147"/>
        <v>0.14514504199689562</v>
      </c>
      <c r="BE95" s="133">
        <f t="shared" si="147"/>
        <v>0.11746733081605083</v>
      </c>
      <c r="BF95" s="133">
        <f t="shared" si="147"/>
        <v>0.15000394789771179</v>
      </c>
      <c r="BG95" s="133">
        <f t="shared" si="147"/>
        <v>9.9153333586319614E-2</v>
      </c>
      <c r="BH95" s="133">
        <f t="shared" si="147"/>
        <v>-4.1777673759616123E-3</v>
      </c>
      <c r="BI95" s="133">
        <f t="shared" si="147"/>
        <v>-3.3167918993509064E-2</v>
      </c>
      <c r="BJ95" s="133">
        <f t="shared" si="147"/>
        <v>-6.9478764877820093E-2</v>
      </c>
      <c r="BK95" s="133">
        <f t="shared" si="147"/>
        <v>-7.4575073619572843E-2</v>
      </c>
      <c r="BL95" s="133">
        <f t="shared" si="147"/>
        <v>-0.12233121504517343</v>
      </c>
      <c r="BM95" s="133">
        <f t="shared" si="147"/>
        <v>-5.3084564384533905E-2</v>
      </c>
      <c r="BN95" s="133">
        <f t="shared" si="147"/>
        <v>-3.641771725471956E-2</v>
      </c>
      <c r="BO95" s="133">
        <f t="shared" si="147"/>
        <v>-8.9465675061660477E-2</v>
      </c>
      <c r="BP95" s="133">
        <f t="shared" si="147"/>
        <v>-4.9785755533971354E-2</v>
      </c>
      <c r="BQ95" s="133">
        <f t="shared" si="147"/>
        <v>-2.2878916211340083E-2</v>
      </c>
      <c r="BR95" s="133">
        <f t="shared" si="147"/>
        <v>-0.32481259790283068</v>
      </c>
      <c r="BS95" s="133">
        <f t="shared" ref="BS95:DA95" si="148">(1/9)*(BS88+BS89-2*BS90)</f>
        <v>-0.16515396368687993</v>
      </c>
      <c r="BT95" s="133">
        <f t="shared" si="148"/>
        <v>-0.34521474424144843</v>
      </c>
      <c r="BU95" s="133">
        <f t="shared" si="148"/>
        <v>-0.38866615111500713</v>
      </c>
      <c r="BV95" s="133">
        <f t="shared" si="148"/>
        <v>-0.27998009967733078</v>
      </c>
      <c r="BW95" s="133">
        <f t="shared" si="148"/>
        <v>-0.14443499142892591</v>
      </c>
      <c r="BX95" s="133">
        <f t="shared" si="148"/>
        <v>-0.44160665176745317</v>
      </c>
      <c r="BY95" s="133">
        <f t="shared" si="148"/>
        <v>-0.35898412367434929</v>
      </c>
      <c r="BZ95" s="133">
        <f t="shared" si="148"/>
        <v>-0.1157532403222245</v>
      </c>
      <c r="CA95" s="133">
        <f t="shared" si="148"/>
        <v>-0.59082549386605698</v>
      </c>
      <c r="CB95" s="133">
        <f t="shared" si="148"/>
        <v>-3.3469632522775683E-2</v>
      </c>
      <c r="CC95" s="133">
        <f t="shared" si="148"/>
        <v>-0.38013743030745412</v>
      </c>
      <c r="CD95" s="133">
        <f t="shared" si="148"/>
        <v>-0.69820388211315187</v>
      </c>
      <c r="CE95" s="133">
        <f t="shared" si="148"/>
        <v>-0.42131229733979442</v>
      </c>
      <c r="CF95" s="133">
        <f t="shared" si="148"/>
        <v>-0.66742016162054718</v>
      </c>
      <c r="CG95" s="133">
        <f t="shared" si="148"/>
        <v>-0.35134088968688776</v>
      </c>
      <c r="CH95" s="133">
        <f t="shared" si="148"/>
        <v>-0.42729752167970936</v>
      </c>
      <c r="CI95" s="133">
        <f t="shared" si="148"/>
        <v>-0.53419090579720141</v>
      </c>
      <c r="CJ95" s="133">
        <f t="shared" si="148"/>
        <v>-0.14231685872921318</v>
      </c>
      <c r="CK95" s="133">
        <f t="shared" si="148"/>
        <v>-0.27369844055491771</v>
      </c>
      <c r="CL95" s="133">
        <f t="shared" si="148"/>
        <v>-7.337573272195641E-2</v>
      </c>
      <c r="CM95" s="133">
        <f t="shared" si="148"/>
        <v>-0.17597413388339708</v>
      </c>
      <c r="CN95" s="133">
        <f t="shared" si="148"/>
        <v>-0.41503764066527615</v>
      </c>
      <c r="CO95" s="133">
        <f t="shared" si="148"/>
        <v>-0.38529146566875183</v>
      </c>
      <c r="CP95" s="133">
        <f t="shared" si="148"/>
        <v>-0.33843899024092117</v>
      </c>
      <c r="CQ95" s="133">
        <f t="shared" si="148"/>
        <v>-0.26435767251417469</v>
      </c>
      <c r="CR95" s="133">
        <f t="shared" si="148"/>
        <v>-0.2954088589790152</v>
      </c>
      <c r="CS95" s="133">
        <f t="shared" si="148"/>
        <v>-2.0411106622298624E-2</v>
      </c>
      <c r="CT95" s="133">
        <f t="shared" si="148"/>
        <v>-0.14483347227511975</v>
      </c>
      <c r="CU95" s="133">
        <f t="shared" si="148"/>
        <v>-0.11121933117622064</v>
      </c>
      <c r="CV95" s="133">
        <f t="shared" si="148"/>
        <v>-0.13766724342016187</v>
      </c>
      <c r="CW95" s="133">
        <f t="shared" si="148"/>
        <v>-0.10250793395741434</v>
      </c>
      <c r="CX95" s="133">
        <f t="shared" si="148"/>
        <v>-8.550890492493736E-2</v>
      </c>
      <c r="CY95" s="133">
        <f t="shared" si="148"/>
        <v>-6.8824732723297657E-2</v>
      </c>
      <c r="CZ95" s="133">
        <f t="shared" si="148"/>
        <v>-3.1199717029595474E-3</v>
      </c>
      <c r="DA95" s="133">
        <f t="shared" si="148"/>
        <v>2.0484662527664455E-3</v>
      </c>
      <c r="DC95">
        <v>91</v>
      </c>
      <c r="DD95" s="84">
        <v>80.886790731561206</v>
      </c>
      <c r="DE95" s="84">
        <v>3.449012422433567</v>
      </c>
      <c r="DF95" s="84">
        <v>-1.3433629791518389</v>
      </c>
      <c r="DG95" s="84">
        <v>80.695454405516628</v>
      </c>
      <c r="DH95" s="84">
        <v>4.107004853687501</v>
      </c>
      <c r="DI95" s="84">
        <v>-4.8099241311459515</v>
      </c>
      <c r="DJ95" s="84">
        <v>3.5336397453286676</v>
      </c>
      <c r="DK95" s="84">
        <f t="shared" si="118"/>
        <v>12.486609849766451</v>
      </c>
      <c r="DL95" s="84">
        <f t="shared" si="119"/>
        <v>5.9117701845021404</v>
      </c>
      <c r="DM95" s="84">
        <f t="shared" si="120"/>
        <v>338.71948102324865</v>
      </c>
      <c r="DN95" s="85">
        <v>8</v>
      </c>
      <c r="DO95">
        <v>1</v>
      </c>
      <c r="DP95">
        <f t="shared" si="131"/>
        <v>337.5</v>
      </c>
      <c r="DQ95" s="270">
        <v>18.477590650225736</v>
      </c>
      <c r="DR95" s="270">
        <v>-7.6536686473017914</v>
      </c>
    </row>
    <row r="96" spans="1:122">
      <c r="A96" s="228">
        <v>815</v>
      </c>
      <c r="B96" s="230">
        <f t="shared" si="138"/>
        <v>0</v>
      </c>
      <c r="C96" s="229">
        <f>Reference!N96</f>
        <v>0</v>
      </c>
      <c r="D96" s="82"/>
      <c r="E96" s="137" t="s">
        <v>163</v>
      </c>
      <c r="F96" s="133">
        <f>IF(F94=0,IF(F95=0,0,IF(F95&gt;=0,(360/(2*PI()))*ATAN2(F94,F95),360+(360/(2*PI()))*ATAN2(F94,F95))),IF(F95&gt;=0,(360/(2*PI()))*ATAN2(F94,F95),360+(360/(2*PI()))*ATAN2(F94,F95)))</f>
        <v>6.3401917467325672</v>
      </c>
      <c r="G96" s="133">
        <f t="shared" ref="G96:BR96" si="149">IF(G94=0,IF(G95=0,0,IF(G95&gt;=0,(360/(2*PI()))*ATAN2(G94,G95),360+(360/(2*PI()))*ATAN2(G94,G95))),IF(G95&gt;=0,(360/(2*PI()))*ATAN2(G94,G95),360+(360/(2*PI()))*ATAN2(G94,G95)))</f>
        <v>4.5145568726818333</v>
      </c>
      <c r="H96" s="133">
        <f t="shared" si="149"/>
        <v>7.7120210297469951</v>
      </c>
      <c r="I96" s="133">
        <f t="shared" si="149"/>
        <v>9.3765123156828807</v>
      </c>
      <c r="J96" s="133">
        <f t="shared" si="149"/>
        <v>16.238953533742418</v>
      </c>
      <c r="K96" s="133">
        <f t="shared" si="149"/>
        <v>15.477278928964065</v>
      </c>
      <c r="L96" s="133">
        <f t="shared" si="149"/>
        <v>20.451777176576108</v>
      </c>
      <c r="M96" s="133">
        <f t="shared" si="149"/>
        <v>18.669390553093493</v>
      </c>
      <c r="N96" s="133">
        <f t="shared" si="149"/>
        <v>18.55724352751065</v>
      </c>
      <c r="O96" s="133">
        <f t="shared" si="149"/>
        <v>13.154013967106899</v>
      </c>
      <c r="P96" s="133">
        <f t="shared" si="149"/>
        <v>31.281947090456779</v>
      </c>
      <c r="Q96" s="133">
        <f t="shared" si="149"/>
        <v>33.822232807389526</v>
      </c>
      <c r="R96" s="133">
        <f t="shared" si="149"/>
        <v>34.27028585001058</v>
      </c>
      <c r="S96" s="133">
        <f t="shared" si="149"/>
        <v>38.324017050053691</v>
      </c>
      <c r="T96" s="133">
        <f t="shared" si="149"/>
        <v>42.741940505509525</v>
      </c>
      <c r="U96" s="133">
        <f t="shared" si="149"/>
        <v>40.244177658842894</v>
      </c>
      <c r="V96" s="133">
        <f t="shared" si="149"/>
        <v>43.762063486209371</v>
      </c>
      <c r="W96" s="133">
        <f t="shared" si="149"/>
        <v>49.181582665321216</v>
      </c>
      <c r="X96" s="133">
        <f t="shared" si="149"/>
        <v>49.115435905170806</v>
      </c>
      <c r="Y96" s="133">
        <f t="shared" si="149"/>
        <v>59.140693009194386</v>
      </c>
      <c r="Z96" s="133">
        <f t="shared" si="149"/>
        <v>55.893254461904988</v>
      </c>
      <c r="AA96" s="133">
        <f t="shared" si="149"/>
        <v>63.650386203359844</v>
      </c>
      <c r="AB96" s="133">
        <f t="shared" si="149"/>
        <v>62.61319162370178</v>
      </c>
      <c r="AC96" s="133">
        <f t="shared" si="149"/>
        <v>72.988082181021937</v>
      </c>
      <c r="AD96" s="133">
        <f t="shared" si="149"/>
        <v>75.132824998327109</v>
      </c>
      <c r="AE96" s="133">
        <f t="shared" si="149"/>
        <v>75.994046519718836</v>
      </c>
      <c r="AF96" s="133">
        <f t="shared" si="149"/>
        <v>77.167397745814512</v>
      </c>
      <c r="AG96" s="133">
        <f t="shared" si="149"/>
        <v>85.0764180043914</v>
      </c>
      <c r="AH96" s="133">
        <f t="shared" si="149"/>
        <v>88.699260868815159</v>
      </c>
      <c r="AI96" s="133">
        <f t="shared" si="149"/>
        <v>86.6695782936048</v>
      </c>
      <c r="AJ96" s="133">
        <f t="shared" si="149"/>
        <v>84.683929806954566</v>
      </c>
      <c r="AK96" s="133">
        <f t="shared" si="149"/>
        <v>89.732242181046388</v>
      </c>
      <c r="AL96" s="133">
        <f t="shared" si="149"/>
        <v>91.366594113809256</v>
      </c>
      <c r="AM96" s="133">
        <f t="shared" si="149"/>
        <v>90.345757527643713</v>
      </c>
      <c r="AN96" s="133">
        <f t="shared" si="149"/>
        <v>96.180128205313792</v>
      </c>
      <c r="AO96" s="133">
        <f t="shared" si="149"/>
        <v>99.169793645928024</v>
      </c>
      <c r="AP96" s="133">
        <f t="shared" si="149"/>
        <v>91.836357723550961</v>
      </c>
      <c r="AQ96" s="133">
        <f t="shared" si="149"/>
        <v>104.2214595640972</v>
      </c>
      <c r="AR96" s="133">
        <f t="shared" si="149"/>
        <v>100.22376966324011</v>
      </c>
      <c r="AS96" s="133">
        <f t="shared" si="149"/>
        <v>107.57066219102806</v>
      </c>
      <c r="AT96" s="133">
        <f t="shared" si="149"/>
        <v>108.94878418677625</v>
      </c>
      <c r="AU96" s="133">
        <f t="shared" si="149"/>
        <v>111.89707554671814</v>
      </c>
      <c r="AV96" s="133">
        <f t="shared" si="149"/>
        <v>120.22891829061594</v>
      </c>
      <c r="AW96" s="133">
        <f t="shared" si="149"/>
        <v>120.96856988675231</v>
      </c>
      <c r="AX96" s="133">
        <f t="shared" si="149"/>
        <v>120.49625586642097</v>
      </c>
      <c r="AY96" s="133">
        <f t="shared" si="149"/>
        <v>131.63405621124002</v>
      </c>
      <c r="AZ96" s="133">
        <f t="shared" si="149"/>
        <v>131.57549118948378</v>
      </c>
      <c r="BA96" s="133">
        <f t="shared" si="149"/>
        <v>129.65021798771343</v>
      </c>
      <c r="BB96" s="133">
        <f t="shared" si="149"/>
        <v>143.09321136823647</v>
      </c>
      <c r="BC96" s="133">
        <f t="shared" si="149"/>
        <v>142.10867933756117</v>
      </c>
      <c r="BD96" s="133">
        <f t="shared" si="149"/>
        <v>157.48525865369177</v>
      </c>
      <c r="BE96" s="133">
        <f t="shared" si="149"/>
        <v>158.69877003422067</v>
      </c>
      <c r="BF96" s="133">
        <f t="shared" si="149"/>
        <v>159.51809086603117</v>
      </c>
      <c r="BG96" s="133">
        <f t="shared" si="149"/>
        <v>171.7249213113347</v>
      </c>
      <c r="BH96" s="133">
        <f t="shared" si="149"/>
        <v>180.79122135490999</v>
      </c>
      <c r="BI96" s="133">
        <f t="shared" si="149"/>
        <v>185.47970377561137</v>
      </c>
      <c r="BJ96" s="133">
        <f t="shared" si="149"/>
        <v>185.60994078906904</v>
      </c>
      <c r="BK96" s="133">
        <f t="shared" si="149"/>
        <v>185.78964528762376</v>
      </c>
      <c r="BL96" s="133">
        <f t="shared" si="149"/>
        <v>189.741997269206</v>
      </c>
      <c r="BM96" s="133">
        <f t="shared" si="149"/>
        <v>190.22357336352493</v>
      </c>
      <c r="BN96" s="133">
        <f t="shared" si="149"/>
        <v>200.02591569623851</v>
      </c>
      <c r="BO96" s="133">
        <f t="shared" si="149"/>
        <v>199.44267220050733</v>
      </c>
      <c r="BP96" s="133">
        <f t="shared" si="149"/>
        <v>209.58229731543113</v>
      </c>
      <c r="BQ96" s="133">
        <f t="shared" si="149"/>
        <v>224.62338553058666</v>
      </c>
      <c r="BR96" s="133">
        <f t="shared" si="149"/>
        <v>206.00967531282745</v>
      </c>
      <c r="BS96" s="133">
        <f t="shared" ref="BS96:DA96" si="150">IF(BS94=0,IF(BS95=0,0,IF(BS95&gt;=0,(360/(2*PI()))*ATAN2(BS94,BS95),360+(360/(2*PI()))*ATAN2(BS94,BS95))),IF(BS95&gt;=0,(360/(2*PI()))*ATAN2(BS94,BS95),360+(360/(2*PI()))*ATAN2(BS94,BS95)))</f>
        <v>208.80864320077103</v>
      </c>
      <c r="BT96" s="133">
        <f t="shared" si="150"/>
        <v>212.67862624226484</v>
      </c>
      <c r="BU96" s="133">
        <f t="shared" si="150"/>
        <v>214.59337795923679</v>
      </c>
      <c r="BV96" s="133">
        <f t="shared" si="150"/>
        <v>220.51468918983446</v>
      </c>
      <c r="BW96" s="133">
        <f t="shared" si="150"/>
        <v>232.687303848113</v>
      </c>
      <c r="BX96" s="133">
        <f t="shared" si="150"/>
        <v>229.81162318968148</v>
      </c>
      <c r="BY96" s="133">
        <f t="shared" si="150"/>
        <v>233.64967007142229</v>
      </c>
      <c r="BZ96" s="133">
        <f t="shared" si="150"/>
        <v>232.48132517613806</v>
      </c>
      <c r="CA96" s="133">
        <f t="shared" si="150"/>
        <v>231.61846231964489</v>
      </c>
      <c r="CB96" s="133">
        <f t="shared" si="150"/>
        <v>250.13546740495386</v>
      </c>
      <c r="CC96" s="133">
        <f t="shared" si="150"/>
        <v>241.7350629062102</v>
      </c>
      <c r="CD96" s="133">
        <f t="shared" si="150"/>
        <v>246.65784619474414</v>
      </c>
      <c r="CE96" s="133">
        <f t="shared" si="150"/>
        <v>250.4030543860689</v>
      </c>
      <c r="CF96" s="133">
        <f t="shared" si="150"/>
        <v>249.92600584864542</v>
      </c>
      <c r="CG96" s="133">
        <f t="shared" si="150"/>
        <v>260.34708750226605</v>
      </c>
      <c r="CH96" s="133">
        <f t="shared" si="150"/>
        <v>272.97935895810411</v>
      </c>
      <c r="CI96" s="133">
        <f t="shared" si="150"/>
        <v>279.81916507302765</v>
      </c>
      <c r="CJ96" s="133">
        <f t="shared" si="150"/>
        <v>277.54791609979327</v>
      </c>
      <c r="CK96" s="133">
        <f t="shared" si="150"/>
        <v>282.7926732399597</v>
      </c>
      <c r="CL96" s="133">
        <f t="shared" si="150"/>
        <v>302.2292978611174</v>
      </c>
      <c r="CM96" s="133">
        <f t="shared" si="150"/>
        <v>297.96026755581892</v>
      </c>
      <c r="CN96" s="133">
        <f t="shared" si="150"/>
        <v>296.47335473228964</v>
      </c>
      <c r="CO96" s="133">
        <f t="shared" si="150"/>
        <v>304.49219913898349</v>
      </c>
      <c r="CP96" s="133">
        <f t="shared" si="150"/>
        <v>318.73431784129093</v>
      </c>
      <c r="CQ96" s="133">
        <f t="shared" si="150"/>
        <v>322.05150450846168</v>
      </c>
      <c r="CR96" s="133">
        <f t="shared" si="150"/>
        <v>325.24694818046044</v>
      </c>
      <c r="CS96" s="133">
        <f t="shared" si="150"/>
        <v>338.71948102324865</v>
      </c>
      <c r="CT96" s="133">
        <f t="shared" si="150"/>
        <v>335.23126595337669</v>
      </c>
      <c r="CU96" s="133">
        <f t="shared" si="150"/>
        <v>337.29649732642065</v>
      </c>
      <c r="CV96" s="133">
        <f t="shared" si="150"/>
        <v>344.360457293058</v>
      </c>
      <c r="CW96" s="133">
        <f t="shared" si="150"/>
        <v>345.4761606171528</v>
      </c>
      <c r="CX96" s="133">
        <f t="shared" si="150"/>
        <v>347.51476861524833</v>
      </c>
      <c r="CY96" s="133">
        <f t="shared" si="150"/>
        <v>352.78501171152737</v>
      </c>
      <c r="CZ96" s="133">
        <f t="shared" si="150"/>
        <v>359.78581022445053</v>
      </c>
      <c r="DA96" s="133">
        <f t="shared" si="150"/>
        <v>0.13291771603963493</v>
      </c>
      <c r="DC96">
        <v>92</v>
      </c>
      <c r="DD96" s="84">
        <v>57.294618060445956</v>
      </c>
      <c r="DE96" s="84">
        <v>15.80116790943732</v>
      </c>
      <c r="DF96" s="84">
        <v>-7.2907036708492479</v>
      </c>
      <c r="DG96" s="84">
        <v>55.959276849212486</v>
      </c>
      <c r="DH96" s="84">
        <v>13.689465882787646</v>
      </c>
      <c r="DI96" s="84">
        <v>-11.256395232814233</v>
      </c>
      <c r="DJ96" s="84">
        <v>4.6871239757888947</v>
      </c>
      <c r="DK96" s="84">
        <f t="shared" si="118"/>
        <v>21.969131164415096</v>
      </c>
      <c r="DL96" s="84">
        <f t="shared" si="119"/>
        <v>5.8508893465151912</v>
      </c>
      <c r="DM96" s="84">
        <f t="shared" si="120"/>
        <v>335.23126595337675</v>
      </c>
      <c r="DN96" s="85">
        <v>8</v>
      </c>
      <c r="DO96">
        <v>1</v>
      </c>
      <c r="DP96">
        <f t="shared" si="131"/>
        <v>337.5</v>
      </c>
      <c r="DQ96" s="270">
        <v>18.477590650225736</v>
      </c>
      <c r="DR96" s="270">
        <v>-7.6536686473017914</v>
      </c>
    </row>
    <row r="97" spans="1:122">
      <c r="A97" s="228">
        <v>820</v>
      </c>
      <c r="B97" s="230">
        <f t="shared" si="138"/>
        <v>0</v>
      </c>
      <c r="C97" s="229">
        <f>Reference!N97</f>
        <v>0</v>
      </c>
      <c r="D97" s="82"/>
      <c r="E97" s="137" t="s">
        <v>164</v>
      </c>
      <c r="F97" s="133">
        <f>IF(F96&lt;20.14,385.9+(14.1*(F96)/0.856)/((F96)/0.856+(20.14-F96)/0.8),IF(F96&lt;90,(100*(F96-20.14)/0.8)/((F96-20.14)/0.8+(90-F96)/0.7),IF(F96&lt;164.25,100+(100*(F96-90)/0.7)/((F96-90)/0.7+(164.25-F96)/1),IF(F96&lt;237.53,200+(100*(F96-164.25)/1)/((F96-164.25)/1+(237.53-F96)/1.2),300+(85.9*(F96-237.53)/1.2)/((F96-237.53)/1.2+(360-F96)/0.856)))))</f>
        <v>390.13560885437408</v>
      </c>
      <c r="G97" s="133">
        <f t="shared" ref="G97:BR97" si="151">IF(G96&lt;20.14,385.9+(14.1*(G96)/0.856)/((G96)/0.856+(20.14-G96)/0.8),IF(G96&lt;90,(100*(G96-20.14)/0.8)/((G96-20.14)/0.8+(90-G96)/0.7),IF(G96&lt;164.25,100+(100*(G96-90)/0.7)/((G96-90)/0.7+(164.25-G96)/1),IF(G96&lt;237.53,200+(100*(G96-164.25)/1)/((G96-164.25)/1+(237.53-G96)/1.2),300+(85.9*(G96-237.53)/1.2)/((G96-237.53)/1.2+(360-G96)/0.856)))))</f>
        <v>388.89782934787343</v>
      </c>
      <c r="H97" s="133">
        <f t="shared" si="151"/>
        <v>391.07561690447608</v>
      </c>
      <c r="I97" s="133">
        <f t="shared" si="151"/>
        <v>392.22776591444261</v>
      </c>
      <c r="J97" s="133">
        <f t="shared" si="151"/>
        <v>397.11679435487144</v>
      </c>
      <c r="K97" s="133">
        <f t="shared" si="151"/>
        <v>396.56282953827429</v>
      </c>
      <c r="L97" s="133">
        <f t="shared" si="151"/>
        <v>0.39072044324345195</v>
      </c>
      <c r="M97" s="133">
        <f t="shared" si="151"/>
        <v>398.90395951336097</v>
      </c>
      <c r="N97" s="133">
        <f t="shared" si="151"/>
        <v>398.82083398137638</v>
      </c>
      <c r="O97" s="133">
        <f t="shared" si="151"/>
        <v>394.89081031122657</v>
      </c>
      <c r="P97" s="133">
        <f t="shared" si="151"/>
        <v>14.239220594388353</v>
      </c>
      <c r="Q97" s="133">
        <f t="shared" si="151"/>
        <v>17.567135343364406</v>
      </c>
      <c r="R97" s="133">
        <f t="shared" si="151"/>
        <v>18.157329573713181</v>
      </c>
      <c r="S97" s="133">
        <f t="shared" si="151"/>
        <v>23.541532277697577</v>
      </c>
      <c r="T97" s="133">
        <f t="shared" si="151"/>
        <v>29.502154849986375</v>
      </c>
      <c r="U97" s="133">
        <f t="shared" si="151"/>
        <v>26.120185386268016</v>
      </c>
      <c r="V97" s="133">
        <f t="shared" si="151"/>
        <v>30.892478770224706</v>
      </c>
      <c r="W97" s="133">
        <f t="shared" si="151"/>
        <v>38.368504813201803</v>
      </c>
      <c r="X97" s="133">
        <f t="shared" si="151"/>
        <v>38.276335981869082</v>
      </c>
      <c r="Y97" s="133">
        <f t="shared" si="151"/>
        <v>52.513121294360154</v>
      </c>
      <c r="Z97" s="133">
        <f t="shared" si="151"/>
        <v>47.841710133918134</v>
      </c>
      <c r="AA97" s="133">
        <f t="shared" si="151"/>
        <v>59.097916382726488</v>
      </c>
      <c r="AB97" s="133">
        <f t="shared" si="151"/>
        <v>57.573280704940892</v>
      </c>
      <c r="AC97" s="133">
        <f t="shared" si="151"/>
        <v>73.105383719983124</v>
      </c>
      <c r="AD97" s="133">
        <f t="shared" si="151"/>
        <v>76.396025556120122</v>
      </c>
      <c r="AE97" s="133">
        <f t="shared" si="151"/>
        <v>77.725278970791393</v>
      </c>
      <c r="AF97" s="133">
        <f t="shared" si="151"/>
        <v>79.543631422381907</v>
      </c>
      <c r="AG97" s="133">
        <f t="shared" si="151"/>
        <v>92.025677141965772</v>
      </c>
      <c r="AH97" s="133">
        <f t="shared" si="151"/>
        <v>97.877733446903079</v>
      </c>
      <c r="AI97" s="133">
        <f t="shared" si="151"/>
        <v>94.588534410345247</v>
      </c>
      <c r="AJ97" s="133">
        <f t="shared" si="151"/>
        <v>91.396832214215024</v>
      </c>
      <c r="AK97" s="133">
        <f t="shared" si="151"/>
        <v>99.562208022294016</v>
      </c>
      <c r="AL97" s="133">
        <f t="shared" si="151"/>
        <v>102.60875189773117</v>
      </c>
      <c r="AM97" s="133">
        <f t="shared" si="151"/>
        <v>100.66391316732621</v>
      </c>
      <c r="AN97" s="133">
        <f t="shared" si="151"/>
        <v>111.48103028019567</v>
      </c>
      <c r="AO97" s="133">
        <f t="shared" si="151"/>
        <v>116.75584551920272</v>
      </c>
      <c r="AP97" s="133">
        <f t="shared" si="151"/>
        <v>103.49609900589826</v>
      </c>
      <c r="AQ97" s="133">
        <f t="shared" si="151"/>
        <v>125.28644377329843</v>
      </c>
      <c r="AR97" s="133">
        <f t="shared" si="151"/>
        <v>118.57444378744255</v>
      </c>
      <c r="AS97" s="133">
        <f t="shared" si="151"/>
        <v>130.69315099193034</v>
      </c>
      <c r="AT97" s="133">
        <f t="shared" si="151"/>
        <v>132.86317040098456</v>
      </c>
      <c r="AU97" s="133">
        <f t="shared" si="151"/>
        <v>137.40268800744593</v>
      </c>
      <c r="AV97" s="133">
        <f t="shared" si="151"/>
        <v>149.52014774562855</v>
      </c>
      <c r="AW97" s="133">
        <f t="shared" si="151"/>
        <v>150.54808010183348</v>
      </c>
      <c r="AX97" s="133">
        <f t="shared" si="151"/>
        <v>149.89254197046409</v>
      </c>
      <c r="AY97" s="133">
        <f t="shared" si="151"/>
        <v>164.5837526607248</v>
      </c>
      <c r="AZ97" s="133">
        <f t="shared" si="151"/>
        <v>164.51048703031972</v>
      </c>
      <c r="BA97" s="133">
        <f t="shared" si="151"/>
        <v>162.07950115861578</v>
      </c>
      <c r="BB97" s="133">
        <f t="shared" si="151"/>
        <v>178.18982957678878</v>
      </c>
      <c r="BC97" s="133">
        <f t="shared" si="151"/>
        <v>177.07517558340618</v>
      </c>
      <c r="BD97" s="133">
        <f t="shared" si="151"/>
        <v>193.44325523274273</v>
      </c>
      <c r="BE97" s="133">
        <f t="shared" si="151"/>
        <v>194.64644109646858</v>
      </c>
      <c r="BF97" s="133">
        <f t="shared" si="151"/>
        <v>195.4519882439217</v>
      </c>
      <c r="BG97" s="133">
        <f t="shared" si="151"/>
        <v>211.99586420792875</v>
      </c>
      <c r="BH97" s="133">
        <f t="shared" si="151"/>
        <v>225.91711797917873</v>
      </c>
      <c r="BI97" s="133">
        <f t="shared" si="151"/>
        <v>232.86080024646515</v>
      </c>
      <c r="BJ97" s="133">
        <f t="shared" si="151"/>
        <v>233.05128540963173</v>
      </c>
      <c r="BK97" s="133">
        <f t="shared" si="151"/>
        <v>233.31391191790254</v>
      </c>
      <c r="BL97" s="133">
        <f t="shared" si="151"/>
        <v>239.02911635885414</v>
      </c>
      <c r="BM97" s="133">
        <f t="shared" si="151"/>
        <v>239.71761881036932</v>
      </c>
      <c r="BN97" s="133">
        <f t="shared" si="151"/>
        <v>253.37353277503553</v>
      </c>
      <c r="BO97" s="133">
        <f t="shared" si="151"/>
        <v>252.57965292195817</v>
      </c>
      <c r="BP97" s="133">
        <f t="shared" si="151"/>
        <v>266.06083264928094</v>
      </c>
      <c r="BQ97" s="133">
        <f t="shared" si="151"/>
        <v>284.87884330771101</v>
      </c>
      <c r="BR97" s="133">
        <f t="shared" si="151"/>
        <v>261.3872626405165</v>
      </c>
      <c r="BS97" s="133">
        <f t="shared" ref="BS97:DA97" si="152">IF(BS96&lt;20.14,385.9+(14.1*(BS96)/0.856)/((BS96)/0.856+(20.14-BS96)/0.8),IF(BS96&lt;90,(100*(BS96-20.14)/0.8)/((BS96-20.14)/0.8+(90-BS96)/0.7),IF(BS96&lt;164.25,100+(100*(BS96-90)/0.7)/((BS96-90)/0.7+(164.25-BS96)/1),IF(BS96&lt;237.53,200+(100*(BS96-164.25)/1)/((BS96-164.25)/1+(237.53-BS96)/1.2),300+(85.9*(BS96-237.53)/1.2)/((BS96-237.53)/1.2+(360-BS96)/0.856)))))</f>
        <v>265.05566037554132</v>
      </c>
      <c r="BT97" s="133">
        <f t="shared" si="152"/>
        <v>270.04621645466955</v>
      </c>
      <c r="BU97" s="133">
        <f t="shared" si="152"/>
        <v>272.48111997234093</v>
      </c>
      <c r="BV97" s="133">
        <f t="shared" si="152"/>
        <v>279.87138357502658</v>
      </c>
      <c r="BW97" s="133">
        <f t="shared" si="152"/>
        <v>294.43159992365958</v>
      </c>
      <c r="BX97" s="133">
        <f t="shared" si="152"/>
        <v>291.06589984392053</v>
      </c>
      <c r="BY97" s="133">
        <f t="shared" si="152"/>
        <v>295.5480348023878</v>
      </c>
      <c r="BZ97" s="133">
        <f t="shared" si="152"/>
        <v>294.19200304785221</v>
      </c>
      <c r="CA97" s="133">
        <f t="shared" si="152"/>
        <v>293.18583738344853</v>
      </c>
      <c r="CB97" s="133">
        <f t="shared" si="152"/>
        <v>306.49863200217754</v>
      </c>
      <c r="CC97" s="133">
        <f t="shared" si="152"/>
        <v>302.12483066295249</v>
      </c>
      <c r="CD97" s="133">
        <f t="shared" si="152"/>
        <v>304.6666348054797</v>
      </c>
      <c r="CE97" s="133">
        <f t="shared" si="152"/>
        <v>306.64086991653738</v>
      </c>
      <c r="CF97" s="133">
        <f t="shared" si="152"/>
        <v>306.38741914566356</v>
      </c>
      <c r="CG97" s="133">
        <f t="shared" si="152"/>
        <v>312.06016973572429</v>
      </c>
      <c r="CH97" s="133">
        <f t="shared" si="152"/>
        <v>319.34122395055385</v>
      </c>
      <c r="CI97" s="133">
        <f t="shared" si="152"/>
        <v>323.48301446117642</v>
      </c>
      <c r="CJ97" s="133">
        <f t="shared" si="152"/>
        <v>322.09145018653811</v>
      </c>
      <c r="CK97" s="133">
        <f t="shared" si="152"/>
        <v>325.32985963501312</v>
      </c>
      <c r="CL97" s="133">
        <f t="shared" si="152"/>
        <v>338.14820665759817</v>
      </c>
      <c r="CM97" s="133">
        <f t="shared" si="152"/>
        <v>335.2163816372647</v>
      </c>
      <c r="CN97" s="133">
        <f t="shared" si="152"/>
        <v>334.21118050887759</v>
      </c>
      <c r="CO97" s="133">
        <f t="shared" si="152"/>
        <v>339.7304678377447</v>
      </c>
      <c r="CP97" s="133">
        <f t="shared" si="152"/>
        <v>350.16382665053629</v>
      </c>
      <c r="CQ97" s="133">
        <f t="shared" si="152"/>
        <v>352.71841302718747</v>
      </c>
      <c r="CR97" s="133">
        <f t="shared" si="152"/>
        <v>355.2264499423386</v>
      </c>
      <c r="CS97" s="133">
        <f t="shared" si="152"/>
        <v>366.34135842834218</v>
      </c>
      <c r="CT97" s="133">
        <f t="shared" si="152"/>
        <v>363.37636708067282</v>
      </c>
      <c r="CU97" s="133">
        <f t="shared" si="152"/>
        <v>365.12419032418524</v>
      </c>
      <c r="CV97" s="133">
        <f t="shared" si="152"/>
        <v>371.27282611853792</v>
      </c>
      <c r="CW97" s="133">
        <f t="shared" si="152"/>
        <v>372.2688403424487</v>
      </c>
      <c r="CX97" s="133">
        <f t="shared" si="152"/>
        <v>374.10684854123008</v>
      </c>
      <c r="CY97" s="133">
        <f t="shared" si="152"/>
        <v>378.96982108683022</v>
      </c>
      <c r="CZ97" s="133">
        <f t="shared" si="152"/>
        <v>385.68954243914988</v>
      </c>
      <c r="DA97" s="133">
        <f t="shared" si="152"/>
        <v>385.98700541608002</v>
      </c>
      <c r="DC97">
        <v>93</v>
      </c>
      <c r="DD97" s="84">
        <v>68.134180670252007</v>
      </c>
      <c r="DE97" s="84">
        <v>13.535976180101475</v>
      </c>
      <c r="DF97" s="84">
        <v>-5.6631938110525271</v>
      </c>
      <c r="DG97" s="84">
        <v>67.408901027559494</v>
      </c>
      <c r="DH97" s="84">
        <v>12.101388573717667</v>
      </c>
      <c r="DI97" s="84">
        <v>-8.1536642135173221</v>
      </c>
      <c r="DJ97" s="84">
        <v>2.9642056247918025</v>
      </c>
      <c r="DK97" s="84">
        <f t="shared" si="118"/>
        <v>8.7865149860473597</v>
      </c>
      <c r="DL97" s="84">
        <f t="shared" si="119"/>
        <v>5.8869344337902909</v>
      </c>
      <c r="DM97" s="84">
        <f t="shared" si="120"/>
        <v>337.29649732642059</v>
      </c>
      <c r="DN97" s="85">
        <v>8</v>
      </c>
      <c r="DO97">
        <v>4</v>
      </c>
      <c r="DP97">
        <f t="shared" si="131"/>
        <v>337.5</v>
      </c>
      <c r="DQ97" s="270">
        <v>18.477590650225736</v>
      </c>
      <c r="DR97" s="270">
        <v>-7.6536686473017914</v>
      </c>
    </row>
    <row r="98" spans="1:122">
      <c r="A98" s="228">
        <v>825</v>
      </c>
      <c r="B98" s="230">
        <f t="shared" si="138"/>
        <v>0</v>
      </c>
      <c r="C98" s="229">
        <f>Reference!N98</f>
        <v>0</v>
      </c>
      <c r="D98" s="82"/>
      <c r="E98" s="137" t="s">
        <v>165</v>
      </c>
      <c r="F98" s="133">
        <f>IF(F97&gt;300,F97-300,IF(F97&lt;100,100-F97,0))</f>
        <v>90.135608854374084</v>
      </c>
      <c r="G98" s="133">
        <f t="shared" ref="G98:BR98" si="153">IF(G97&gt;300,G97-300,IF(G97&lt;100,100-G97,0))</f>
        <v>88.897829347873426</v>
      </c>
      <c r="H98" s="133">
        <f t="shared" si="153"/>
        <v>91.075616904476078</v>
      </c>
      <c r="I98" s="133">
        <f t="shared" si="153"/>
        <v>92.227765914442614</v>
      </c>
      <c r="J98" s="133">
        <f t="shared" si="153"/>
        <v>97.116794354871445</v>
      </c>
      <c r="K98" s="133">
        <f t="shared" si="153"/>
        <v>96.562829538274286</v>
      </c>
      <c r="L98" s="133">
        <f t="shared" si="153"/>
        <v>99.609279556756547</v>
      </c>
      <c r="M98" s="133">
        <f t="shared" si="153"/>
        <v>98.903959513360974</v>
      </c>
      <c r="N98" s="133">
        <f t="shared" si="153"/>
        <v>98.820833981376381</v>
      </c>
      <c r="O98" s="133">
        <f t="shared" si="153"/>
        <v>94.890810311226574</v>
      </c>
      <c r="P98" s="133">
        <f t="shared" si="153"/>
        <v>85.760779405611643</v>
      </c>
      <c r="Q98" s="133">
        <f t="shared" si="153"/>
        <v>82.432864656635587</v>
      </c>
      <c r="R98" s="133">
        <f t="shared" si="153"/>
        <v>81.842670426286816</v>
      </c>
      <c r="S98" s="133">
        <f t="shared" si="153"/>
        <v>76.45846772230243</v>
      </c>
      <c r="T98" s="133">
        <f t="shared" si="153"/>
        <v>70.497845150013632</v>
      </c>
      <c r="U98" s="133">
        <f t="shared" si="153"/>
        <v>73.87981461373198</v>
      </c>
      <c r="V98" s="133">
        <f t="shared" si="153"/>
        <v>69.107521229775301</v>
      </c>
      <c r="W98" s="133">
        <f t="shared" si="153"/>
        <v>61.631495186798197</v>
      </c>
      <c r="X98" s="133">
        <f t="shared" si="153"/>
        <v>61.723664018130918</v>
      </c>
      <c r="Y98" s="133">
        <f t="shared" si="153"/>
        <v>47.486878705639846</v>
      </c>
      <c r="Z98" s="133">
        <f t="shared" si="153"/>
        <v>52.158289866081866</v>
      </c>
      <c r="AA98" s="133">
        <f t="shared" si="153"/>
        <v>40.902083617273512</v>
      </c>
      <c r="AB98" s="133">
        <f t="shared" si="153"/>
        <v>42.426719295059108</v>
      </c>
      <c r="AC98" s="133">
        <f t="shared" si="153"/>
        <v>26.894616280016876</v>
      </c>
      <c r="AD98" s="133">
        <f t="shared" si="153"/>
        <v>23.603974443879878</v>
      </c>
      <c r="AE98" s="133">
        <f t="shared" si="153"/>
        <v>22.274721029208607</v>
      </c>
      <c r="AF98" s="133">
        <f t="shared" si="153"/>
        <v>20.456368577618093</v>
      </c>
      <c r="AG98" s="133">
        <f t="shared" si="153"/>
        <v>7.9743228580342276</v>
      </c>
      <c r="AH98" s="133">
        <f t="shared" si="153"/>
        <v>2.1222665530969209</v>
      </c>
      <c r="AI98" s="133">
        <f t="shared" si="153"/>
        <v>5.4114655896547532</v>
      </c>
      <c r="AJ98" s="133">
        <f t="shared" si="153"/>
        <v>8.6031677857849758</v>
      </c>
      <c r="AK98" s="133">
        <f t="shared" si="153"/>
        <v>0.43779197770598444</v>
      </c>
      <c r="AL98" s="133">
        <f t="shared" si="153"/>
        <v>0</v>
      </c>
      <c r="AM98" s="133">
        <f t="shared" si="153"/>
        <v>0</v>
      </c>
      <c r="AN98" s="133">
        <f t="shared" si="153"/>
        <v>0</v>
      </c>
      <c r="AO98" s="133">
        <f t="shared" si="153"/>
        <v>0</v>
      </c>
      <c r="AP98" s="133">
        <f t="shared" si="153"/>
        <v>0</v>
      </c>
      <c r="AQ98" s="133">
        <f t="shared" si="153"/>
        <v>0</v>
      </c>
      <c r="AR98" s="133">
        <f t="shared" si="153"/>
        <v>0</v>
      </c>
      <c r="AS98" s="133">
        <f t="shared" si="153"/>
        <v>0</v>
      </c>
      <c r="AT98" s="133">
        <f t="shared" si="153"/>
        <v>0</v>
      </c>
      <c r="AU98" s="133">
        <f t="shared" si="153"/>
        <v>0</v>
      </c>
      <c r="AV98" s="133">
        <f t="shared" si="153"/>
        <v>0</v>
      </c>
      <c r="AW98" s="133">
        <f t="shared" si="153"/>
        <v>0</v>
      </c>
      <c r="AX98" s="133">
        <f t="shared" si="153"/>
        <v>0</v>
      </c>
      <c r="AY98" s="133">
        <f t="shared" si="153"/>
        <v>0</v>
      </c>
      <c r="AZ98" s="133">
        <f t="shared" si="153"/>
        <v>0</v>
      </c>
      <c r="BA98" s="133">
        <f t="shared" si="153"/>
        <v>0</v>
      </c>
      <c r="BB98" s="133">
        <f t="shared" si="153"/>
        <v>0</v>
      </c>
      <c r="BC98" s="133">
        <f t="shared" si="153"/>
        <v>0</v>
      </c>
      <c r="BD98" s="133">
        <f t="shared" si="153"/>
        <v>0</v>
      </c>
      <c r="BE98" s="133">
        <f t="shared" si="153"/>
        <v>0</v>
      </c>
      <c r="BF98" s="133">
        <f t="shared" si="153"/>
        <v>0</v>
      </c>
      <c r="BG98" s="133">
        <f t="shared" si="153"/>
        <v>0</v>
      </c>
      <c r="BH98" s="133">
        <f t="shared" si="153"/>
        <v>0</v>
      </c>
      <c r="BI98" s="133">
        <f t="shared" si="153"/>
        <v>0</v>
      </c>
      <c r="BJ98" s="133">
        <f t="shared" si="153"/>
        <v>0</v>
      </c>
      <c r="BK98" s="133">
        <f t="shared" si="153"/>
        <v>0</v>
      </c>
      <c r="BL98" s="133">
        <f t="shared" si="153"/>
        <v>0</v>
      </c>
      <c r="BM98" s="133">
        <f t="shared" si="153"/>
        <v>0</v>
      </c>
      <c r="BN98" s="133">
        <f t="shared" si="153"/>
        <v>0</v>
      </c>
      <c r="BO98" s="133">
        <f t="shared" si="153"/>
        <v>0</v>
      </c>
      <c r="BP98" s="133">
        <f t="shared" si="153"/>
        <v>0</v>
      </c>
      <c r="BQ98" s="133">
        <f t="shared" si="153"/>
        <v>0</v>
      </c>
      <c r="BR98" s="133">
        <f t="shared" si="153"/>
        <v>0</v>
      </c>
      <c r="BS98" s="133">
        <f t="shared" ref="BS98:DA98" si="154">IF(BS97&gt;300,BS97-300,IF(BS97&lt;100,100-BS97,0))</f>
        <v>0</v>
      </c>
      <c r="BT98" s="133">
        <f t="shared" si="154"/>
        <v>0</v>
      </c>
      <c r="BU98" s="133">
        <f t="shared" si="154"/>
        <v>0</v>
      </c>
      <c r="BV98" s="133">
        <f t="shared" si="154"/>
        <v>0</v>
      </c>
      <c r="BW98" s="133">
        <f t="shared" si="154"/>
        <v>0</v>
      </c>
      <c r="BX98" s="133">
        <f t="shared" si="154"/>
        <v>0</v>
      </c>
      <c r="BY98" s="133">
        <f t="shared" si="154"/>
        <v>0</v>
      </c>
      <c r="BZ98" s="133">
        <f t="shared" si="154"/>
        <v>0</v>
      </c>
      <c r="CA98" s="133">
        <f t="shared" si="154"/>
        <v>0</v>
      </c>
      <c r="CB98" s="133">
        <f t="shared" si="154"/>
        <v>6.4986320021775441</v>
      </c>
      <c r="CC98" s="133">
        <f t="shared" si="154"/>
        <v>2.1248306629524905</v>
      </c>
      <c r="CD98" s="133">
        <f t="shared" si="154"/>
        <v>4.6666348054797027</v>
      </c>
      <c r="CE98" s="133">
        <f t="shared" si="154"/>
        <v>6.6408699165373832</v>
      </c>
      <c r="CF98" s="133">
        <f t="shared" si="154"/>
        <v>6.3874191456635572</v>
      </c>
      <c r="CG98" s="133">
        <f t="shared" si="154"/>
        <v>12.060169735724287</v>
      </c>
      <c r="CH98" s="133">
        <f t="shared" si="154"/>
        <v>19.341223950553854</v>
      </c>
      <c r="CI98" s="133">
        <f t="shared" si="154"/>
        <v>23.483014461176424</v>
      </c>
      <c r="CJ98" s="133">
        <f t="shared" si="154"/>
        <v>22.091450186538111</v>
      </c>
      <c r="CK98" s="133">
        <f t="shared" si="154"/>
        <v>25.329859635013122</v>
      </c>
      <c r="CL98" s="133">
        <f t="shared" si="154"/>
        <v>38.148206657598166</v>
      </c>
      <c r="CM98" s="133">
        <f t="shared" si="154"/>
        <v>35.216381637264703</v>
      </c>
      <c r="CN98" s="133">
        <f t="shared" si="154"/>
        <v>34.21118050887759</v>
      </c>
      <c r="CO98" s="133">
        <f t="shared" si="154"/>
        <v>39.730467837744698</v>
      </c>
      <c r="CP98" s="133">
        <f t="shared" si="154"/>
        <v>50.163826650536294</v>
      </c>
      <c r="CQ98" s="133">
        <f t="shared" si="154"/>
        <v>52.718413027187466</v>
      </c>
      <c r="CR98" s="133">
        <f t="shared" si="154"/>
        <v>55.226449942338604</v>
      </c>
      <c r="CS98" s="133">
        <f t="shared" si="154"/>
        <v>66.341358428342176</v>
      </c>
      <c r="CT98" s="133">
        <f t="shared" si="154"/>
        <v>63.376367080672821</v>
      </c>
      <c r="CU98" s="133">
        <f t="shared" si="154"/>
        <v>65.124190324185236</v>
      </c>
      <c r="CV98" s="133">
        <f t="shared" si="154"/>
        <v>71.272826118537921</v>
      </c>
      <c r="CW98" s="133">
        <f t="shared" si="154"/>
        <v>72.268840342448698</v>
      </c>
      <c r="CX98" s="133">
        <f t="shared" si="154"/>
        <v>74.106848541230079</v>
      </c>
      <c r="CY98" s="133">
        <f t="shared" si="154"/>
        <v>78.969821086830223</v>
      </c>
      <c r="CZ98" s="133">
        <f t="shared" si="154"/>
        <v>85.689542439149875</v>
      </c>
      <c r="DA98" s="133">
        <f t="shared" si="154"/>
        <v>85.987005416080024</v>
      </c>
      <c r="DC98">
        <v>94</v>
      </c>
      <c r="DD98" s="84">
        <v>40.513812927909846</v>
      </c>
      <c r="DE98" s="84">
        <v>22.764817874585958</v>
      </c>
      <c r="DF98" s="84">
        <v>-6.3729905416258887</v>
      </c>
      <c r="DG98" s="84">
        <v>38.960649596996738</v>
      </c>
      <c r="DH98" s="84">
        <v>19.354805716597266</v>
      </c>
      <c r="DI98" s="84">
        <v>-9.9182226726626475</v>
      </c>
      <c r="DJ98" s="84">
        <v>5.1584077110150215</v>
      </c>
      <c r="DK98" s="84">
        <f t="shared" si="118"/>
        <v>26.609170113059232</v>
      </c>
      <c r="DL98" s="84">
        <f t="shared" si="119"/>
        <v>6.0102237934371816</v>
      </c>
      <c r="DM98" s="84">
        <f t="shared" si="120"/>
        <v>344.360457293058</v>
      </c>
      <c r="DN98" s="85">
        <v>8</v>
      </c>
      <c r="DO98">
        <v>3</v>
      </c>
      <c r="DP98">
        <f t="shared" si="131"/>
        <v>337.5</v>
      </c>
      <c r="DQ98" s="270">
        <v>18.477590650225736</v>
      </c>
      <c r="DR98" s="270">
        <v>-7.6536686473017914</v>
      </c>
    </row>
    <row r="99" spans="1:122">
      <c r="A99" s="228">
        <v>830</v>
      </c>
      <c r="B99" s="230">
        <f t="shared" si="138"/>
        <v>0</v>
      </c>
      <c r="C99" s="229">
        <f>Reference!N99</f>
        <v>0</v>
      </c>
      <c r="D99" s="82"/>
      <c r="E99" s="137" t="s">
        <v>166</v>
      </c>
      <c r="F99" s="133">
        <f>IF(F97&lt;=100,F97,IF(F97&lt;200,200-F97,0))</f>
        <v>0</v>
      </c>
      <c r="G99" s="133">
        <f t="shared" ref="G99:BR99" si="155">IF(G97&lt;=100,G97,IF(G97&lt;200,200-G97,0))</f>
        <v>0</v>
      </c>
      <c r="H99" s="133">
        <f t="shared" si="155"/>
        <v>0</v>
      </c>
      <c r="I99" s="133">
        <f t="shared" si="155"/>
        <v>0</v>
      </c>
      <c r="J99" s="133">
        <f t="shared" si="155"/>
        <v>0</v>
      </c>
      <c r="K99" s="133">
        <f t="shared" si="155"/>
        <v>0</v>
      </c>
      <c r="L99" s="133">
        <f t="shared" si="155"/>
        <v>0.39072044324345195</v>
      </c>
      <c r="M99" s="133">
        <f t="shared" si="155"/>
        <v>0</v>
      </c>
      <c r="N99" s="133">
        <f t="shared" si="155"/>
        <v>0</v>
      </c>
      <c r="O99" s="133">
        <f t="shared" si="155"/>
        <v>0</v>
      </c>
      <c r="P99" s="133">
        <f t="shared" si="155"/>
        <v>14.239220594388353</v>
      </c>
      <c r="Q99" s="133">
        <f t="shared" si="155"/>
        <v>17.567135343364406</v>
      </c>
      <c r="R99" s="133">
        <f t="shared" si="155"/>
        <v>18.157329573713181</v>
      </c>
      <c r="S99" s="133">
        <f t="shared" si="155"/>
        <v>23.541532277697577</v>
      </c>
      <c r="T99" s="133">
        <f t="shared" si="155"/>
        <v>29.502154849986375</v>
      </c>
      <c r="U99" s="133">
        <f t="shared" si="155"/>
        <v>26.120185386268016</v>
      </c>
      <c r="V99" s="133">
        <f t="shared" si="155"/>
        <v>30.892478770224706</v>
      </c>
      <c r="W99" s="133">
        <f t="shared" si="155"/>
        <v>38.368504813201803</v>
      </c>
      <c r="X99" s="133">
        <f t="shared" si="155"/>
        <v>38.276335981869082</v>
      </c>
      <c r="Y99" s="133">
        <f t="shared" si="155"/>
        <v>52.513121294360154</v>
      </c>
      <c r="Z99" s="133">
        <f t="shared" si="155"/>
        <v>47.841710133918134</v>
      </c>
      <c r="AA99" s="133">
        <f t="shared" si="155"/>
        <v>59.097916382726488</v>
      </c>
      <c r="AB99" s="133">
        <f t="shared" si="155"/>
        <v>57.573280704940892</v>
      </c>
      <c r="AC99" s="133">
        <f t="shared" si="155"/>
        <v>73.105383719983124</v>
      </c>
      <c r="AD99" s="133">
        <f t="shared" si="155"/>
        <v>76.396025556120122</v>
      </c>
      <c r="AE99" s="133">
        <f t="shared" si="155"/>
        <v>77.725278970791393</v>
      </c>
      <c r="AF99" s="133">
        <f t="shared" si="155"/>
        <v>79.543631422381907</v>
      </c>
      <c r="AG99" s="133">
        <f t="shared" si="155"/>
        <v>92.025677141965772</v>
      </c>
      <c r="AH99" s="133">
        <f t="shared" si="155"/>
        <v>97.877733446903079</v>
      </c>
      <c r="AI99" s="133">
        <f t="shared" si="155"/>
        <v>94.588534410345247</v>
      </c>
      <c r="AJ99" s="133">
        <f t="shared" si="155"/>
        <v>91.396832214215024</v>
      </c>
      <c r="AK99" s="133">
        <f t="shared" si="155"/>
        <v>99.562208022294016</v>
      </c>
      <c r="AL99" s="133">
        <f t="shared" si="155"/>
        <v>97.391248102268833</v>
      </c>
      <c r="AM99" s="133">
        <f t="shared" si="155"/>
        <v>99.336086832673786</v>
      </c>
      <c r="AN99" s="133">
        <f t="shared" si="155"/>
        <v>88.518969719804332</v>
      </c>
      <c r="AO99" s="133">
        <f t="shared" si="155"/>
        <v>83.244154480797278</v>
      </c>
      <c r="AP99" s="133">
        <f t="shared" si="155"/>
        <v>96.503900994101741</v>
      </c>
      <c r="AQ99" s="133">
        <f t="shared" si="155"/>
        <v>74.71355622670157</v>
      </c>
      <c r="AR99" s="133">
        <f t="shared" si="155"/>
        <v>81.425556212557453</v>
      </c>
      <c r="AS99" s="133">
        <f t="shared" si="155"/>
        <v>69.306849008069662</v>
      </c>
      <c r="AT99" s="133">
        <f t="shared" si="155"/>
        <v>67.136829599015442</v>
      </c>
      <c r="AU99" s="133">
        <f t="shared" si="155"/>
        <v>62.597311992554069</v>
      </c>
      <c r="AV99" s="133">
        <f t="shared" si="155"/>
        <v>50.479852254371451</v>
      </c>
      <c r="AW99" s="133">
        <f t="shared" si="155"/>
        <v>49.451919898166523</v>
      </c>
      <c r="AX99" s="133">
        <f t="shared" si="155"/>
        <v>50.107458029535906</v>
      </c>
      <c r="AY99" s="133">
        <f t="shared" si="155"/>
        <v>35.416247339275202</v>
      </c>
      <c r="AZ99" s="133">
        <f t="shared" si="155"/>
        <v>35.489512969680277</v>
      </c>
      <c r="BA99" s="133">
        <f t="shared" si="155"/>
        <v>37.920498841384216</v>
      </c>
      <c r="BB99" s="133">
        <f t="shared" si="155"/>
        <v>21.810170423211218</v>
      </c>
      <c r="BC99" s="133">
        <f t="shared" si="155"/>
        <v>22.924824416593822</v>
      </c>
      <c r="BD99" s="133">
        <f t="shared" si="155"/>
        <v>6.5567447672572712</v>
      </c>
      <c r="BE99" s="133">
        <f t="shared" si="155"/>
        <v>5.3535589035314217</v>
      </c>
      <c r="BF99" s="133">
        <f t="shared" si="155"/>
        <v>4.5480117560782958</v>
      </c>
      <c r="BG99" s="133">
        <f t="shared" si="155"/>
        <v>0</v>
      </c>
      <c r="BH99" s="133">
        <f t="shared" si="155"/>
        <v>0</v>
      </c>
      <c r="BI99" s="133">
        <f t="shared" si="155"/>
        <v>0</v>
      </c>
      <c r="BJ99" s="133">
        <f t="shared" si="155"/>
        <v>0</v>
      </c>
      <c r="BK99" s="133">
        <f t="shared" si="155"/>
        <v>0</v>
      </c>
      <c r="BL99" s="133">
        <f t="shared" si="155"/>
        <v>0</v>
      </c>
      <c r="BM99" s="133">
        <f t="shared" si="155"/>
        <v>0</v>
      </c>
      <c r="BN99" s="133">
        <f t="shared" si="155"/>
        <v>0</v>
      </c>
      <c r="BO99" s="133">
        <f t="shared" si="155"/>
        <v>0</v>
      </c>
      <c r="BP99" s="133">
        <f t="shared" si="155"/>
        <v>0</v>
      </c>
      <c r="BQ99" s="133">
        <f t="shared" si="155"/>
        <v>0</v>
      </c>
      <c r="BR99" s="133">
        <f t="shared" si="155"/>
        <v>0</v>
      </c>
      <c r="BS99" s="133">
        <f t="shared" ref="BS99:DA99" si="156">IF(BS97&lt;=100,BS97,IF(BS97&lt;200,200-BS97,0))</f>
        <v>0</v>
      </c>
      <c r="BT99" s="133">
        <f t="shared" si="156"/>
        <v>0</v>
      </c>
      <c r="BU99" s="133">
        <f t="shared" si="156"/>
        <v>0</v>
      </c>
      <c r="BV99" s="133">
        <f t="shared" si="156"/>
        <v>0</v>
      </c>
      <c r="BW99" s="133">
        <f t="shared" si="156"/>
        <v>0</v>
      </c>
      <c r="BX99" s="133">
        <f t="shared" si="156"/>
        <v>0</v>
      </c>
      <c r="BY99" s="133">
        <f t="shared" si="156"/>
        <v>0</v>
      </c>
      <c r="BZ99" s="133">
        <f t="shared" si="156"/>
        <v>0</v>
      </c>
      <c r="CA99" s="133">
        <f t="shared" si="156"/>
        <v>0</v>
      </c>
      <c r="CB99" s="133">
        <f t="shared" si="156"/>
        <v>0</v>
      </c>
      <c r="CC99" s="133">
        <f t="shared" si="156"/>
        <v>0</v>
      </c>
      <c r="CD99" s="133">
        <f t="shared" si="156"/>
        <v>0</v>
      </c>
      <c r="CE99" s="133">
        <f t="shared" si="156"/>
        <v>0</v>
      </c>
      <c r="CF99" s="133">
        <f t="shared" si="156"/>
        <v>0</v>
      </c>
      <c r="CG99" s="133">
        <f t="shared" si="156"/>
        <v>0</v>
      </c>
      <c r="CH99" s="133">
        <f t="shared" si="156"/>
        <v>0</v>
      </c>
      <c r="CI99" s="133">
        <f t="shared" si="156"/>
        <v>0</v>
      </c>
      <c r="CJ99" s="133">
        <f t="shared" si="156"/>
        <v>0</v>
      </c>
      <c r="CK99" s="133">
        <f t="shared" si="156"/>
        <v>0</v>
      </c>
      <c r="CL99" s="133">
        <f t="shared" si="156"/>
        <v>0</v>
      </c>
      <c r="CM99" s="133">
        <f t="shared" si="156"/>
        <v>0</v>
      </c>
      <c r="CN99" s="133">
        <f t="shared" si="156"/>
        <v>0</v>
      </c>
      <c r="CO99" s="133">
        <f t="shared" si="156"/>
        <v>0</v>
      </c>
      <c r="CP99" s="133">
        <f t="shared" si="156"/>
        <v>0</v>
      </c>
      <c r="CQ99" s="133">
        <f t="shared" si="156"/>
        <v>0</v>
      </c>
      <c r="CR99" s="133">
        <f t="shared" si="156"/>
        <v>0</v>
      </c>
      <c r="CS99" s="133">
        <f t="shared" si="156"/>
        <v>0</v>
      </c>
      <c r="CT99" s="133">
        <f t="shared" si="156"/>
        <v>0</v>
      </c>
      <c r="CU99" s="133">
        <f t="shared" si="156"/>
        <v>0</v>
      </c>
      <c r="CV99" s="133">
        <f t="shared" si="156"/>
        <v>0</v>
      </c>
      <c r="CW99" s="133">
        <f t="shared" si="156"/>
        <v>0</v>
      </c>
      <c r="CX99" s="133">
        <f t="shared" si="156"/>
        <v>0</v>
      </c>
      <c r="CY99" s="133">
        <f t="shared" si="156"/>
        <v>0</v>
      </c>
      <c r="CZ99" s="133">
        <f t="shared" si="156"/>
        <v>0</v>
      </c>
      <c r="DA99" s="133">
        <f t="shared" si="156"/>
        <v>0</v>
      </c>
      <c r="DC99">
        <v>95</v>
      </c>
      <c r="DD99" s="84">
        <v>71.122574179994146</v>
      </c>
      <c r="DE99" s="84">
        <v>17.847096691087479</v>
      </c>
      <c r="DF99" s="84">
        <v>-4.6234962871174394</v>
      </c>
      <c r="DG99" s="84">
        <v>70.163130319082342</v>
      </c>
      <c r="DH99" s="84">
        <v>16.459230342872324</v>
      </c>
      <c r="DI99" s="84">
        <v>-7.9455281815712375</v>
      </c>
      <c r="DJ99" s="84">
        <v>3.725936315950356</v>
      </c>
      <c r="DK99" s="84">
        <f t="shared" si="118"/>
        <v>13.882601430517711</v>
      </c>
      <c r="DL99" s="84">
        <f t="shared" si="119"/>
        <v>6.0296964899180816</v>
      </c>
      <c r="DM99" s="84">
        <f t="shared" si="120"/>
        <v>345.47616061715286</v>
      </c>
      <c r="DN99" s="85">
        <v>8</v>
      </c>
      <c r="DO99">
        <v>1</v>
      </c>
      <c r="DP99">
        <f t="shared" si="131"/>
        <v>337.5</v>
      </c>
      <c r="DQ99" s="270">
        <v>18.477590650225736</v>
      </c>
      <c r="DR99" s="270">
        <v>-7.6536686473017914</v>
      </c>
    </row>
    <row r="100" spans="1:122">
      <c r="E100" s="137" t="s">
        <v>167</v>
      </c>
      <c r="F100" s="133">
        <f>IF(F97&gt;100,IF(F97&lt;=200,F97-100,IF(F97&lt;300,300-F97,0)),0)</f>
        <v>0</v>
      </c>
      <c r="G100" s="133">
        <f t="shared" ref="G100:BR100" si="157">IF(G97&gt;100,IF(G97&lt;=200,G97-100,IF(G97&lt;300,300-G97,0)),0)</f>
        <v>0</v>
      </c>
      <c r="H100" s="133">
        <f t="shared" si="157"/>
        <v>0</v>
      </c>
      <c r="I100" s="133">
        <f t="shared" si="157"/>
        <v>0</v>
      </c>
      <c r="J100" s="133">
        <f t="shared" si="157"/>
        <v>0</v>
      </c>
      <c r="K100" s="133">
        <f t="shared" si="157"/>
        <v>0</v>
      </c>
      <c r="L100" s="133">
        <f t="shared" si="157"/>
        <v>0</v>
      </c>
      <c r="M100" s="133">
        <f t="shared" si="157"/>
        <v>0</v>
      </c>
      <c r="N100" s="133">
        <f t="shared" si="157"/>
        <v>0</v>
      </c>
      <c r="O100" s="133">
        <f t="shared" si="157"/>
        <v>0</v>
      </c>
      <c r="P100" s="133">
        <f t="shared" si="157"/>
        <v>0</v>
      </c>
      <c r="Q100" s="133">
        <f t="shared" si="157"/>
        <v>0</v>
      </c>
      <c r="R100" s="133">
        <f t="shared" si="157"/>
        <v>0</v>
      </c>
      <c r="S100" s="133">
        <f t="shared" si="157"/>
        <v>0</v>
      </c>
      <c r="T100" s="133">
        <f t="shared" si="157"/>
        <v>0</v>
      </c>
      <c r="U100" s="133">
        <f t="shared" si="157"/>
        <v>0</v>
      </c>
      <c r="V100" s="133">
        <f t="shared" si="157"/>
        <v>0</v>
      </c>
      <c r="W100" s="133">
        <f t="shared" si="157"/>
        <v>0</v>
      </c>
      <c r="X100" s="133">
        <f t="shared" si="157"/>
        <v>0</v>
      </c>
      <c r="Y100" s="133">
        <f t="shared" si="157"/>
        <v>0</v>
      </c>
      <c r="Z100" s="133">
        <f t="shared" si="157"/>
        <v>0</v>
      </c>
      <c r="AA100" s="133">
        <f t="shared" si="157"/>
        <v>0</v>
      </c>
      <c r="AB100" s="133">
        <f t="shared" si="157"/>
        <v>0</v>
      </c>
      <c r="AC100" s="133">
        <f t="shared" si="157"/>
        <v>0</v>
      </c>
      <c r="AD100" s="133">
        <f t="shared" si="157"/>
        <v>0</v>
      </c>
      <c r="AE100" s="133">
        <f t="shared" si="157"/>
        <v>0</v>
      </c>
      <c r="AF100" s="133">
        <f t="shared" si="157"/>
        <v>0</v>
      </c>
      <c r="AG100" s="133">
        <f t="shared" si="157"/>
        <v>0</v>
      </c>
      <c r="AH100" s="133">
        <f t="shared" si="157"/>
        <v>0</v>
      </c>
      <c r="AI100" s="133">
        <f t="shared" si="157"/>
        <v>0</v>
      </c>
      <c r="AJ100" s="133">
        <f t="shared" si="157"/>
        <v>0</v>
      </c>
      <c r="AK100" s="133">
        <f t="shared" si="157"/>
        <v>0</v>
      </c>
      <c r="AL100" s="133">
        <f t="shared" si="157"/>
        <v>2.6087518977311674</v>
      </c>
      <c r="AM100" s="133">
        <f t="shared" si="157"/>
        <v>0.66391316732621419</v>
      </c>
      <c r="AN100" s="133">
        <f t="shared" si="157"/>
        <v>11.481030280195668</v>
      </c>
      <c r="AO100" s="133">
        <f t="shared" si="157"/>
        <v>16.755845519202722</v>
      </c>
      <c r="AP100" s="133">
        <f t="shared" si="157"/>
        <v>3.4960990058982588</v>
      </c>
      <c r="AQ100" s="133">
        <f t="shared" si="157"/>
        <v>25.28644377329843</v>
      </c>
      <c r="AR100" s="133">
        <f t="shared" si="157"/>
        <v>18.574443787442547</v>
      </c>
      <c r="AS100" s="133">
        <f t="shared" si="157"/>
        <v>30.693150991930338</v>
      </c>
      <c r="AT100" s="133">
        <f t="shared" si="157"/>
        <v>32.863170400984558</v>
      </c>
      <c r="AU100" s="133">
        <f t="shared" si="157"/>
        <v>37.402688007445931</v>
      </c>
      <c r="AV100" s="133">
        <f t="shared" si="157"/>
        <v>49.520147745628549</v>
      </c>
      <c r="AW100" s="133">
        <f t="shared" si="157"/>
        <v>50.548080101833477</v>
      </c>
      <c r="AX100" s="133">
        <f t="shared" si="157"/>
        <v>49.892541970464094</v>
      </c>
      <c r="AY100" s="133">
        <f t="shared" si="157"/>
        <v>64.583752660724798</v>
      </c>
      <c r="AZ100" s="133">
        <f t="shared" si="157"/>
        <v>64.510487030319723</v>
      </c>
      <c r="BA100" s="133">
        <f t="shared" si="157"/>
        <v>62.079501158615784</v>
      </c>
      <c r="BB100" s="133">
        <f t="shared" si="157"/>
        <v>78.189829576788782</v>
      </c>
      <c r="BC100" s="133">
        <f t="shared" si="157"/>
        <v>77.075175583406178</v>
      </c>
      <c r="BD100" s="133">
        <f t="shared" si="157"/>
        <v>93.443255232742729</v>
      </c>
      <c r="BE100" s="133">
        <f t="shared" si="157"/>
        <v>94.646441096468578</v>
      </c>
      <c r="BF100" s="133">
        <f t="shared" si="157"/>
        <v>95.451988243921704</v>
      </c>
      <c r="BG100" s="133">
        <f t="shared" si="157"/>
        <v>88.004135792071253</v>
      </c>
      <c r="BH100" s="133">
        <f t="shared" si="157"/>
        <v>74.082882020821273</v>
      </c>
      <c r="BI100" s="133">
        <f t="shared" si="157"/>
        <v>67.139199753534854</v>
      </c>
      <c r="BJ100" s="133">
        <f t="shared" si="157"/>
        <v>66.948714590368269</v>
      </c>
      <c r="BK100" s="133">
        <f t="shared" si="157"/>
        <v>66.686088082097456</v>
      </c>
      <c r="BL100" s="133">
        <f t="shared" si="157"/>
        <v>60.970883641145861</v>
      </c>
      <c r="BM100" s="133">
        <f t="shared" si="157"/>
        <v>60.282381189630684</v>
      </c>
      <c r="BN100" s="133">
        <f t="shared" si="157"/>
        <v>46.626467224964472</v>
      </c>
      <c r="BO100" s="133">
        <f t="shared" si="157"/>
        <v>47.420347078041829</v>
      </c>
      <c r="BP100" s="133">
        <f t="shared" si="157"/>
        <v>33.93916735071906</v>
      </c>
      <c r="BQ100" s="133">
        <f t="shared" si="157"/>
        <v>15.121156692288992</v>
      </c>
      <c r="BR100" s="133">
        <f t="shared" si="157"/>
        <v>38.612737359483503</v>
      </c>
      <c r="BS100" s="133">
        <f t="shared" ref="BS100:DA100" si="158">IF(BS97&gt;100,IF(BS97&lt;=200,BS97-100,IF(BS97&lt;300,300-BS97,0)),0)</f>
        <v>34.944339624458678</v>
      </c>
      <c r="BT100" s="133">
        <f t="shared" si="158"/>
        <v>29.953783545330452</v>
      </c>
      <c r="BU100" s="133">
        <f t="shared" si="158"/>
        <v>27.518880027659065</v>
      </c>
      <c r="BV100" s="133">
        <f t="shared" si="158"/>
        <v>20.128616424973416</v>
      </c>
      <c r="BW100" s="133">
        <f t="shared" si="158"/>
        <v>5.5684000763404242</v>
      </c>
      <c r="BX100" s="133">
        <f t="shared" si="158"/>
        <v>8.9341001560794666</v>
      </c>
      <c r="BY100" s="133">
        <f t="shared" si="158"/>
        <v>4.4519651976121963</v>
      </c>
      <c r="BZ100" s="133">
        <f t="shared" si="158"/>
        <v>5.8079969521477892</v>
      </c>
      <c r="CA100" s="133">
        <f t="shared" si="158"/>
        <v>6.8141626165514708</v>
      </c>
      <c r="CB100" s="133">
        <f t="shared" si="158"/>
        <v>0</v>
      </c>
      <c r="CC100" s="133">
        <f t="shared" si="158"/>
        <v>0</v>
      </c>
      <c r="CD100" s="133">
        <f t="shared" si="158"/>
        <v>0</v>
      </c>
      <c r="CE100" s="133">
        <f t="shared" si="158"/>
        <v>0</v>
      </c>
      <c r="CF100" s="133">
        <f t="shared" si="158"/>
        <v>0</v>
      </c>
      <c r="CG100" s="133">
        <f t="shared" si="158"/>
        <v>0</v>
      </c>
      <c r="CH100" s="133">
        <f t="shared" si="158"/>
        <v>0</v>
      </c>
      <c r="CI100" s="133">
        <f t="shared" si="158"/>
        <v>0</v>
      </c>
      <c r="CJ100" s="133">
        <f t="shared" si="158"/>
        <v>0</v>
      </c>
      <c r="CK100" s="133">
        <f t="shared" si="158"/>
        <v>0</v>
      </c>
      <c r="CL100" s="133">
        <f t="shared" si="158"/>
        <v>0</v>
      </c>
      <c r="CM100" s="133">
        <f t="shared" si="158"/>
        <v>0</v>
      </c>
      <c r="CN100" s="133">
        <f t="shared" si="158"/>
        <v>0</v>
      </c>
      <c r="CO100" s="133">
        <f t="shared" si="158"/>
        <v>0</v>
      </c>
      <c r="CP100" s="133">
        <f t="shared" si="158"/>
        <v>0</v>
      </c>
      <c r="CQ100" s="133">
        <f t="shared" si="158"/>
        <v>0</v>
      </c>
      <c r="CR100" s="133">
        <f t="shared" si="158"/>
        <v>0</v>
      </c>
      <c r="CS100" s="133">
        <f t="shared" si="158"/>
        <v>0</v>
      </c>
      <c r="CT100" s="133">
        <f t="shared" si="158"/>
        <v>0</v>
      </c>
      <c r="CU100" s="133">
        <f t="shared" si="158"/>
        <v>0</v>
      </c>
      <c r="CV100" s="133">
        <f t="shared" si="158"/>
        <v>0</v>
      </c>
      <c r="CW100" s="133">
        <f t="shared" si="158"/>
        <v>0</v>
      </c>
      <c r="CX100" s="133">
        <f t="shared" si="158"/>
        <v>0</v>
      </c>
      <c r="CY100" s="133">
        <f t="shared" si="158"/>
        <v>0</v>
      </c>
      <c r="CZ100" s="133">
        <f t="shared" si="158"/>
        <v>0</v>
      </c>
      <c r="DA100" s="133">
        <f t="shared" si="158"/>
        <v>0</v>
      </c>
      <c r="DC100">
        <v>96</v>
      </c>
      <c r="DD100" s="84">
        <v>79.03430449488782</v>
      </c>
      <c r="DE100" s="84">
        <v>17.122825005011254</v>
      </c>
      <c r="DF100" s="84">
        <v>-3.7914086599046413</v>
      </c>
      <c r="DG100" s="84">
        <v>78.481134349245693</v>
      </c>
      <c r="DH100" s="84">
        <v>15.7328358648075</v>
      </c>
      <c r="DI100" s="84">
        <v>-5.6605766589779662</v>
      </c>
      <c r="DJ100" s="84">
        <v>2.3941294928791721</v>
      </c>
      <c r="DK100" s="84">
        <f t="shared" si="118"/>
        <v>5.7318560286738816</v>
      </c>
      <c r="DL100" s="84">
        <f t="shared" si="119"/>
        <v>6.0652769116423393</v>
      </c>
      <c r="DM100" s="84">
        <f t="shared" si="120"/>
        <v>347.51476861524833</v>
      </c>
      <c r="DN100" s="85">
        <v>8</v>
      </c>
      <c r="DO100">
        <v>1</v>
      </c>
      <c r="DP100">
        <f t="shared" si="131"/>
        <v>337.5</v>
      </c>
      <c r="DQ100" s="270">
        <v>18.477590650225736</v>
      </c>
      <c r="DR100" s="270">
        <v>-7.6536686473017914</v>
      </c>
    </row>
    <row r="101" spans="1:122">
      <c r="E101" s="137" t="s">
        <v>168</v>
      </c>
      <c r="F101" s="133">
        <f>IF(F97&gt;300,400-F97,IF(F97&gt;200,F97-200,0))</f>
        <v>9.8643911456259161</v>
      </c>
      <c r="G101" s="133">
        <f t="shared" ref="G101:BR101" si="159">IF(G97&gt;300,400-G97,IF(G97&gt;200,G97-200,0))</f>
        <v>11.102170652126574</v>
      </c>
      <c r="H101" s="133">
        <f t="shared" si="159"/>
        <v>8.9243830955239218</v>
      </c>
      <c r="I101" s="133">
        <f t="shared" si="159"/>
        <v>7.7722340855573862</v>
      </c>
      <c r="J101" s="133">
        <f t="shared" si="159"/>
        <v>2.8832056451285553</v>
      </c>
      <c r="K101" s="133">
        <f t="shared" si="159"/>
        <v>3.4371704617257137</v>
      </c>
      <c r="L101" s="133">
        <f t="shared" si="159"/>
        <v>0</v>
      </c>
      <c r="M101" s="133">
        <f t="shared" si="159"/>
        <v>1.0960404866390263</v>
      </c>
      <c r="N101" s="133">
        <f t="shared" si="159"/>
        <v>1.1791660186236186</v>
      </c>
      <c r="O101" s="133">
        <f t="shared" si="159"/>
        <v>5.1091896887734265</v>
      </c>
      <c r="P101" s="133">
        <f t="shared" si="159"/>
        <v>0</v>
      </c>
      <c r="Q101" s="133">
        <f t="shared" si="159"/>
        <v>0</v>
      </c>
      <c r="R101" s="133">
        <f t="shared" si="159"/>
        <v>0</v>
      </c>
      <c r="S101" s="133">
        <f t="shared" si="159"/>
        <v>0</v>
      </c>
      <c r="T101" s="133">
        <f t="shared" si="159"/>
        <v>0</v>
      </c>
      <c r="U101" s="133">
        <f t="shared" si="159"/>
        <v>0</v>
      </c>
      <c r="V101" s="133">
        <f t="shared" si="159"/>
        <v>0</v>
      </c>
      <c r="W101" s="133">
        <f t="shared" si="159"/>
        <v>0</v>
      </c>
      <c r="X101" s="133">
        <f t="shared" si="159"/>
        <v>0</v>
      </c>
      <c r="Y101" s="133">
        <f t="shared" si="159"/>
        <v>0</v>
      </c>
      <c r="Z101" s="133">
        <f t="shared" si="159"/>
        <v>0</v>
      </c>
      <c r="AA101" s="133">
        <f t="shared" si="159"/>
        <v>0</v>
      </c>
      <c r="AB101" s="133">
        <f t="shared" si="159"/>
        <v>0</v>
      </c>
      <c r="AC101" s="133">
        <f t="shared" si="159"/>
        <v>0</v>
      </c>
      <c r="AD101" s="133">
        <f t="shared" si="159"/>
        <v>0</v>
      </c>
      <c r="AE101" s="133">
        <f t="shared" si="159"/>
        <v>0</v>
      </c>
      <c r="AF101" s="133">
        <f t="shared" si="159"/>
        <v>0</v>
      </c>
      <c r="AG101" s="133">
        <f t="shared" si="159"/>
        <v>0</v>
      </c>
      <c r="AH101" s="133">
        <f t="shared" si="159"/>
        <v>0</v>
      </c>
      <c r="AI101" s="133">
        <f t="shared" si="159"/>
        <v>0</v>
      </c>
      <c r="AJ101" s="133">
        <f t="shared" si="159"/>
        <v>0</v>
      </c>
      <c r="AK101" s="133">
        <f t="shared" si="159"/>
        <v>0</v>
      </c>
      <c r="AL101" s="133">
        <f t="shared" si="159"/>
        <v>0</v>
      </c>
      <c r="AM101" s="133">
        <f t="shared" si="159"/>
        <v>0</v>
      </c>
      <c r="AN101" s="133">
        <f t="shared" si="159"/>
        <v>0</v>
      </c>
      <c r="AO101" s="133">
        <f t="shared" si="159"/>
        <v>0</v>
      </c>
      <c r="AP101" s="133">
        <f t="shared" si="159"/>
        <v>0</v>
      </c>
      <c r="AQ101" s="133">
        <f t="shared" si="159"/>
        <v>0</v>
      </c>
      <c r="AR101" s="133">
        <f t="shared" si="159"/>
        <v>0</v>
      </c>
      <c r="AS101" s="133">
        <f t="shared" si="159"/>
        <v>0</v>
      </c>
      <c r="AT101" s="133">
        <f t="shared" si="159"/>
        <v>0</v>
      </c>
      <c r="AU101" s="133">
        <f t="shared" si="159"/>
        <v>0</v>
      </c>
      <c r="AV101" s="133">
        <f t="shared" si="159"/>
        <v>0</v>
      </c>
      <c r="AW101" s="133">
        <f t="shared" si="159"/>
        <v>0</v>
      </c>
      <c r="AX101" s="133">
        <f t="shared" si="159"/>
        <v>0</v>
      </c>
      <c r="AY101" s="133">
        <f t="shared" si="159"/>
        <v>0</v>
      </c>
      <c r="AZ101" s="133">
        <f t="shared" si="159"/>
        <v>0</v>
      </c>
      <c r="BA101" s="133">
        <f t="shared" si="159"/>
        <v>0</v>
      </c>
      <c r="BB101" s="133">
        <f t="shared" si="159"/>
        <v>0</v>
      </c>
      <c r="BC101" s="133">
        <f t="shared" si="159"/>
        <v>0</v>
      </c>
      <c r="BD101" s="133">
        <f t="shared" si="159"/>
        <v>0</v>
      </c>
      <c r="BE101" s="133">
        <f t="shared" si="159"/>
        <v>0</v>
      </c>
      <c r="BF101" s="133">
        <f t="shared" si="159"/>
        <v>0</v>
      </c>
      <c r="BG101" s="133">
        <f t="shared" si="159"/>
        <v>11.995864207928747</v>
      </c>
      <c r="BH101" s="133">
        <f t="shared" si="159"/>
        <v>25.917117979178727</v>
      </c>
      <c r="BI101" s="133">
        <f t="shared" si="159"/>
        <v>32.860800246465146</v>
      </c>
      <c r="BJ101" s="133">
        <f t="shared" si="159"/>
        <v>33.051285409631731</v>
      </c>
      <c r="BK101" s="133">
        <f t="shared" si="159"/>
        <v>33.313911917902544</v>
      </c>
      <c r="BL101" s="133">
        <f t="shared" si="159"/>
        <v>39.029116358854139</v>
      </c>
      <c r="BM101" s="133">
        <f t="shared" si="159"/>
        <v>39.717618810369316</v>
      </c>
      <c r="BN101" s="133">
        <f t="shared" si="159"/>
        <v>53.373532775035528</v>
      </c>
      <c r="BO101" s="133">
        <f t="shared" si="159"/>
        <v>52.579652921958171</v>
      </c>
      <c r="BP101" s="133">
        <f t="shared" si="159"/>
        <v>66.06083264928094</v>
      </c>
      <c r="BQ101" s="133">
        <f t="shared" si="159"/>
        <v>84.878843307711008</v>
      </c>
      <c r="BR101" s="133">
        <f t="shared" si="159"/>
        <v>61.387262640516497</v>
      </c>
      <c r="BS101" s="133">
        <f t="shared" ref="BS101:DA101" si="160">IF(BS97&gt;300,400-BS97,IF(BS97&gt;200,BS97-200,0))</f>
        <v>65.055660375541322</v>
      </c>
      <c r="BT101" s="133">
        <f t="shared" si="160"/>
        <v>70.046216454669548</v>
      </c>
      <c r="BU101" s="133">
        <f t="shared" si="160"/>
        <v>72.481119972340935</v>
      </c>
      <c r="BV101" s="133">
        <f t="shared" si="160"/>
        <v>79.871383575026584</v>
      </c>
      <c r="BW101" s="133">
        <f t="shared" si="160"/>
        <v>94.431599923659576</v>
      </c>
      <c r="BX101" s="133">
        <f t="shared" si="160"/>
        <v>91.065899843920533</v>
      </c>
      <c r="BY101" s="133">
        <f t="shared" si="160"/>
        <v>95.548034802387804</v>
      </c>
      <c r="BZ101" s="133">
        <f t="shared" si="160"/>
        <v>94.192003047852211</v>
      </c>
      <c r="CA101" s="133">
        <f t="shared" si="160"/>
        <v>93.185837383448529</v>
      </c>
      <c r="CB101" s="133">
        <f t="shared" si="160"/>
        <v>93.501367997822456</v>
      </c>
      <c r="CC101" s="133">
        <f t="shared" si="160"/>
        <v>97.87516933704751</v>
      </c>
      <c r="CD101" s="133">
        <f t="shared" si="160"/>
        <v>95.333365194520297</v>
      </c>
      <c r="CE101" s="133">
        <f t="shared" si="160"/>
        <v>93.359130083462617</v>
      </c>
      <c r="CF101" s="133">
        <f t="shared" si="160"/>
        <v>93.612580854336443</v>
      </c>
      <c r="CG101" s="133">
        <f t="shared" si="160"/>
        <v>87.939830264275713</v>
      </c>
      <c r="CH101" s="133">
        <f t="shared" si="160"/>
        <v>80.658776049446146</v>
      </c>
      <c r="CI101" s="133">
        <f t="shared" si="160"/>
        <v>76.516985538823576</v>
      </c>
      <c r="CJ101" s="133">
        <f t="shared" si="160"/>
        <v>77.908549813461889</v>
      </c>
      <c r="CK101" s="133">
        <f t="shared" si="160"/>
        <v>74.670140364986878</v>
      </c>
      <c r="CL101" s="133">
        <f t="shared" si="160"/>
        <v>61.851793342401834</v>
      </c>
      <c r="CM101" s="133">
        <f t="shared" si="160"/>
        <v>64.783618362735297</v>
      </c>
      <c r="CN101" s="133">
        <f t="shared" si="160"/>
        <v>65.78881949112241</v>
      </c>
      <c r="CO101" s="133">
        <f t="shared" si="160"/>
        <v>60.269532162255302</v>
      </c>
      <c r="CP101" s="133">
        <f t="shared" si="160"/>
        <v>49.836173349463706</v>
      </c>
      <c r="CQ101" s="133">
        <f t="shared" si="160"/>
        <v>47.281586972812534</v>
      </c>
      <c r="CR101" s="133">
        <f t="shared" si="160"/>
        <v>44.773550057661396</v>
      </c>
      <c r="CS101" s="133">
        <f t="shared" si="160"/>
        <v>33.658641571657824</v>
      </c>
      <c r="CT101" s="133">
        <f t="shared" si="160"/>
        <v>36.623632919327179</v>
      </c>
      <c r="CU101" s="133">
        <f t="shared" si="160"/>
        <v>34.875809675814764</v>
      </c>
      <c r="CV101" s="133">
        <f t="shared" si="160"/>
        <v>28.727173881462079</v>
      </c>
      <c r="CW101" s="133">
        <f t="shared" si="160"/>
        <v>27.731159657551302</v>
      </c>
      <c r="CX101" s="133">
        <f t="shared" si="160"/>
        <v>25.893151458769921</v>
      </c>
      <c r="CY101" s="133">
        <f t="shared" si="160"/>
        <v>21.030178913169777</v>
      </c>
      <c r="CZ101" s="133">
        <f t="shared" si="160"/>
        <v>14.310457560850125</v>
      </c>
      <c r="DA101" s="133">
        <f t="shared" si="160"/>
        <v>14.012994583919976</v>
      </c>
      <c r="DC101">
        <v>97</v>
      </c>
      <c r="DD101" s="84">
        <v>52.926072277780598</v>
      </c>
      <c r="DE101" s="84">
        <v>23.331667482620489</v>
      </c>
      <c r="DF101" s="84">
        <v>-2.9536761090157944</v>
      </c>
      <c r="DG101" s="84">
        <v>53.312756571108203</v>
      </c>
      <c r="DH101" s="84">
        <v>21.867853088791406</v>
      </c>
      <c r="DI101" s="84">
        <v>-3.7196401359281861</v>
      </c>
      <c r="DJ101" s="84">
        <v>1.6967552012035561</v>
      </c>
      <c r="DK101" s="84">
        <f t="shared" si="118"/>
        <v>2.8789782128113202</v>
      </c>
      <c r="DL101" s="84">
        <f t="shared" si="119"/>
        <v>6.1572600060529084</v>
      </c>
      <c r="DM101" s="84">
        <f t="shared" si="120"/>
        <v>352.78501171152737</v>
      </c>
      <c r="DN101" s="85">
        <v>8</v>
      </c>
      <c r="DO101">
        <v>6</v>
      </c>
      <c r="DP101">
        <f t="shared" si="131"/>
        <v>337.5</v>
      </c>
      <c r="DQ101" s="270">
        <v>18.477590650225736</v>
      </c>
      <c r="DR101" s="270">
        <v>-7.6536686473017914</v>
      </c>
    </row>
    <row r="102" spans="1:122">
      <c r="E102" s="137" t="s">
        <v>169</v>
      </c>
      <c r="F102" s="133">
        <f>((12500/13)*$F$48*F62)*(COS((F96*PI()/180)+2)+3.8)</f>
        <v>3160.5598839618074</v>
      </c>
      <c r="G102" s="133">
        <f t="shared" ref="G102:BQ102" si="161">((12500/13)*$F$48*G62)*(COS((G96*PI()/180)+2)+3.8)</f>
        <v>3187.0948985121222</v>
      </c>
      <c r="H102" s="133">
        <f t="shared" si="161"/>
        <v>3140.9496079159608</v>
      </c>
      <c r="I102" s="133">
        <f t="shared" si="161"/>
        <v>3117.5524361441267</v>
      </c>
      <c r="J102" s="133">
        <f t="shared" si="161"/>
        <v>3026.0892374877212</v>
      </c>
      <c r="K102" s="133">
        <f t="shared" si="161"/>
        <v>3035.8192485222739</v>
      </c>
      <c r="L102" s="133">
        <f t="shared" si="161"/>
        <v>2974.3256589998919</v>
      </c>
      <c r="M102" s="133">
        <f t="shared" si="161"/>
        <v>2995.7929829146292</v>
      </c>
      <c r="N102" s="133">
        <f t="shared" si="161"/>
        <v>2997.1652474930747</v>
      </c>
      <c r="O102" s="133">
        <f t="shared" si="161"/>
        <v>3066.1662828309049</v>
      </c>
      <c r="P102" s="133">
        <f t="shared" si="161"/>
        <v>2858.7524600910733</v>
      </c>
      <c r="Q102" s="133">
        <f t="shared" si="161"/>
        <v>2835.6184716170264</v>
      </c>
      <c r="R102" s="133">
        <f t="shared" si="161"/>
        <v>2831.7039369646241</v>
      </c>
      <c r="S102" s="133">
        <f t="shared" si="161"/>
        <v>2798.6037861546556</v>
      </c>
      <c r="T102" s="133">
        <f t="shared" si="161"/>
        <v>2767.4145488462846</v>
      </c>
      <c r="U102" s="133">
        <f t="shared" si="161"/>
        <v>2784.4111734521939</v>
      </c>
      <c r="V102" s="133">
        <f t="shared" si="161"/>
        <v>2760.9561971819708</v>
      </c>
      <c r="W102" s="133">
        <f t="shared" si="161"/>
        <v>2731.4428123121897</v>
      </c>
      <c r="X102" s="133">
        <f t="shared" si="161"/>
        <v>2731.7537229094505</v>
      </c>
      <c r="Y102" s="133">
        <f t="shared" si="161"/>
        <v>2698.8754442782179</v>
      </c>
      <c r="Z102" s="133">
        <f t="shared" si="161"/>
        <v>2706.3592067846812</v>
      </c>
      <c r="AA102" s="133">
        <f t="shared" si="161"/>
        <v>2693.5789116140786</v>
      </c>
      <c r="AB102" s="133">
        <f t="shared" si="161"/>
        <v>2694.270567513654</v>
      </c>
      <c r="AC102" s="133">
        <f t="shared" si="161"/>
        <v>2701.530189369505</v>
      </c>
      <c r="AD102" s="133">
        <f t="shared" si="161"/>
        <v>2706.9460643672892</v>
      </c>
      <c r="AE102" s="133">
        <f t="shared" si="161"/>
        <v>2709.495052035842</v>
      </c>
      <c r="AF102" s="133">
        <f t="shared" si="161"/>
        <v>2713.311506276179</v>
      </c>
      <c r="AG102" s="133">
        <f t="shared" si="161"/>
        <v>2749.2405253392185</v>
      </c>
      <c r="AH102" s="133">
        <f t="shared" si="161"/>
        <v>2771.5060010685588</v>
      </c>
      <c r="AI102" s="133">
        <f t="shared" si="161"/>
        <v>2758.5908694120039</v>
      </c>
      <c r="AJ102" s="133">
        <f t="shared" si="161"/>
        <v>2747.0442260730792</v>
      </c>
      <c r="AK102" s="133">
        <f t="shared" si="161"/>
        <v>2778.50571875994</v>
      </c>
      <c r="AL102" s="133">
        <f t="shared" si="161"/>
        <v>2790.161446993101</v>
      </c>
      <c r="AM102" s="133">
        <f t="shared" si="161"/>
        <v>2782.7980312959885</v>
      </c>
      <c r="AN102" s="133">
        <f t="shared" si="161"/>
        <v>2828.5396097634634</v>
      </c>
      <c r="AO102" s="133">
        <f t="shared" si="161"/>
        <v>2855.3297747927322</v>
      </c>
      <c r="AP102" s="133">
        <f t="shared" si="161"/>
        <v>2793.6422812712435</v>
      </c>
      <c r="AQ102" s="133">
        <f t="shared" si="161"/>
        <v>2905.5026622197092</v>
      </c>
      <c r="AR102" s="133">
        <f t="shared" si="161"/>
        <v>2865.2972474829139</v>
      </c>
      <c r="AS102" s="133">
        <f t="shared" si="161"/>
        <v>2942.0024337131895</v>
      </c>
      <c r="AT102" s="133">
        <f t="shared" si="161"/>
        <v>2957.7359056766836</v>
      </c>
      <c r="AU102" s="133">
        <f t="shared" si="161"/>
        <v>2992.737942553696</v>
      </c>
      <c r="AV102" s="133">
        <f t="shared" si="161"/>
        <v>3100.8075322252066</v>
      </c>
      <c r="AW102" s="133">
        <f t="shared" si="161"/>
        <v>3111.0021560203631</v>
      </c>
      <c r="AX102" s="133">
        <f t="shared" si="161"/>
        <v>3104.481679755022</v>
      </c>
      <c r="AY102" s="133">
        <f t="shared" si="161"/>
        <v>3267.2081319946119</v>
      </c>
      <c r="AZ102" s="133">
        <f t="shared" si="161"/>
        <v>3266.3086260972477</v>
      </c>
      <c r="BA102" s="133">
        <f t="shared" si="161"/>
        <v>3236.9697934486494</v>
      </c>
      <c r="BB102" s="133">
        <f t="shared" si="161"/>
        <v>3449.8079731744087</v>
      </c>
      <c r="BC102" s="133">
        <f t="shared" si="161"/>
        <v>3433.6919171644981</v>
      </c>
      <c r="BD102" s="133">
        <f t="shared" si="161"/>
        <v>3689.8130806728645</v>
      </c>
      <c r="BE102" s="133">
        <f t="shared" si="161"/>
        <v>3710.1617135682272</v>
      </c>
      <c r="BF102" s="133">
        <f t="shared" si="161"/>
        <v>3723.8869602155769</v>
      </c>
      <c r="BG102" s="133">
        <f t="shared" si="161"/>
        <v>3925.1763434768395</v>
      </c>
      <c r="BH102" s="133">
        <f t="shared" si="161"/>
        <v>4067.258807241315</v>
      </c>
      <c r="BI102" s="133">
        <f t="shared" si="161"/>
        <v>4136.907977687064</v>
      </c>
      <c r="BJ102" s="133">
        <f t="shared" si="161"/>
        <v>4138.7987643199904</v>
      </c>
      <c r="BK102" s="133">
        <f t="shared" si="161"/>
        <v>4141.4036154667665</v>
      </c>
      <c r="BL102" s="133">
        <f t="shared" si="161"/>
        <v>4197.4388945518413</v>
      </c>
      <c r="BM102" s="133">
        <f t="shared" si="161"/>
        <v>4204.0953887414698</v>
      </c>
      <c r="BN102" s="133">
        <f t="shared" si="161"/>
        <v>4330.5181954312593</v>
      </c>
      <c r="BO102" s="133">
        <f t="shared" si="161"/>
        <v>4323.5139822633519</v>
      </c>
      <c r="BP102" s="133">
        <f t="shared" si="161"/>
        <v>4434.8062747862778</v>
      </c>
      <c r="BQ102" s="133">
        <f t="shared" si="161"/>
        <v>4554.1901004779429</v>
      </c>
      <c r="BR102" s="133">
        <f t="shared" ref="BR102:DA102" si="162">((12500/13)*$F$48*BR62)*(COS((BR96*PI()/180)+2)+3.8)</f>
        <v>4398.2090226029022</v>
      </c>
      <c r="BS102" s="133">
        <f t="shared" si="162"/>
        <v>4427.1335170340662</v>
      </c>
      <c r="BT102" s="133">
        <f t="shared" si="162"/>
        <v>4464.0774045091039</v>
      </c>
      <c r="BU102" s="133">
        <f t="shared" si="162"/>
        <v>4481.0014958717056</v>
      </c>
      <c r="BV102" s="133">
        <f t="shared" si="162"/>
        <v>4527.423942758719</v>
      </c>
      <c r="BW102" s="133">
        <f t="shared" si="162"/>
        <v>4593.1780126574204</v>
      </c>
      <c r="BX102" s="133">
        <f t="shared" si="162"/>
        <v>4581.3707008030506</v>
      </c>
      <c r="BY102" s="133">
        <f t="shared" si="162"/>
        <v>4596.6030090745571</v>
      </c>
      <c r="BZ102" s="133">
        <f t="shared" si="162"/>
        <v>4592.4105256881376</v>
      </c>
      <c r="CA102" s="133">
        <f t="shared" si="162"/>
        <v>4589.0638895357306</v>
      </c>
      <c r="CB102" s="133">
        <f t="shared" si="162"/>
        <v>4613.5161667145494</v>
      </c>
      <c r="CC102" s="133">
        <f t="shared" si="162"/>
        <v>4614.8116270890878</v>
      </c>
      <c r="CD102" s="133">
        <f t="shared" si="162"/>
        <v>4616.5590414347771</v>
      </c>
      <c r="CE102" s="133">
        <f t="shared" si="162"/>
        <v>4613.1355337191708</v>
      </c>
      <c r="CF102" s="133">
        <f t="shared" si="162"/>
        <v>4613.7995302852678</v>
      </c>
      <c r="CG102" s="133">
        <f t="shared" si="162"/>
        <v>4584.2801618684425</v>
      </c>
      <c r="CH102" s="133">
        <f t="shared" si="162"/>
        <v>4507.5608866824577</v>
      </c>
      <c r="CI102" s="133">
        <f t="shared" si="162"/>
        <v>4448.4747710738329</v>
      </c>
      <c r="CJ102" s="133">
        <f t="shared" si="162"/>
        <v>4469.3925356496666</v>
      </c>
      <c r="CK102" s="133">
        <f t="shared" si="162"/>
        <v>4419.2101090328115</v>
      </c>
      <c r="CL102" s="133">
        <f t="shared" si="162"/>
        <v>4181.3270899733907</v>
      </c>
      <c r="CM102" s="133">
        <f t="shared" si="162"/>
        <v>4239.7919442347738</v>
      </c>
      <c r="CN102" s="133">
        <f t="shared" si="162"/>
        <v>4259.4094026703733</v>
      </c>
      <c r="CO102" s="133">
        <f t="shared" si="162"/>
        <v>4149.1306540636133</v>
      </c>
      <c r="CP102" s="133">
        <f t="shared" si="162"/>
        <v>3930.9330265756539</v>
      </c>
      <c r="CQ102" s="133">
        <f t="shared" si="162"/>
        <v>3877.1559103430973</v>
      </c>
      <c r="CR102" s="133">
        <f t="shared" si="162"/>
        <v>3824.6462455844317</v>
      </c>
      <c r="CS102" s="133">
        <f t="shared" si="162"/>
        <v>3599.4050649279534</v>
      </c>
      <c r="CT102" s="133">
        <f t="shared" si="162"/>
        <v>3657.9311922353168</v>
      </c>
      <c r="CU102" s="133">
        <f t="shared" si="162"/>
        <v>3623.2676586863781</v>
      </c>
      <c r="CV102" s="133">
        <f t="shared" si="162"/>
        <v>3505.2891002560268</v>
      </c>
      <c r="CW102" s="133">
        <f t="shared" si="162"/>
        <v>3486.8173490430545</v>
      </c>
      <c r="CX102" s="133">
        <f t="shared" si="162"/>
        <v>3453.2354935349658</v>
      </c>
      <c r="CY102" s="133">
        <f t="shared" si="162"/>
        <v>3367.7056391865808</v>
      </c>
      <c r="CZ102" s="133">
        <f t="shared" si="162"/>
        <v>3257.9663906451378</v>
      </c>
      <c r="DA102" s="133">
        <f t="shared" si="162"/>
        <v>3252.6662651301349</v>
      </c>
      <c r="DC102">
        <v>98</v>
      </c>
      <c r="DD102" s="84">
        <v>65.390243851062792</v>
      </c>
      <c r="DE102" s="84">
        <v>29.873054181060056</v>
      </c>
      <c r="DF102" s="84">
        <v>-0.11167546075726474</v>
      </c>
      <c r="DG102" s="84">
        <v>65.086044143270669</v>
      </c>
      <c r="DH102" s="84">
        <v>27.807952231210621</v>
      </c>
      <c r="DI102" s="84">
        <v>-1.1733663254819162</v>
      </c>
      <c r="DJ102" s="84">
        <v>2.341873399168394</v>
      </c>
      <c r="DK102" s="84">
        <f t="shared" si="118"/>
        <v>5.4843710177325278</v>
      </c>
      <c r="DL102" s="84">
        <f t="shared" si="119"/>
        <v>6.2794469903721408</v>
      </c>
      <c r="DM102" s="84">
        <f t="shared" si="120"/>
        <v>359.78581022445053</v>
      </c>
      <c r="DN102" s="85">
        <v>8</v>
      </c>
      <c r="DO102">
        <v>3</v>
      </c>
      <c r="DP102">
        <f t="shared" si="131"/>
        <v>337.5</v>
      </c>
      <c r="DQ102" s="270">
        <v>18.477590650225736</v>
      </c>
      <c r="DR102" s="270">
        <v>-7.6536686473017914</v>
      </c>
    </row>
    <row r="103" spans="1:122">
      <c r="E103" s="137" t="s">
        <v>19</v>
      </c>
      <c r="F103" s="133">
        <f t="shared" ref="F103:BQ103" si="163">(2*F88+F89+(1/20)*F90-0.305)*F61</f>
        <v>39.501102128317278</v>
      </c>
      <c r="G103" s="133">
        <f t="shared" si="163"/>
        <v>32.843605648216538</v>
      </c>
      <c r="H103" s="133">
        <f t="shared" si="163"/>
        <v>23.377383384717795</v>
      </c>
      <c r="I103" s="133">
        <f t="shared" si="163"/>
        <v>12.451693522226902</v>
      </c>
      <c r="J103" s="133">
        <f t="shared" si="163"/>
        <v>26.047146050749678</v>
      </c>
      <c r="K103" s="133">
        <f t="shared" si="163"/>
        <v>19.005748075465359</v>
      </c>
      <c r="L103" s="133">
        <f t="shared" si="163"/>
        <v>19.137630511472643</v>
      </c>
      <c r="M103" s="133">
        <f t="shared" si="163"/>
        <v>16.374821128114963</v>
      </c>
      <c r="N103" s="133">
        <f t="shared" si="163"/>
        <v>16.077268757099038</v>
      </c>
      <c r="O103" s="133">
        <f t="shared" si="163"/>
        <v>11.507391460210856</v>
      </c>
      <c r="P103" s="133">
        <f t="shared" si="163"/>
        <v>28.275756137700618</v>
      </c>
      <c r="Q103" s="133">
        <f t="shared" si="163"/>
        <v>21.62742149404713</v>
      </c>
      <c r="R103" s="133">
        <f t="shared" si="163"/>
        <v>23.943143001775702</v>
      </c>
      <c r="S103" s="133">
        <f t="shared" si="163"/>
        <v>16.480750177277951</v>
      </c>
      <c r="T103" s="133">
        <f t="shared" si="163"/>
        <v>27.828441316543739</v>
      </c>
      <c r="U103" s="133">
        <f t="shared" si="163"/>
        <v>26.811372978428274</v>
      </c>
      <c r="V103" s="133">
        <f t="shared" si="163"/>
        <v>18.023599378235449</v>
      </c>
      <c r="W103" s="133">
        <f t="shared" si="163"/>
        <v>18.631374078180528</v>
      </c>
      <c r="X103" s="133">
        <f t="shared" si="163"/>
        <v>21.054345109960956</v>
      </c>
      <c r="Y103" s="133">
        <f t="shared" si="163"/>
        <v>26.659567091125428</v>
      </c>
      <c r="Z103" s="133">
        <f t="shared" si="163"/>
        <v>24.974092145875783</v>
      </c>
      <c r="AA103" s="133">
        <f t="shared" si="163"/>
        <v>32.760598379153485</v>
      </c>
      <c r="AB103" s="133">
        <f t="shared" si="163"/>
        <v>29.522262154241748</v>
      </c>
      <c r="AC103" s="133">
        <f t="shared" si="163"/>
        <v>35.334309465565028</v>
      </c>
      <c r="AD103" s="133">
        <f t="shared" si="163"/>
        <v>34.740075486968003</v>
      </c>
      <c r="AE103" s="133">
        <f t="shared" si="163"/>
        <v>26.617432174639237</v>
      </c>
      <c r="AF103" s="133">
        <f t="shared" si="163"/>
        <v>34.333873552567105</v>
      </c>
      <c r="AG103" s="133">
        <f t="shared" si="163"/>
        <v>27.491368924691962</v>
      </c>
      <c r="AH103" s="133">
        <f t="shared" si="163"/>
        <v>15.886407413026754</v>
      </c>
      <c r="AI103" s="133">
        <f t="shared" si="163"/>
        <v>33.071699594950339</v>
      </c>
      <c r="AJ103" s="133">
        <f t="shared" si="163"/>
        <v>24.010994819868579</v>
      </c>
      <c r="AK103" s="133">
        <f t="shared" si="163"/>
        <v>33.84522241990355</v>
      </c>
      <c r="AL103" s="133">
        <f t="shared" si="163"/>
        <v>28.176243548438176</v>
      </c>
      <c r="AM103" s="133">
        <f t="shared" si="163"/>
        <v>34.478149546952423</v>
      </c>
      <c r="AN103" s="133">
        <f t="shared" si="163"/>
        <v>23.064312854336823</v>
      </c>
      <c r="AO103" s="133">
        <f t="shared" si="163"/>
        <v>16.06278203807787</v>
      </c>
      <c r="AP103" s="133">
        <f t="shared" si="163"/>
        <v>30.572876130791361</v>
      </c>
      <c r="AQ103" s="133">
        <f t="shared" si="163"/>
        <v>17.997600073054635</v>
      </c>
      <c r="AR103" s="133">
        <f t="shared" si="163"/>
        <v>33.007989266433754</v>
      </c>
      <c r="AS103" s="133">
        <f t="shared" si="163"/>
        <v>13.680446093386246</v>
      </c>
      <c r="AT103" s="133">
        <f t="shared" si="163"/>
        <v>18.831564862492542</v>
      </c>
      <c r="AU103" s="133">
        <f t="shared" si="163"/>
        <v>33.897968350100001</v>
      </c>
      <c r="AV103" s="133">
        <f t="shared" si="163"/>
        <v>25.599691263358803</v>
      </c>
      <c r="AW103" s="133">
        <f t="shared" si="163"/>
        <v>27.096919276152374</v>
      </c>
      <c r="AX103" s="133">
        <f t="shared" si="163"/>
        <v>11.442230257407786</v>
      </c>
      <c r="AY103" s="133">
        <f t="shared" si="163"/>
        <v>21.76287348494763</v>
      </c>
      <c r="AZ103" s="133">
        <f t="shared" si="163"/>
        <v>24.872773830266478</v>
      </c>
      <c r="BA103" s="133">
        <f t="shared" si="163"/>
        <v>26.281380563908481</v>
      </c>
      <c r="BB103" s="133">
        <f t="shared" si="163"/>
        <v>29.248048992514764</v>
      </c>
      <c r="BC103" s="133">
        <f t="shared" si="163"/>
        <v>17.462313729403071</v>
      </c>
      <c r="BD103" s="133">
        <f t="shared" si="163"/>
        <v>20.469554001793274</v>
      </c>
      <c r="BE103" s="133">
        <f t="shared" si="163"/>
        <v>21.903356856465663</v>
      </c>
      <c r="BF103" s="133">
        <f t="shared" si="163"/>
        <v>15.732460819729985</v>
      </c>
      <c r="BG103" s="133">
        <f t="shared" si="163"/>
        <v>18.670857949365445</v>
      </c>
      <c r="BH103" s="133">
        <f t="shared" si="163"/>
        <v>33.390238633858679</v>
      </c>
      <c r="BI103" s="133">
        <f t="shared" si="163"/>
        <v>31.886909763239689</v>
      </c>
      <c r="BJ103" s="133">
        <f t="shared" si="163"/>
        <v>26.687554822021244</v>
      </c>
      <c r="BK103" s="133">
        <f t="shared" si="163"/>
        <v>21.546093100675204</v>
      </c>
      <c r="BL103" s="133">
        <f t="shared" si="163"/>
        <v>20.198020936291822</v>
      </c>
      <c r="BM103" s="133">
        <f t="shared" si="163"/>
        <v>33.323514228117858</v>
      </c>
      <c r="BN103" s="133">
        <f t="shared" si="163"/>
        <v>33.982375405545099</v>
      </c>
      <c r="BO103" s="133">
        <f t="shared" si="163"/>
        <v>29.038278450753115</v>
      </c>
      <c r="BP103" s="133">
        <f t="shared" si="163"/>
        <v>25.147562893795715</v>
      </c>
      <c r="BQ103" s="133">
        <f t="shared" si="163"/>
        <v>13.471288832632656</v>
      </c>
      <c r="BR103" s="133">
        <f t="shared" ref="BR103:DA103" si="164">(2*BR88+BR89+(1/20)*BR90-0.305)*BR61</f>
        <v>21.90917138000172</v>
      </c>
      <c r="BS103" s="133">
        <f t="shared" si="164"/>
        <v>15.339811994397738</v>
      </c>
      <c r="BT103" s="133">
        <f t="shared" si="164"/>
        <v>16.932205525776055</v>
      </c>
      <c r="BU103" s="133">
        <f t="shared" si="164"/>
        <v>18.068871202638366</v>
      </c>
      <c r="BV103" s="133">
        <f t="shared" si="164"/>
        <v>23.945001173101275</v>
      </c>
      <c r="BW103" s="133">
        <f t="shared" si="164"/>
        <v>20.044026473484362</v>
      </c>
      <c r="BX103" s="133">
        <f t="shared" si="164"/>
        <v>27.294419768469044</v>
      </c>
      <c r="BY103" s="133">
        <f t="shared" si="164"/>
        <v>13.695982301987845</v>
      </c>
      <c r="BZ103" s="133">
        <f t="shared" si="164"/>
        <v>28.989874853252612</v>
      </c>
      <c r="CA103" s="133">
        <f t="shared" si="164"/>
        <v>21.646023098419239</v>
      </c>
      <c r="CB103" s="133">
        <f t="shared" si="164"/>
        <v>11.326716883395207</v>
      </c>
      <c r="CC103" s="133">
        <f t="shared" si="164"/>
        <v>13.03435957486089</v>
      </c>
      <c r="CD103" s="133">
        <f t="shared" si="164"/>
        <v>18.270982094144365</v>
      </c>
      <c r="CE103" s="133">
        <f t="shared" si="164"/>
        <v>17.044031390470344</v>
      </c>
      <c r="CF103" s="133">
        <f t="shared" si="164"/>
        <v>16.927664771023654</v>
      </c>
      <c r="CG103" s="133">
        <f t="shared" si="164"/>
        <v>27.900993247050415</v>
      </c>
      <c r="CH103" s="133">
        <f t="shared" si="164"/>
        <v>24.817541732192197</v>
      </c>
      <c r="CI103" s="133">
        <f t="shared" si="164"/>
        <v>17.01101307730535</v>
      </c>
      <c r="CJ103" s="133">
        <f t="shared" si="164"/>
        <v>33.578946723187016</v>
      </c>
      <c r="CK103" s="133">
        <f t="shared" si="164"/>
        <v>27.568919129609991</v>
      </c>
      <c r="CL103" s="133">
        <f t="shared" si="164"/>
        <v>11.30775204440601</v>
      </c>
      <c r="CM103" s="133">
        <f t="shared" si="164"/>
        <v>15.891525437637757</v>
      </c>
      <c r="CN103" s="133">
        <f t="shared" si="164"/>
        <v>24.83069074233839</v>
      </c>
      <c r="CO103" s="133">
        <f t="shared" si="164"/>
        <v>15.406607012090682</v>
      </c>
      <c r="CP103" s="133">
        <f t="shared" si="164"/>
        <v>23.541342549172192</v>
      </c>
      <c r="CQ103" s="133">
        <f t="shared" si="164"/>
        <v>14.9086267738837</v>
      </c>
      <c r="CR103" s="133">
        <f t="shared" si="164"/>
        <v>16.839457320759813</v>
      </c>
      <c r="CS103" s="133">
        <f t="shared" si="164"/>
        <v>30.642423657059005</v>
      </c>
      <c r="CT103" s="133">
        <f t="shared" si="164"/>
        <v>21.344717940728792</v>
      </c>
      <c r="CU103" s="133">
        <f t="shared" si="164"/>
        <v>25.44118826576987</v>
      </c>
      <c r="CV103" s="133">
        <f t="shared" si="164"/>
        <v>15.411011900808601</v>
      </c>
      <c r="CW103" s="133">
        <f t="shared" si="164"/>
        <v>26.618944076226853</v>
      </c>
      <c r="CX103" s="133">
        <f t="shared" si="164"/>
        <v>29.856738262189559</v>
      </c>
      <c r="CY103" s="133">
        <f t="shared" si="164"/>
        <v>19.760077445748021</v>
      </c>
      <c r="CZ103" s="133">
        <f t="shared" si="164"/>
        <v>24.379422986122634</v>
      </c>
      <c r="DA103" s="133">
        <f t="shared" si="164"/>
        <v>20.082846477569756</v>
      </c>
      <c r="DC103">
        <v>99</v>
      </c>
      <c r="DD103" s="84">
        <v>53.823303561266364</v>
      </c>
      <c r="DE103" s="84">
        <v>32.040788321801898</v>
      </c>
      <c r="DF103" s="84">
        <v>7.4330013133782374E-2</v>
      </c>
      <c r="DG103" s="84">
        <v>52.304768653740389</v>
      </c>
      <c r="DH103" s="84">
        <v>29.423940771692422</v>
      </c>
      <c r="DI103" s="84">
        <v>-1.3819556083058784</v>
      </c>
      <c r="DJ103" s="84">
        <v>3.3577681839431364</v>
      </c>
      <c r="DK103" s="84">
        <f t="shared" ref="DK103" si="165">DJ103^2</f>
        <v>11.274607177100789</v>
      </c>
      <c r="DL103" s="84">
        <f t="shared" ref="DL103" si="166">ATAN(DF103/DE103)+PI()*IF(AND((DE103&lt;0),(DF103&gt;0)),1,0)+PI()*IF(AND((DE103&lt;0),(DF103&lt;0)),1,0)+2*PI()*IF(AND((DE103&gt;0),(DF103&lt;0)),1,0)</f>
        <v>2.3198517791225073E-3</v>
      </c>
      <c r="DM103" s="84">
        <f t="shared" ref="DM103" si="167">DL103*180/PI()</f>
        <v>0.13291771603963493</v>
      </c>
      <c r="DN103" s="85">
        <v>8</v>
      </c>
      <c r="DO103">
        <v>5</v>
      </c>
      <c r="DP103">
        <f t="shared" si="131"/>
        <v>337.5</v>
      </c>
      <c r="DQ103" s="270">
        <v>18.477590650225736</v>
      </c>
      <c r="DR103" s="270">
        <v>-7.6536686473017914</v>
      </c>
    </row>
    <row r="104" spans="1:122">
      <c r="E104" s="137" t="s">
        <v>170</v>
      </c>
      <c r="F104" s="133">
        <f t="shared" ref="F104:BQ104" si="168">(2*F91+F92+(1/20)*F93-0.305)*F61</f>
        <v>39.501102128317278</v>
      </c>
      <c r="G104" s="133">
        <f t="shared" si="168"/>
        <v>39.501102128317278</v>
      </c>
      <c r="H104" s="133">
        <f t="shared" si="168"/>
        <v>39.501102128317278</v>
      </c>
      <c r="I104" s="133">
        <f t="shared" si="168"/>
        <v>39.501102128317278</v>
      </c>
      <c r="J104" s="133">
        <f t="shared" si="168"/>
        <v>39.501102128317278</v>
      </c>
      <c r="K104" s="133">
        <f t="shared" si="168"/>
        <v>39.501102128317278</v>
      </c>
      <c r="L104" s="133">
        <f t="shared" si="168"/>
        <v>39.501102128317278</v>
      </c>
      <c r="M104" s="133">
        <f t="shared" si="168"/>
        <v>39.501102128317278</v>
      </c>
      <c r="N104" s="133">
        <f t="shared" si="168"/>
        <v>39.501102128317278</v>
      </c>
      <c r="O104" s="133">
        <f t="shared" si="168"/>
        <v>39.501102128317278</v>
      </c>
      <c r="P104" s="133">
        <f t="shared" si="168"/>
        <v>39.501102128317278</v>
      </c>
      <c r="Q104" s="133">
        <f t="shared" si="168"/>
        <v>39.501102128317278</v>
      </c>
      <c r="R104" s="133">
        <f t="shared" si="168"/>
        <v>39.501102128317278</v>
      </c>
      <c r="S104" s="133">
        <f t="shared" si="168"/>
        <v>39.501102128317278</v>
      </c>
      <c r="T104" s="133">
        <f t="shared" si="168"/>
        <v>39.501102128317278</v>
      </c>
      <c r="U104" s="133">
        <f t="shared" si="168"/>
        <v>39.501102128317278</v>
      </c>
      <c r="V104" s="133">
        <f t="shared" si="168"/>
        <v>39.501102128317278</v>
      </c>
      <c r="W104" s="133">
        <f t="shared" si="168"/>
        <v>39.501102128317278</v>
      </c>
      <c r="X104" s="133">
        <f t="shared" si="168"/>
        <v>39.501102128317278</v>
      </c>
      <c r="Y104" s="133">
        <f t="shared" si="168"/>
        <v>39.501102128317278</v>
      </c>
      <c r="Z104" s="133">
        <f t="shared" si="168"/>
        <v>39.501102128317278</v>
      </c>
      <c r="AA104" s="133">
        <f t="shared" si="168"/>
        <v>39.501102128317278</v>
      </c>
      <c r="AB104" s="133">
        <f t="shared" si="168"/>
        <v>39.501102128317278</v>
      </c>
      <c r="AC104" s="133">
        <f t="shared" si="168"/>
        <v>39.501102128317278</v>
      </c>
      <c r="AD104" s="133">
        <f t="shared" si="168"/>
        <v>39.501102128317278</v>
      </c>
      <c r="AE104" s="133">
        <f t="shared" si="168"/>
        <v>39.501102128317278</v>
      </c>
      <c r="AF104" s="133">
        <f t="shared" si="168"/>
        <v>39.501102128317278</v>
      </c>
      <c r="AG104" s="133">
        <f t="shared" si="168"/>
        <v>39.501102128317278</v>
      </c>
      <c r="AH104" s="133">
        <f t="shared" si="168"/>
        <v>39.501102128317278</v>
      </c>
      <c r="AI104" s="133">
        <f t="shared" si="168"/>
        <v>39.501102128317278</v>
      </c>
      <c r="AJ104" s="133">
        <f t="shared" si="168"/>
        <v>39.501102128317278</v>
      </c>
      <c r="AK104" s="133">
        <f t="shared" si="168"/>
        <v>39.501102128317278</v>
      </c>
      <c r="AL104" s="133">
        <f t="shared" si="168"/>
        <v>39.501102128317278</v>
      </c>
      <c r="AM104" s="133">
        <f t="shared" si="168"/>
        <v>39.501102128317278</v>
      </c>
      <c r="AN104" s="133">
        <f t="shared" si="168"/>
        <v>39.501102128317278</v>
      </c>
      <c r="AO104" s="133">
        <f t="shared" si="168"/>
        <v>39.501102128317278</v>
      </c>
      <c r="AP104" s="133">
        <f t="shared" si="168"/>
        <v>39.501102128317278</v>
      </c>
      <c r="AQ104" s="133">
        <f t="shared" si="168"/>
        <v>39.501102128317278</v>
      </c>
      <c r="AR104" s="133">
        <f t="shared" si="168"/>
        <v>39.501102128317278</v>
      </c>
      <c r="AS104" s="133">
        <f t="shared" si="168"/>
        <v>39.501102128317278</v>
      </c>
      <c r="AT104" s="133">
        <f t="shared" si="168"/>
        <v>39.501102128317278</v>
      </c>
      <c r="AU104" s="133">
        <f t="shared" si="168"/>
        <v>39.501102128317278</v>
      </c>
      <c r="AV104" s="133">
        <f t="shared" si="168"/>
        <v>39.501102128317278</v>
      </c>
      <c r="AW104" s="133">
        <f t="shared" si="168"/>
        <v>39.501102128317278</v>
      </c>
      <c r="AX104" s="133">
        <f t="shared" si="168"/>
        <v>39.501102128317278</v>
      </c>
      <c r="AY104" s="133">
        <f t="shared" si="168"/>
        <v>39.501102128317278</v>
      </c>
      <c r="AZ104" s="133">
        <f t="shared" si="168"/>
        <v>39.501102128317278</v>
      </c>
      <c r="BA104" s="133">
        <f t="shared" si="168"/>
        <v>39.501102128317278</v>
      </c>
      <c r="BB104" s="133">
        <f t="shared" si="168"/>
        <v>39.501102128317278</v>
      </c>
      <c r="BC104" s="133">
        <f t="shared" si="168"/>
        <v>39.501102128317278</v>
      </c>
      <c r="BD104" s="133">
        <f t="shared" si="168"/>
        <v>39.501102128317278</v>
      </c>
      <c r="BE104" s="133">
        <f t="shared" si="168"/>
        <v>39.501102128317278</v>
      </c>
      <c r="BF104" s="133">
        <f t="shared" si="168"/>
        <v>39.501102128317278</v>
      </c>
      <c r="BG104" s="133">
        <f t="shared" si="168"/>
        <v>39.501102128317278</v>
      </c>
      <c r="BH104" s="133">
        <f t="shared" si="168"/>
        <v>39.501102128317278</v>
      </c>
      <c r="BI104" s="133">
        <f t="shared" si="168"/>
        <v>39.501102128317278</v>
      </c>
      <c r="BJ104" s="133">
        <f t="shared" si="168"/>
        <v>39.501102128317278</v>
      </c>
      <c r="BK104" s="133">
        <f t="shared" si="168"/>
        <v>39.501102128317278</v>
      </c>
      <c r="BL104" s="133">
        <f t="shared" si="168"/>
        <v>39.501102128317278</v>
      </c>
      <c r="BM104" s="133">
        <f t="shared" si="168"/>
        <v>39.501102128317278</v>
      </c>
      <c r="BN104" s="133">
        <f t="shared" si="168"/>
        <v>39.501102128317278</v>
      </c>
      <c r="BO104" s="133">
        <f t="shared" si="168"/>
        <v>39.501102128317278</v>
      </c>
      <c r="BP104" s="133">
        <f t="shared" si="168"/>
        <v>39.501102128317278</v>
      </c>
      <c r="BQ104" s="133">
        <f t="shared" si="168"/>
        <v>39.501102128317278</v>
      </c>
      <c r="BR104" s="133">
        <f t="shared" ref="BR104:DA104" si="169">(2*BR91+BR92+(1/20)*BR93-0.305)*BR61</f>
        <v>39.501102128317278</v>
      </c>
      <c r="BS104" s="133">
        <f t="shared" si="169"/>
        <v>39.501102128317278</v>
      </c>
      <c r="BT104" s="133">
        <f t="shared" si="169"/>
        <v>39.501102128317278</v>
      </c>
      <c r="BU104" s="133">
        <f t="shared" si="169"/>
        <v>39.501102128317278</v>
      </c>
      <c r="BV104" s="133">
        <f t="shared" si="169"/>
        <v>39.501102128317278</v>
      </c>
      <c r="BW104" s="133">
        <f t="shared" si="169"/>
        <v>39.501102128317278</v>
      </c>
      <c r="BX104" s="133">
        <f t="shared" si="169"/>
        <v>39.501102128317278</v>
      </c>
      <c r="BY104" s="133">
        <f t="shared" si="169"/>
        <v>39.501102128317278</v>
      </c>
      <c r="BZ104" s="133">
        <f t="shared" si="169"/>
        <v>39.501102128317278</v>
      </c>
      <c r="CA104" s="133">
        <f t="shared" si="169"/>
        <v>39.501102128317278</v>
      </c>
      <c r="CB104" s="133">
        <f t="shared" si="169"/>
        <v>39.501102128317278</v>
      </c>
      <c r="CC104" s="133">
        <f t="shared" si="169"/>
        <v>39.501102128317278</v>
      </c>
      <c r="CD104" s="133">
        <f t="shared" si="169"/>
        <v>39.501102128317278</v>
      </c>
      <c r="CE104" s="133">
        <f t="shared" si="169"/>
        <v>39.501102128317278</v>
      </c>
      <c r="CF104" s="133">
        <f t="shared" si="169"/>
        <v>39.501102128317278</v>
      </c>
      <c r="CG104" s="133">
        <f t="shared" si="169"/>
        <v>39.501102128317278</v>
      </c>
      <c r="CH104" s="133">
        <f t="shared" si="169"/>
        <v>39.501102128317278</v>
      </c>
      <c r="CI104" s="133">
        <f t="shared" si="169"/>
        <v>39.501102128317278</v>
      </c>
      <c r="CJ104" s="133">
        <f t="shared" si="169"/>
        <v>39.501102128317278</v>
      </c>
      <c r="CK104" s="133">
        <f t="shared" si="169"/>
        <v>39.501102128317278</v>
      </c>
      <c r="CL104" s="133">
        <f t="shared" si="169"/>
        <v>39.501102128317278</v>
      </c>
      <c r="CM104" s="133">
        <f t="shared" si="169"/>
        <v>39.501102128317278</v>
      </c>
      <c r="CN104" s="133">
        <f t="shared" si="169"/>
        <v>39.501102128317278</v>
      </c>
      <c r="CO104" s="133">
        <f t="shared" si="169"/>
        <v>39.501102128317278</v>
      </c>
      <c r="CP104" s="133">
        <f t="shared" si="169"/>
        <v>39.501102128317278</v>
      </c>
      <c r="CQ104" s="133">
        <f t="shared" si="169"/>
        <v>39.501102128317278</v>
      </c>
      <c r="CR104" s="133">
        <f t="shared" si="169"/>
        <v>39.501102128317278</v>
      </c>
      <c r="CS104" s="133">
        <f t="shared" si="169"/>
        <v>39.501102128317278</v>
      </c>
      <c r="CT104" s="133">
        <f t="shared" si="169"/>
        <v>39.501102128317278</v>
      </c>
      <c r="CU104" s="133">
        <f t="shared" si="169"/>
        <v>39.501102128317278</v>
      </c>
      <c r="CV104" s="133">
        <f t="shared" si="169"/>
        <v>39.501102128317278</v>
      </c>
      <c r="CW104" s="133">
        <f t="shared" si="169"/>
        <v>39.501102128317278</v>
      </c>
      <c r="CX104" s="133">
        <f t="shared" si="169"/>
        <v>39.501102128317278</v>
      </c>
      <c r="CY104" s="133">
        <f t="shared" si="169"/>
        <v>39.501102128317278</v>
      </c>
      <c r="CZ104" s="133">
        <f t="shared" si="169"/>
        <v>39.501102128317278</v>
      </c>
      <c r="DA104" s="133">
        <f t="shared" si="169"/>
        <v>39.501102128317278</v>
      </c>
      <c r="DL104" s="84"/>
      <c r="DM104" s="84"/>
    </row>
    <row r="105" spans="1:122">
      <c r="E105" s="137" t="s">
        <v>72</v>
      </c>
      <c r="F105" s="133">
        <f>100*(F103/F104)^($F$47*F63)</f>
        <v>100</v>
      </c>
      <c r="G105" s="133">
        <f t="shared" ref="G105:BQ105" si="170">100*(G103/G104)^($F$47*G63)</f>
        <v>78.236100121599989</v>
      </c>
      <c r="H105" s="133">
        <f t="shared" si="170"/>
        <v>49.780471772495446</v>
      </c>
      <c r="I105" s="133">
        <f t="shared" si="170"/>
        <v>21.541461530037306</v>
      </c>
      <c r="J105" s="133">
        <f t="shared" si="170"/>
        <v>57.479237740079355</v>
      </c>
      <c r="K105" s="133">
        <f t="shared" si="170"/>
        <v>37.800494903400256</v>
      </c>
      <c r="L105" s="133">
        <f t="shared" si="170"/>
        <v>38.149694937555289</v>
      </c>
      <c r="M105" s="133">
        <f t="shared" si="170"/>
        <v>31.006283550254139</v>
      </c>
      <c r="N105" s="133">
        <f t="shared" si="170"/>
        <v>30.259307014080939</v>
      </c>
      <c r="O105" s="133">
        <f t="shared" si="170"/>
        <v>19.396717853396378</v>
      </c>
      <c r="P105" s="133">
        <f t="shared" si="170"/>
        <v>64.109588934902348</v>
      </c>
      <c r="Q105" s="133">
        <f t="shared" si="170"/>
        <v>44.887383866095185</v>
      </c>
      <c r="R105" s="133">
        <f t="shared" si="170"/>
        <v>51.388872857330256</v>
      </c>
      <c r="S105" s="133">
        <f t="shared" si="170"/>
        <v>31.273294763058633</v>
      </c>
      <c r="T105" s="133">
        <f t="shared" si="170"/>
        <v>62.764464015151219</v>
      </c>
      <c r="U105" s="133">
        <f t="shared" si="170"/>
        <v>59.732618493680711</v>
      </c>
      <c r="V105" s="133">
        <f t="shared" si="170"/>
        <v>35.225311056592751</v>
      </c>
      <c r="W105" s="133">
        <f t="shared" si="170"/>
        <v>36.813583910937105</v>
      </c>
      <c r="X105" s="133">
        <f t="shared" si="170"/>
        <v>43.312683485743172</v>
      </c>
      <c r="Y105" s="133">
        <f t="shared" si="170"/>
        <v>59.283300413899219</v>
      </c>
      <c r="Z105" s="133">
        <f t="shared" si="170"/>
        <v>54.351982331543667</v>
      </c>
      <c r="AA105" s="133">
        <f t="shared" si="170"/>
        <v>77.973272921846132</v>
      </c>
      <c r="AB105" s="133">
        <f t="shared" si="170"/>
        <v>67.894862002251116</v>
      </c>
      <c r="AC105" s="133">
        <f t="shared" si="170"/>
        <v>86.22277839896492</v>
      </c>
      <c r="AD105" s="133">
        <f t="shared" si="170"/>
        <v>84.299902387432411</v>
      </c>
      <c r="AE105" s="133">
        <f t="shared" si="170"/>
        <v>59.158737968304628</v>
      </c>
      <c r="AF105" s="133">
        <f t="shared" si="170"/>
        <v>82.99169402183108</v>
      </c>
      <c r="AG105" s="133">
        <f t="shared" si="170"/>
        <v>61.755544655869073</v>
      </c>
      <c r="AH105" s="133">
        <f t="shared" si="170"/>
        <v>29.782557344673783</v>
      </c>
      <c r="AI105" s="133">
        <f t="shared" si="170"/>
        <v>78.959444874914823</v>
      </c>
      <c r="AJ105" s="133">
        <f t="shared" si="170"/>
        <v>51.582618133273307</v>
      </c>
      <c r="AK105" s="133">
        <f t="shared" si="170"/>
        <v>81.424704721691825</v>
      </c>
      <c r="AL105" s="133">
        <f t="shared" si="170"/>
        <v>63.809732454779343</v>
      </c>
      <c r="AM105" s="133">
        <f t="shared" si="170"/>
        <v>83.455766031218729</v>
      </c>
      <c r="AN105" s="133">
        <f t="shared" si="170"/>
        <v>48.895924025137255</v>
      </c>
      <c r="AO105" s="133">
        <f t="shared" si="170"/>
        <v>30.223055083410756</v>
      </c>
      <c r="AP105" s="133">
        <f t="shared" si="170"/>
        <v>71.126558014518707</v>
      </c>
      <c r="AQ105" s="133">
        <f t="shared" si="170"/>
        <v>35.15775712182009</v>
      </c>
      <c r="AR105" s="133">
        <f t="shared" si="170"/>
        <v>78.757236879243465</v>
      </c>
      <c r="AS105" s="133">
        <f t="shared" si="170"/>
        <v>24.413250607050234</v>
      </c>
      <c r="AT105" s="133">
        <f t="shared" si="170"/>
        <v>37.340514194880733</v>
      </c>
      <c r="AU105" s="133">
        <f t="shared" si="170"/>
        <v>81.593491438112153</v>
      </c>
      <c r="AV105" s="133">
        <f t="shared" si="170"/>
        <v>56.169928377010748</v>
      </c>
      <c r="AW105" s="133">
        <f t="shared" si="170"/>
        <v>60.580056943441441</v>
      </c>
      <c r="AX105" s="133">
        <f t="shared" si="170"/>
        <v>19.250798399976812</v>
      </c>
      <c r="AY105" s="133">
        <f t="shared" si="170"/>
        <v>45.261607766540166</v>
      </c>
      <c r="AZ105" s="133">
        <f t="shared" si="170"/>
        <v>54.058959337363319</v>
      </c>
      <c r="BA105" s="133">
        <f t="shared" si="170"/>
        <v>58.167609252446482</v>
      </c>
      <c r="BB105" s="133">
        <f t="shared" si="170"/>
        <v>67.057549691605828</v>
      </c>
      <c r="BC105" s="133">
        <f t="shared" si="170"/>
        <v>33.774120049288584</v>
      </c>
      <c r="BD105" s="133">
        <f t="shared" si="170"/>
        <v>41.720302638576747</v>
      </c>
      <c r="BE105" s="133">
        <f t="shared" si="170"/>
        <v>45.650544488682499</v>
      </c>
      <c r="BF105" s="133">
        <f t="shared" si="170"/>
        <v>29.399389273467179</v>
      </c>
      <c r="BG105" s="133">
        <f t="shared" si="170"/>
        <v>36.917363880916717</v>
      </c>
      <c r="BH105" s="133">
        <f t="shared" si="170"/>
        <v>79.972368940111309</v>
      </c>
      <c r="BI105" s="133">
        <f t="shared" si="170"/>
        <v>75.220286799935053</v>
      </c>
      <c r="BJ105" s="133">
        <f t="shared" si="170"/>
        <v>59.366075771455669</v>
      </c>
      <c r="BK105" s="133">
        <f t="shared" si="170"/>
        <v>44.663062268559216</v>
      </c>
      <c r="BL105" s="133">
        <f t="shared" si="170"/>
        <v>40.985979976707576</v>
      </c>
      <c r="BM105" s="133">
        <f t="shared" si="170"/>
        <v>79.759926683359609</v>
      </c>
      <c r="BN105" s="133">
        <f t="shared" si="170"/>
        <v>81.863773806097882</v>
      </c>
      <c r="BO105" s="133">
        <f t="shared" si="170"/>
        <v>66.418757656845301</v>
      </c>
      <c r="BP105" s="133">
        <f t="shared" si="170"/>
        <v>54.854587817235924</v>
      </c>
      <c r="BQ105" s="133">
        <f t="shared" si="170"/>
        <v>23.918168479519696</v>
      </c>
      <c r="BR105" s="133">
        <f t="shared" ref="BR105:CW105" si="171">100*(BR103/BR104)^($F$47*BR63)</f>
        <v>45.666660121566622</v>
      </c>
      <c r="BS105" s="133">
        <f t="shared" si="171"/>
        <v>28.427707952417219</v>
      </c>
      <c r="BT105" s="133">
        <f t="shared" si="171"/>
        <v>32.417583925534601</v>
      </c>
      <c r="BU105" s="133">
        <f t="shared" si="171"/>
        <v>35.343017430901817</v>
      </c>
      <c r="BV105" s="133">
        <f t="shared" si="171"/>
        <v>51.394176303749937</v>
      </c>
      <c r="BW105" s="133">
        <f t="shared" si="171"/>
        <v>40.570965447489449</v>
      </c>
      <c r="BX105" s="133">
        <f t="shared" si="171"/>
        <v>61.167922029087485</v>
      </c>
      <c r="BY105" s="133">
        <f t="shared" si="171"/>
        <v>24.45012548838325</v>
      </c>
      <c r="BZ105" s="133">
        <f t="shared" si="171"/>
        <v>66.271574864636634</v>
      </c>
      <c r="CA105" s="133">
        <f t="shared" si="171"/>
        <v>44.938730321742604</v>
      </c>
      <c r="CB105" s="133">
        <f t="shared" si="171"/>
        <v>18.992795789415414</v>
      </c>
      <c r="CC105" s="133">
        <f t="shared" si="171"/>
        <v>22.892131909642092</v>
      </c>
      <c r="CD105" s="133">
        <f t="shared" si="171"/>
        <v>35.86968859148439</v>
      </c>
      <c r="CE105" s="133">
        <f t="shared" si="171"/>
        <v>32.702594060776761</v>
      </c>
      <c r="CF105" s="133">
        <f t="shared" si="171"/>
        <v>32.406024003776707</v>
      </c>
      <c r="CG105" s="133">
        <f t="shared" si="171"/>
        <v>62.982154478756527</v>
      </c>
      <c r="CH105" s="133">
        <f t="shared" si="171"/>
        <v>53.899388024626091</v>
      </c>
      <c r="CI105" s="133">
        <f t="shared" si="171"/>
        <v>32.61837606659131</v>
      </c>
      <c r="CJ105" s="133">
        <f t="shared" si="171"/>
        <v>80.573949662924306</v>
      </c>
      <c r="CK105" s="133">
        <f t="shared" si="171"/>
        <v>61.987307233489055</v>
      </c>
      <c r="CL105" s="133">
        <f t="shared" si="171"/>
        <v>18.950519876648514</v>
      </c>
      <c r="CM105" s="133">
        <f t="shared" si="171"/>
        <v>29.795317050739101</v>
      </c>
      <c r="CN105" s="133">
        <f t="shared" si="171"/>
        <v>53.937366279981326</v>
      </c>
      <c r="CO105" s="133">
        <f t="shared" si="171"/>
        <v>28.592431702586069</v>
      </c>
      <c r="CP105" s="133">
        <f t="shared" si="171"/>
        <v>50.245285469355551</v>
      </c>
      <c r="CQ105" s="133">
        <f t="shared" si="171"/>
        <v>27.370076881616846</v>
      </c>
      <c r="CR105" s="133">
        <f t="shared" si="171"/>
        <v>32.18166724182808</v>
      </c>
      <c r="CS105" s="133">
        <f t="shared" si="171"/>
        <v>71.341795996314403</v>
      </c>
      <c r="CT105" s="133">
        <f t="shared" si="171"/>
        <v>44.108827718172222</v>
      </c>
      <c r="CU105" s="133">
        <f t="shared" si="171"/>
        <v>55.707929053155993</v>
      </c>
      <c r="CV105" s="133">
        <f t="shared" si="171"/>
        <v>28.603302926536529</v>
      </c>
      <c r="CW105" s="133">
        <f t="shared" si="171"/>
        <v>59.163206442728956</v>
      </c>
      <c r="CX105" s="133">
        <f>100*(CX103/CX104)^($F$47*CX63)</f>
        <v>68.919663709370113</v>
      </c>
      <c r="CY105" s="133">
        <f>100*(CY103/CY104)^($F$47*CY63)</f>
        <v>39.808481283187838</v>
      </c>
      <c r="CZ105" s="133">
        <f>100*(CZ103/CZ104)^($F$47*CZ63)</f>
        <v>52.63777898646125</v>
      </c>
      <c r="DA105" s="133">
        <f>100*(DA103/DA104)^($F$47*DA63)</f>
        <v>40.675486434258332</v>
      </c>
    </row>
    <row r="106" spans="1:122">
      <c r="E106" s="137" t="s">
        <v>171</v>
      </c>
      <c r="F106" s="133">
        <f t="shared" ref="F106:BQ106" si="172">(4/$F$47)*((F105/100)^0.5)*(F104+4)*(F59^0.25)</f>
        <v>238.02650952152914</v>
      </c>
      <c r="G106" s="133">
        <f t="shared" si="172"/>
        <v>210.53723981806715</v>
      </c>
      <c r="H106" s="133">
        <f t="shared" si="172"/>
        <v>167.94026421775897</v>
      </c>
      <c r="I106" s="133">
        <f t="shared" si="172"/>
        <v>110.47472035143517</v>
      </c>
      <c r="J106" s="133">
        <f t="shared" si="172"/>
        <v>180.45994809258556</v>
      </c>
      <c r="K106" s="133">
        <f t="shared" si="172"/>
        <v>146.34371345010365</v>
      </c>
      <c r="L106" s="133">
        <f t="shared" si="172"/>
        <v>147.01811929175861</v>
      </c>
      <c r="M106" s="133">
        <f t="shared" si="172"/>
        <v>132.54098237900882</v>
      </c>
      <c r="N106" s="133">
        <f t="shared" si="172"/>
        <v>130.93471792507239</v>
      </c>
      <c r="O106" s="133">
        <f t="shared" si="172"/>
        <v>104.8309333082872</v>
      </c>
      <c r="P106" s="133">
        <f t="shared" si="172"/>
        <v>190.58416958386914</v>
      </c>
      <c r="Q106" s="133">
        <f t="shared" si="172"/>
        <v>159.47311422797117</v>
      </c>
      <c r="R106" s="133">
        <f t="shared" si="172"/>
        <v>170.63176147463639</v>
      </c>
      <c r="S106" s="133">
        <f t="shared" si="172"/>
        <v>133.11044863625898</v>
      </c>
      <c r="T106" s="133">
        <f t="shared" si="172"/>
        <v>188.57418538059352</v>
      </c>
      <c r="U106" s="133">
        <f t="shared" si="172"/>
        <v>183.96326323225901</v>
      </c>
      <c r="V106" s="133">
        <f t="shared" si="172"/>
        <v>141.27091122973272</v>
      </c>
      <c r="W106" s="133">
        <f t="shared" si="172"/>
        <v>144.42067740866545</v>
      </c>
      <c r="X106" s="133">
        <f t="shared" si="172"/>
        <v>156.65089263384155</v>
      </c>
      <c r="Y106" s="133">
        <f t="shared" si="172"/>
        <v>183.27005697998129</v>
      </c>
      <c r="Z106" s="133">
        <f t="shared" si="172"/>
        <v>175.48218050918609</v>
      </c>
      <c r="AA106" s="133">
        <f t="shared" si="172"/>
        <v>210.18330177347519</v>
      </c>
      <c r="AB106" s="133">
        <f t="shared" si="172"/>
        <v>196.12988921820633</v>
      </c>
      <c r="AC106" s="133">
        <f t="shared" si="172"/>
        <v>221.02242250808317</v>
      </c>
      <c r="AD106" s="133">
        <f t="shared" si="172"/>
        <v>218.54398804617449</v>
      </c>
      <c r="AE106" s="133">
        <f t="shared" si="172"/>
        <v>183.07741781807843</v>
      </c>
      <c r="AF106" s="133">
        <f t="shared" si="172"/>
        <v>216.84161980262746</v>
      </c>
      <c r="AG106" s="133">
        <f t="shared" si="172"/>
        <v>187.05240921243899</v>
      </c>
      <c r="AH106" s="133">
        <f t="shared" si="172"/>
        <v>129.89915362779746</v>
      </c>
      <c r="AI106" s="133">
        <f t="shared" si="172"/>
        <v>211.50827887544321</v>
      </c>
      <c r="AJ106" s="133">
        <f t="shared" si="172"/>
        <v>170.9531150556025</v>
      </c>
      <c r="AK106" s="133">
        <f t="shared" si="172"/>
        <v>214.78474088583229</v>
      </c>
      <c r="AL106" s="133">
        <f t="shared" si="172"/>
        <v>190.13794243069481</v>
      </c>
      <c r="AM106" s="133">
        <f t="shared" si="172"/>
        <v>217.44704088573434</v>
      </c>
      <c r="AN106" s="133">
        <f t="shared" si="172"/>
        <v>166.44151374088787</v>
      </c>
      <c r="AO106" s="133">
        <f t="shared" si="172"/>
        <v>130.85626175232551</v>
      </c>
      <c r="AP106" s="133">
        <f t="shared" si="172"/>
        <v>200.74337635212046</v>
      </c>
      <c r="AQ106" s="133">
        <f t="shared" si="172"/>
        <v>141.13538388397367</v>
      </c>
      <c r="AR106" s="133">
        <f t="shared" si="172"/>
        <v>211.23727847773935</v>
      </c>
      <c r="AS106" s="133">
        <f t="shared" si="172"/>
        <v>117.60834340863497</v>
      </c>
      <c r="AT106" s="133">
        <f t="shared" si="172"/>
        <v>145.45058593139345</v>
      </c>
      <c r="AU106" s="133">
        <f t="shared" si="172"/>
        <v>215.00724119116464</v>
      </c>
      <c r="AV106" s="133">
        <f t="shared" si="172"/>
        <v>178.39277576498623</v>
      </c>
      <c r="AW106" s="133">
        <f t="shared" si="172"/>
        <v>185.2636289043086</v>
      </c>
      <c r="AX106" s="133">
        <f t="shared" si="172"/>
        <v>104.43587290377208</v>
      </c>
      <c r="AY106" s="133">
        <f t="shared" si="172"/>
        <v>160.13649419145227</v>
      </c>
      <c r="AZ106" s="133">
        <f t="shared" si="172"/>
        <v>175.00851051927398</v>
      </c>
      <c r="BA106" s="133">
        <f t="shared" si="172"/>
        <v>181.53732644352439</v>
      </c>
      <c r="BB106" s="133">
        <f t="shared" si="172"/>
        <v>194.91675299238847</v>
      </c>
      <c r="BC106" s="133">
        <f t="shared" si="172"/>
        <v>138.33030975277293</v>
      </c>
      <c r="BD106" s="133">
        <f t="shared" si="172"/>
        <v>153.74431049515024</v>
      </c>
      <c r="BE106" s="133">
        <f t="shared" si="172"/>
        <v>160.82305546674053</v>
      </c>
      <c r="BF106" s="133">
        <f t="shared" si="172"/>
        <v>129.06083851457225</v>
      </c>
      <c r="BG106" s="133">
        <f t="shared" si="172"/>
        <v>144.62409994745471</v>
      </c>
      <c r="BH106" s="133">
        <f t="shared" si="172"/>
        <v>212.86061299265853</v>
      </c>
      <c r="BI106" s="133">
        <f t="shared" si="172"/>
        <v>206.43951046182059</v>
      </c>
      <c r="BJ106" s="133">
        <f t="shared" si="172"/>
        <v>183.39795937958738</v>
      </c>
      <c r="BK106" s="133">
        <f t="shared" si="172"/>
        <v>159.07413720712023</v>
      </c>
      <c r="BL106" s="133">
        <f t="shared" si="172"/>
        <v>152.38527033521848</v>
      </c>
      <c r="BM106" s="133">
        <f t="shared" si="172"/>
        <v>212.57769864947801</v>
      </c>
      <c r="BN106" s="133">
        <f t="shared" si="172"/>
        <v>215.36305768799966</v>
      </c>
      <c r="BO106" s="133">
        <f t="shared" si="172"/>
        <v>193.98614029424363</v>
      </c>
      <c r="BP106" s="133">
        <f t="shared" si="172"/>
        <v>176.29167578913496</v>
      </c>
      <c r="BQ106" s="133">
        <f t="shared" si="172"/>
        <v>116.40973173849292</v>
      </c>
      <c r="BR106" s="133">
        <f t="shared" ref="BR106:CW106" si="173">(4/$F$47)*((BR105/100)^0.5)*(BR104+4)*(BR59^0.25)</f>
        <v>160.85143997620531</v>
      </c>
      <c r="BS106" s="133">
        <f t="shared" si="173"/>
        <v>126.91011879215769</v>
      </c>
      <c r="BT106" s="133">
        <f t="shared" si="173"/>
        <v>135.52382480537341</v>
      </c>
      <c r="BU106" s="133">
        <f t="shared" si="173"/>
        <v>141.50674475793244</v>
      </c>
      <c r="BV106" s="133">
        <f t="shared" si="173"/>
        <v>170.64056603686456</v>
      </c>
      <c r="BW106" s="133">
        <f t="shared" si="173"/>
        <v>151.61179839824001</v>
      </c>
      <c r="BX106" s="133">
        <f t="shared" si="173"/>
        <v>186.16035205699242</v>
      </c>
      <c r="BY106" s="133">
        <f t="shared" si="173"/>
        <v>117.69713038317296</v>
      </c>
      <c r="BZ106" s="133">
        <f t="shared" si="173"/>
        <v>193.77108616121461</v>
      </c>
      <c r="CA106" s="133">
        <f t="shared" si="173"/>
        <v>159.56429841112441</v>
      </c>
      <c r="CB106" s="133">
        <f t="shared" si="173"/>
        <v>103.73367819802158</v>
      </c>
      <c r="CC106" s="133">
        <f t="shared" si="173"/>
        <v>113.88550395384149</v>
      </c>
      <c r="CD106" s="133">
        <f t="shared" si="173"/>
        <v>142.55719163219538</v>
      </c>
      <c r="CE106" s="133">
        <f t="shared" si="173"/>
        <v>136.11827282544715</v>
      </c>
      <c r="CF106" s="133">
        <f t="shared" si="173"/>
        <v>135.4996591472588</v>
      </c>
      <c r="CG106" s="133">
        <f t="shared" si="173"/>
        <v>188.900924955465</v>
      </c>
      <c r="CH106" s="133">
        <f t="shared" si="173"/>
        <v>174.75002444380084</v>
      </c>
      <c r="CI106" s="133">
        <f t="shared" si="173"/>
        <v>135.94288921708946</v>
      </c>
      <c r="CJ106" s="133">
        <f t="shared" si="173"/>
        <v>213.6597197955798</v>
      </c>
      <c r="CK106" s="133">
        <f t="shared" si="173"/>
        <v>187.40307530376631</v>
      </c>
      <c r="CL106" s="133">
        <f t="shared" si="173"/>
        <v>103.61816389787184</v>
      </c>
      <c r="CM106" s="133">
        <f t="shared" si="173"/>
        <v>129.92697691895651</v>
      </c>
      <c r="CN106" s="133">
        <f t="shared" si="173"/>
        <v>174.81157924644953</v>
      </c>
      <c r="CO106" s="133">
        <f t="shared" si="173"/>
        <v>127.27727668269131</v>
      </c>
      <c r="CP106" s="133">
        <f t="shared" si="173"/>
        <v>168.72249426769645</v>
      </c>
      <c r="CQ106" s="133">
        <f t="shared" si="173"/>
        <v>124.5269458516715</v>
      </c>
      <c r="CR106" s="133">
        <f t="shared" si="173"/>
        <v>135.02979179676646</v>
      </c>
      <c r="CS106" s="133">
        <f t="shared" si="173"/>
        <v>201.04688436542403</v>
      </c>
      <c r="CT106" s="133">
        <f t="shared" si="173"/>
        <v>158.08406171815082</v>
      </c>
      <c r="CU106" s="133">
        <f t="shared" si="173"/>
        <v>177.65761803917098</v>
      </c>
      <c r="CV106" s="133">
        <f t="shared" si="173"/>
        <v>127.301470642417</v>
      </c>
      <c r="CW106" s="133">
        <f t="shared" si="173"/>
        <v>183.08433193879662</v>
      </c>
      <c r="CX106" s="133">
        <f>(4/$F$47)*((CX105/100)^0.5)*(CX104+4)*(CX59^0.25)</f>
        <v>197.60453295879145</v>
      </c>
      <c r="CY106" s="133">
        <f>(4/$F$47)*((CY105/100)^0.5)*(CY104+4)*(CY59^0.25)</f>
        <v>150.18035711721095</v>
      </c>
      <c r="CZ106" s="133">
        <f>(4/$F$47)*((CZ105/100)^0.5)*(CZ104+4)*(CZ59^0.25)</f>
        <v>172.69275032299865</v>
      </c>
      <c r="DA106" s="133">
        <f>(4/$F$47)*((DA105/100)^0.5)*(DA104+4)*(DA59^0.25)</f>
        <v>151.80696779477179</v>
      </c>
    </row>
    <row r="107" spans="1:122">
      <c r="E107" s="137" t="s">
        <v>172</v>
      </c>
      <c r="F107" s="133">
        <f>(F102*(F94^2+F95^2)^0.5)/(F88+F89+(21/20)*F90)</f>
        <v>4.204794240704135E-3</v>
      </c>
      <c r="G107" s="133">
        <f t="shared" ref="G107:BR107" si="174">(G102*(G94^2+G95^2)^0.5)/(G88+G89+(21/20)*G90)</f>
        <v>39.615776634605552</v>
      </c>
      <c r="H107" s="133">
        <f t="shared" si="174"/>
        <v>124.59717231612572</v>
      </c>
      <c r="I107" s="133">
        <f t="shared" si="174"/>
        <v>68.81927384111664</v>
      </c>
      <c r="J107" s="133">
        <f t="shared" si="174"/>
        <v>66.48135111360132</v>
      </c>
      <c r="K107" s="133">
        <f t="shared" si="174"/>
        <v>171.59137094903676</v>
      </c>
      <c r="L107" s="133">
        <f t="shared" si="174"/>
        <v>70.564836443177725</v>
      </c>
      <c r="M107" s="133">
        <f t="shared" si="174"/>
        <v>177.9409460501071</v>
      </c>
      <c r="N107" s="133">
        <f t="shared" si="174"/>
        <v>160.43291784735985</v>
      </c>
      <c r="O107" s="133">
        <f t="shared" si="174"/>
        <v>10.806238653381088</v>
      </c>
      <c r="P107" s="133">
        <f t="shared" si="174"/>
        <v>125.43819587612056</v>
      </c>
      <c r="Q107" s="133">
        <f t="shared" si="174"/>
        <v>151.34715450554677</v>
      </c>
      <c r="R107" s="133">
        <f t="shared" si="174"/>
        <v>156.32561448692169</v>
      </c>
      <c r="S107" s="133">
        <f t="shared" si="174"/>
        <v>103.9541968388027</v>
      </c>
      <c r="T107" s="133">
        <f t="shared" si="174"/>
        <v>19.211492307017362</v>
      </c>
      <c r="U107" s="133">
        <f t="shared" si="174"/>
        <v>44.474239550182084</v>
      </c>
      <c r="V107" s="133">
        <f t="shared" si="174"/>
        <v>99.331115546268521</v>
      </c>
      <c r="W107" s="133">
        <f t="shared" si="174"/>
        <v>90.273814170636655</v>
      </c>
      <c r="X107" s="133">
        <f t="shared" si="174"/>
        <v>58.908789561131648</v>
      </c>
      <c r="Y107" s="133">
        <f t="shared" si="174"/>
        <v>90.050860802651584</v>
      </c>
      <c r="Z107" s="133">
        <f t="shared" si="174"/>
        <v>134.00417429411044</v>
      </c>
      <c r="AA107" s="133">
        <f t="shared" si="174"/>
        <v>96.265263431742298</v>
      </c>
      <c r="AB107" s="133">
        <f t="shared" si="174"/>
        <v>110.83846480320678</v>
      </c>
      <c r="AC107" s="133">
        <f t="shared" si="174"/>
        <v>26.100105418083039</v>
      </c>
      <c r="AD107" s="133">
        <f t="shared" si="174"/>
        <v>65.97342179356886</v>
      </c>
      <c r="AE107" s="133">
        <f t="shared" si="174"/>
        <v>126.86526545362302</v>
      </c>
      <c r="AF107" s="133">
        <f t="shared" si="174"/>
        <v>84.824541618727437</v>
      </c>
      <c r="AG107" s="133">
        <f t="shared" si="174"/>
        <v>38.782201900528115</v>
      </c>
      <c r="AH107" s="133">
        <f t="shared" si="174"/>
        <v>60.240367857383141</v>
      </c>
      <c r="AI107" s="133">
        <f t="shared" si="174"/>
        <v>84.672210504508428</v>
      </c>
      <c r="AJ107" s="133">
        <f t="shared" si="174"/>
        <v>50.276158419425698</v>
      </c>
      <c r="AK107" s="133">
        <f t="shared" si="174"/>
        <v>82.815571309904399</v>
      </c>
      <c r="AL107" s="133">
        <f t="shared" si="174"/>
        <v>108.82779474930054</v>
      </c>
      <c r="AM107" s="133">
        <f t="shared" si="174"/>
        <v>46.01646702810357</v>
      </c>
      <c r="AN107" s="133">
        <f t="shared" si="174"/>
        <v>107.77614627254688</v>
      </c>
      <c r="AO107" s="133">
        <f t="shared" si="174"/>
        <v>59.182739675704816</v>
      </c>
      <c r="AP107" s="133">
        <f t="shared" si="174"/>
        <v>14.137908955581102</v>
      </c>
      <c r="AQ107" s="133">
        <f t="shared" si="174"/>
        <v>73.777376385286288</v>
      </c>
      <c r="AR107" s="133">
        <f t="shared" si="174"/>
        <v>38.485753115670342</v>
      </c>
      <c r="AS107" s="133">
        <f t="shared" si="174"/>
        <v>25.936261553358271</v>
      </c>
      <c r="AT107" s="133">
        <f t="shared" si="174"/>
        <v>45.859246755177224</v>
      </c>
      <c r="AU107" s="133">
        <f t="shared" si="174"/>
        <v>17.238731197809756</v>
      </c>
      <c r="AV107" s="133">
        <f t="shared" si="174"/>
        <v>122.39300999673445</v>
      </c>
      <c r="AW107" s="133">
        <f t="shared" si="174"/>
        <v>122.65832555897263</v>
      </c>
      <c r="AX107" s="133">
        <f t="shared" si="174"/>
        <v>4.9161472120004959</v>
      </c>
      <c r="AY107" s="133">
        <f t="shared" si="174"/>
        <v>103.731942089092</v>
      </c>
      <c r="AZ107" s="133">
        <f t="shared" si="174"/>
        <v>67.074145128075571</v>
      </c>
      <c r="BA107" s="133">
        <f t="shared" si="174"/>
        <v>39.409368213330964</v>
      </c>
      <c r="BB107" s="133">
        <f t="shared" si="174"/>
        <v>71.602624367400267</v>
      </c>
      <c r="BC107" s="133">
        <f t="shared" si="174"/>
        <v>91.132874639353119</v>
      </c>
      <c r="BD107" s="133">
        <f t="shared" si="174"/>
        <v>69.052772029846452</v>
      </c>
      <c r="BE107" s="133">
        <f t="shared" si="174"/>
        <v>55.047551968704866</v>
      </c>
      <c r="BF107" s="133">
        <f t="shared" si="174"/>
        <v>102.8581062543626</v>
      </c>
      <c r="BG107" s="133">
        <f t="shared" si="174"/>
        <v>143.6027127455788</v>
      </c>
      <c r="BH107" s="133">
        <f t="shared" si="174"/>
        <v>36.3524498153404</v>
      </c>
      <c r="BI107" s="133">
        <f t="shared" si="174"/>
        <v>44.207318498063117</v>
      </c>
      <c r="BJ107" s="133">
        <f t="shared" si="174"/>
        <v>106.39120416259584</v>
      </c>
      <c r="BK107" s="133">
        <f t="shared" si="174"/>
        <v>135.79144895751611</v>
      </c>
      <c r="BL107" s="133">
        <f t="shared" si="174"/>
        <v>141.72030477432006</v>
      </c>
      <c r="BM107" s="133">
        <f t="shared" si="174"/>
        <v>36.972709296204556</v>
      </c>
      <c r="BN107" s="133">
        <f t="shared" si="174"/>
        <v>13.350418074991909</v>
      </c>
      <c r="BO107" s="133">
        <f t="shared" si="174"/>
        <v>38.896276584260235</v>
      </c>
      <c r="BP107" s="133">
        <f t="shared" si="174"/>
        <v>17.388351769024656</v>
      </c>
      <c r="BQ107" s="133">
        <f t="shared" si="174"/>
        <v>10.678508443308838</v>
      </c>
      <c r="BR107" s="133">
        <f t="shared" si="174"/>
        <v>135.45084086860021</v>
      </c>
      <c r="BS107" s="133">
        <f t="shared" ref="BS107:DA107" si="175">(BS102*(BS94^2+BS95^2)^0.5)/(BS88+BS89+(21/20)*BS90)</f>
        <v>91.627528773569551</v>
      </c>
      <c r="BT107" s="133">
        <f t="shared" si="175"/>
        <v>149.35354538552428</v>
      </c>
      <c r="BU107" s="133">
        <f t="shared" si="175"/>
        <v>149.90898710521415</v>
      </c>
      <c r="BV107" s="133">
        <f t="shared" si="175"/>
        <v>75.880823831499214</v>
      </c>
      <c r="BW107" s="133">
        <f t="shared" si="175"/>
        <v>39.581340223500341</v>
      </c>
      <c r="BX107" s="133">
        <f t="shared" si="175"/>
        <v>88.74305121216841</v>
      </c>
      <c r="BY107" s="133">
        <f t="shared" si="175"/>
        <v>129.59745985094378</v>
      </c>
      <c r="BZ107" s="133">
        <f t="shared" si="175"/>
        <v>22.436234334042496</v>
      </c>
      <c r="CA107" s="133">
        <f t="shared" si="175"/>
        <v>138.67081056584283</v>
      </c>
      <c r="CB107" s="133">
        <f t="shared" si="175"/>
        <v>13.924066395755695</v>
      </c>
      <c r="CC107" s="133">
        <f t="shared" si="175"/>
        <v>130.8795686203087</v>
      </c>
      <c r="CD107" s="133">
        <f t="shared" si="175"/>
        <v>159.62432096610883</v>
      </c>
      <c r="CE107" s="133">
        <f t="shared" si="175"/>
        <v>106.37730851127651</v>
      </c>
      <c r="CF107" s="133">
        <f t="shared" si="175"/>
        <v>160.09813373106087</v>
      </c>
      <c r="CG107" s="133">
        <f t="shared" si="175"/>
        <v>54.685497008776252</v>
      </c>
      <c r="CH107" s="133">
        <f t="shared" si="175"/>
        <v>71.140515139066196</v>
      </c>
      <c r="CI107" s="133">
        <f t="shared" si="175"/>
        <v>121.95516541646556</v>
      </c>
      <c r="CJ107" s="133">
        <f t="shared" si="175"/>
        <v>18.580184739987732</v>
      </c>
      <c r="CK107" s="133">
        <f t="shared" si="175"/>
        <v>42.591875981808172</v>
      </c>
      <c r="CL107" s="133">
        <f t="shared" si="175"/>
        <v>30.397179544848601</v>
      </c>
      <c r="CM107" s="133">
        <f t="shared" si="175"/>
        <v>49.765833915130955</v>
      </c>
      <c r="CN107" s="133">
        <f t="shared" si="175"/>
        <v>73.203633020325881</v>
      </c>
      <c r="CO107" s="133">
        <f t="shared" si="175"/>
        <v>111.53849400497943</v>
      </c>
      <c r="CP107" s="133">
        <f t="shared" si="175"/>
        <v>79.904381550932214</v>
      </c>
      <c r="CQ107" s="133">
        <f t="shared" si="175"/>
        <v>102.32636489903435</v>
      </c>
      <c r="CR107" s="133">
        <f t="shared" si="175"/>
        <v>108.17233760989365</v>
      </c>
      <c r="CS107" s="133">
        <f t="shared" si="175"/>
        <v>6.5280409013657001</v>
      </c>
      <c r="CT107" s="133">
        <f t="shared" si="175"/>
        <v>57.030494691928986</v>
      </c>
      <c r="CU107" s="133">
        <f t="shared" si="175"/>
        <v>39.951857397867521</v>
      </c>
      <c r="CV107" s="133">
        <f t="shared" si="175"/>
        <v>111.02610475496276</v>
      </c>
      <c r="CW107" s="133">
        <f t="shared" si="175"/>
        <v>52.383324012802014</v>
      </c>
      <c r="CX107" s="133">
        <f t="shared" si="175"/>
        <v>44.974726286700552</v>
      </c>
      <c r="CY107" s="133">
        <f t="shared" si="175"/>
        <v>91.714451106618512</v>
      </c>
      <c r="CZ107" s="133">
        <f t="shared" si="175"/>
        <v>111.93082901876105</v>
      </c>
      <c r="DA107" s="133">
        <f t="shared" si="175"/>
        <v>143.96921723091475</v>
      </c>
    </row>
    <row r="108" spans="1:122">
      <c r="E108" s="137" t="s">
        <v>173</v>
      </c>
      <c r="F108" s="138">
        <f>100*(F110/F106)^0.5</f>
        <v>0.50791838306523907</v>
      </c>
      <c r="G108" s="138">
        <f t="shared" ref="G108:BR108" si="176">100*(G110/G106)^0.5</f>
        <v>31.199632108409368</v>
      </c>
      <c r="H108" s="138">
        <f t="shared" si="176"/>
        <v>52.250142405098835</v>
      </c>
      <c r="I108" s="138">
        <f t="shared" si="176"/>
        <v>40.001689384383923</v>
      </c>
      <c r="J108" s="138">
        <f t="shared" si="176"/>
        <v>39.384353540645236</v>
      </c>
      <c r="K108" s="138">
        <f t="shared" si="176"/>
        <v>60.343673438450438</v>
      </c>
      <c r="L108" s="138">
        <f t="shared" si="176"/>
        <v>40.455124986181055</v>
      </c>
      <c r="M108" s="138">
        <f t="shared" si="176"/>
        <v>61.338471204025524</v>
      </c>
      <c r="N108" s="138">
        <f t="shared" si="176"/>
        <v>58.545141716199247</v>
      </c>
      <c r="O108" s="138">
        <f t="shared" si="176"/>
        <v>17.388508988447736</v>
      </c>
      <c r="P108" s="138">
        <f t="shared" si="176"/>
        <v>52.408557248132873</v>
      </c>
      <c r="Q108" s="138">
        <f t="shared" si="176"/>
        <v>57.029191107509604</v>
      </c>
      <c r="R108" s="138">
        <f t="shared" si="176"/>
        <v>57.865853024326384</v>
      </c>
      <c r="S108" s="138">
        <f t="shared" si="176"/>
        <v>48.160136249590892</v>
      </c>
      <c r="T108" s="138">
        <f t="shared" si="176"/>
        <v>22.527411392779197</v>
      </c>
      <c r="U108" s="138">
        <f t="shared" si="176"/>
        <v>32.866816004050023</v>
      </c>
      <c r="V108" s="138">
        <f t="shared" si="176"/>
        <v>47.184264028989269</v>
      </c>
      <c r="W108" s="138">
        <f t="shared" si="176"/>
        <v>45.197207320989165</v>
      </c>
      <c r="X108" s="138">
        <f t="shared" si="176"/>
        <v>37.298368827441543</v>
      </c>
      <c r="Y108" s="138">
        <f t="shared" si="176"/>
        <v>45.146941636526911</v>
      </c>
      <c r="Z108" s="138">
        <f t="shared" si="176"/>
        <v>53.989840167009397</v>
      </c>
      <c r="AA108" s="138">
        <f t="shared" si="176"/>
        <v>46.523257538065415</v>
      </c>
      <c r="AB108" s="138">
        <f t="shared" si="176"/>
        <v>49.570068657621697</v>
      </c>
      <c r="AC108" s="138">
        <f t="shared" si="176"/>
        <v>25.858171544117614</v>
      </c>
      <c r="AD108" s="138">
        <f t="shared" si="176"/>
        <v>39.248661363824269</v>
      </c>
      <c r="AE108" s="138">
        <f t="shared" si="176"/>
        <v>52.676028532579409</v>
      </c>
      <c r="AF108" s="138">
        <f t="shared" si="176"/>
        <v>43.948441553113618</v>
      </c>
      <c r="AG108" s="138">
        <f t="shared" si="176"/>
        <v>30.902484903634054</v>
      </c>
      <c r="AH108" s="138">
        <f t="shared" si="176"/>
        <v>37.675430321969749</v>
      </c>
      <c r="AI108" s="138">
        <f t="shared" si="176"/>
        <v>43.912908075354835</v>
      </c>
      <c r="AJ108" s="138">
        <f t="shared" si="176"/>
        <v>34.731355497150147</v>
      </c>
      <c r="AK108" s="138">
        <f t="shared" si="176"/>
        <v>43.476962593160316</v>
      </c>
      <c r="AL108" s="138">
        <f t="shared" si="176"/>
        <v>49.163378239210601</v>
      </c>
      <c r="AM108" s="138">
        <f t="shared" si="176"/>
        <v>33.374884164298095</v>
      </c>
      <c r="AN108" s="138">
        <f t="shared" si="176"/>
        <v>48.949018429471323</v>
      </c>
      <c r="AO108" s="138">
        <f t="shared" si="176"/>
        <v>37.376322990621539</v>
      </c>
      <c r="AP108" s="138">
        <f t="shared" si="176"/>
        <v>19.623755575855409</v>
      </c>
      <c r="AQ108" s="138">
        <f t="shared" si="176"/>
        <v>41.273779322052498</v>
      </c>
      <c r="AR108" s="138">
        <f t="shared" si="176"/>
        <v>30.795963051580355</v>
      </c>
      <c r="AS108" s="138">
        <f t="shared" si="176"/>
        <v>25.784998728097957</v>
      </c>
      <c r="AT108" s="138">
        <f t="shared" si="176"/>
        <v>33.323522849446341</v>
      </c>
      <c r="AU108" s="138">
        <f t="shared" si="176"/>
        <v>21.455378409528919</v>
      </c>
      <c r="AV108" s="138">
        <f t="shared" si="176"/>
        <v>51.83215570399009</v>
      </c>
      <c r="AW108" s="138">
        <f t="shared" si="176"/>
        <v>51.882686857495429</v>
      </c>
      <c r="AX108" s="138">
        <f t="shared" si="176"/>
        <v>12.199442664143906</v>
      </c>
      <c r="AY108" s="138">
        <f t="shared" si="176"/>
        <v>48.113773968507985</v>
      </c>
      <c r="AZ108" s="138">
        <f t="shared" si="176"/>
        <v>39.541998054135782</v>
      </c>
      <c r="BA108" s="138">
        <f t="shared" si="176"/>
        <v>31.126375851576562</v>
      </c>
      <c r="BB108" s="138">
        <f t="shared" si="176"/>
        <v>40.721786041398531</v>
      </c>
      <c r="BC108" s="138">
        <f t="shared" si="176"/>
        <v>45.390250122435532</v>
      </c>
      <c r="BD108" s="138">
        <f t="shared" si="176"/>
        <v>40.062707610503217</v>
      </c>
      <c r="BE108" s="138">
        <f t="shared" si="176"/>
        <v>36.177695507063014</v>
      </c>
      <c r="BF108" s="138">
        <f t="shared" si="176"/>
        <v>47.930960330171771</v>
      </c>
      <c r="BG108" s="138">
        <f t="shared" si="176"/>
        <v>55.697023209893715</v>
      </c>
      <c r="BH108" s="138">
        <f t="shared" si="176"/>
        <v>30.015732909178499</v>
      </c>
      <c r="BI108" s="138">
        <f t="shared" si="176"/>
        <v>32.777903494163816</v>
      </c>
      <c r="BJ108" s="138">
        <f t="shared" si="176"/>
        <v>48.664959980257521</v>
      </c>
      <c r="BK108" s="138">
        <f t="shared" si="176"/>
        <v>54.312698959204177</v>
      </c>
      <c r="BL108" s="138">
        <f t="shared" si="176"/>
        <v>55.367285209074893</v>
      </c>
      <c r="BM108" s="138">
        <f t="shared" si="176"/>
        <v>30.245123962230501</v>
      </c>
      <c r="BN108" s="138">
        <f t="shared" si="176"/>
        <v>19.124121065012751</v>
      </c>
      <c r="BO108" s="138">
        <f t="shared" si="176"/>
        <v>30.943355579708342</v>
      </c>
      <c r="BP108" s="138">
        <f t="shared" si="176"/>
        <v>21.538977493239155</v>
      </c>
      <c r="BQ108" s="138">
        <f t="shared" si="176"/>
        <v>17.295716680172966</v>
      </c>
      <c r="BR108" s="138">
        <f t="shared" si="176"/>
        <v>54.251351541069134</v>
      </c>
      <c r="BS108" s="138">
        <f t="shared" ref="BS108:DA108" si="177">100*(BS110/BS106)^0.5</f>
        <v>45.500951937541878</v>
      </c>
      <c r="BT108" s="138">
        <f t="shared" si="177"/>
        <v>56.689912412775165</v>
      </c>
      <c r="BU108" s="138">
        <f t="shared" si="177"/>
        <v>56.784688270757421</v>
      </c>
      <c r="BV108" s="138">
        <f t="shared" si="177"/>
        <v>41.799223249632377</v>
      </c>
      <c r="BW108" s="138">
        <f t="shared" si="177"/>
        <v>31.187424922825457</v>
      </c>
      <c r="BX108" s="138">
        <f t="shared" si="177"/>
        <v>44.850703050848203</v>
      </c>
      <c r="BY108" s="138">
        <f t="shared" si="177"/>
        <v>53.183536736282036</v>
      </c>
      <c r="BZ108" s="138">
        <f t="shared" si="177"/>
        <v>24.156626245566418</v>
      </c>
      <c r="CA108" s="138">
        <f t="shared" si="177"/>
        <v>54.827957688839682</v>
      </c>
      <c r="CB108" s="138">
        <f t="shared" si="177"/>
        <v>19.489627250423112</v>
      </c>
      <c r="CC108" s="138">
        <f t="shared" si="177"/>
        <v>53.419661200691905</v>
      </c>
      <c r="CD108" s="138">
        <f t="shared" si="177"/>
        <v>58.412174354413558</v>
      </c>
      <c r="CE108" s="138">
        <f t="shared" si="177"/>
        <v>48.66209964020517</v>
      </c>
      <c r="CF108" s="138">
        <f t="shared" si="177"/>
        <v>58.490133931067675</v>
      </c>
      <c r="CG108" s="138">
        <f t="shared" si="177"/>
        <v>36.070425728618879</v>
      </c>
      <c r="CH108" s="138">
        <f t="shared" si="177"/>
        <v>40.603310770682846</v>
      </c>
      <c r="CI108" s="138">
        <f t="shared" si="177"/>
        <v>51.748633301688329</v>
      </c>
      <c r="CJ108" s="138">
        <f t="shared" si="177"/>
        <v>22.191226547974068</v>
      </c>
      <c r="CK108" s="138">
        <f t="shared" si="177"/>
        <v>32.233379452859552</v>
      </c>
      <c r="CL108" s="138">
        <f t="shared" si="177"/>
        <v>27.693877990296016</v>
      </c>
      <c r="CM108" s="138">
        <f t="shared" si="177"/>
        <v>34.57226818240057</v>
      </c>
      <c r="CN108" s="138">
        <f t="shared" si="177"/>
        <v>41.129031263193291</v>
      </c>
      <c r="CO108" s="138">
        <f t="shared" si="177"/>
        <v>49.710707470489183</v>
      </c>
      <c r="CP108" s="138">
        <f t="shared" si="177"/>
        <v>42.782441198391645</v>
      </c>
      <c r="CQ108" s="138">
        <f t="shared" si="177"/>
        <v>47.819297356438753</v>
      </c>
      <c r="CR108" s="138">
        <f t="shared" si="177"/>
        <v>49.029909466213049</v>
      </c>
      <c r="CS108" s="138">
        <f t="shared" si="177"/>
        <v>13.859931525680505</v>
      </c>
      <c r="CT108" s="138">
        <f t="shared" si="177"/>
        <v>36.758434503069715</v>
      </c>
      <c r="CU108" s="138">
        <f t="shared" si="177"/>
        <v>31.318462496998517</v>
      </c>
      <c r="CV108" s="138">
        <f t="shared" si="177"/>
        <v>49.607814123344987</v>
      </c>
      <c r="CW108" s="138">
        <f t="shared" si="177"/>
        <v>35.379009397044634</v>
      </c>
      <c r="CX108" s="138">
        <f t="shared" si="177"/>
        <v>33.032742553695023</v>
      </c>
      <c r="CY108" s="138">
        <f t="shared" si="177"/>
        <v>45.520370860560639</v>
      </c>
      <c r="CZ108" s="138">
        <f t="shared" si="177"/>
        <v>49.789317002746827</v>
      </c>
      <c r="DA108" s="138">
        <f t="shared" si="177"/>
        <v>55.760946133454972</v>
      </c>
    </row>
    <row r="109" spans="1:122">
      <c r="E109" s="137" t="s">
        <v>21</v>
      </c>
      <c r="F109" s="133">
        <f t="shared" ref="F109:BQ109" si="178">(F107^0.9)*((F105/100)^0.5)*((1.64-0.29^F60)^0.73)</f>
        <v>6.5057747686821689E-3</v>
      </c>
      <c r="G109" s="133">
        <f t="shared" si="178"/>
        <v>21.712693598936575</v>
      </c>
      <c r="H109" s="133">
        <f t="shared" si="178"/>
        <v>48.575314570341561</v>
      </c>
      <c r="I109" s="133">
        <f t="shared" si="178"/>
        <v>18.728604132658642</v>
      </c>
      <c r="J109" s="133">
        <f t="shared" si="178"/>
        <v>29.656104508062391</v>
      </c>
      <c r="K109" s="133">
        <f t="shared" si="178"/>
        <v>56.457727424894181</v>
      </c>
      <c r="L109" s="133">
        <f t="shared" si="178"/>
        <v>25.491992972623429</v>
      </c>
      <c r="M109" s="133">
        <f t="shared" si="178"/>
        <v>52.832591380598927</v>
      </c>
      <c r="N109" s="133">
        <f t="shared" si="178"/>
        <v>47.546918194041467</v>
      </c>
      <c r="O109" s="133">
        <f t="shared" si="178"/>
        <v>3.3581490904639533</v>
      </c>
      <c r="P109" s="133">
        <f t="shared" si="178"/>
        <v>55.459642449159738</v>
      </c>
      <c r="Q109" s="133">
        <f t="shared" si="178"/>
        <v>54.950004384163414</v>
      </c>
      <c r="R109" s="133">
        <f t="shared" si="178"/>
        <v>60.532753037137823</v>
      </c>
      <c r="S109" s="133">
        <f t="shared" si="178"/>
        <v>32.709461457099749</v>
      </c>
      <c r="T109" s="133">
        <f t="shared" si="178"/>
        <v>10.138895651213765</v>
      </c>
      <c r="U109" s="133">
        <f t="shared" si="178"/>
        <v>21.053882969682409</v>
      </c>
      <c r="V109" s="133">
        <f t="shared" si="178"/>
        <v>33.322145011737206</v>
      </c>
      <c r="W109" s="133">
        <f t="shared" si="178"/>
        <v>31.256360895577643</v>
      </c>
      <c r="X109" s="133">
        <f t="shared" si="178"/>
        <v>23.088641745637347</v>
      </c>
      <c r="Y109" s="133">
        <f t="shared" si="178"/>
        <v>39.576193303412161</v>
      </c>
      <c r="Z109" s="133">
        <f t="shared" si="178"/>
        <v>54.19296821963782</v>
      </c>
      <c r="AA109" s="133">
        <f t="shared" si="178"/>
        <v>48.197473732009115</v>
      </c>
      <c r="AB109" s="133">
        <f t="shared" si="178"/>
        <v>51.0585710952125</v>
      </c>
      <c r="AC109" s="133">
        <f t="shared" si="178"/>
        <v>15.657333133140208</v>
      </c>
      <c r="AD109" s="133">
        <f t="shared" si="178"/>
        <v>35.66764165973818</v>
      </c>
      <c r="AE109" s="133">
        <f t="shared" si="178"/>
        <v>53.820367584699007</v>
      </c>
      <c r="AF109" s="133">
        <f t="shared" si="178"/>
        <v>44.372656933327484</v>
      </c>
      <c r="AG109" s="133">
        <f t="shared" si="178"/>
        <v>18.925002470445023</v>
      </c>
      <c r="AH109" s="133">
        <f t="shared" si="178"/>
        <v>19.534783259483021</v>
      </c>
      <c r="AI109" s="133">
        <f t="shared" si="178"/>
        <v>43.211326779605997</v>
      </c>
      <c r="AJ109" s="133">
        <f t="shared" si="178"/>
        <v>21.847729905619868</v>
      </c>
      <c r="AK109" s="133">
        <f t="shared" si="178"/>
        <v>43.013783828702906</v>
      </c>
      <c r="AL109" s="133">
        <f t="shared" si="178"/>
        <v>48.689807534996</v>
      </c>
      <c r="AM109" s="133">
        <f t="shared" si="178"/>
        <v>25.661312697924849</v>
      </c>
      <c r="AN109" s="133">
        <f t="shared" si="178"/>
        <v>42.250851353984785</v>
      </c>
      <c r="AO109" s="133">
        <f t="shared" si="178"/>
        <v>19.367496687584975</v>
      </c>
      <c r="AP109" s="133">
        <f t="shared" si="178"/>
        <v>8.190139685793314</v>
      </c>
      <c r="AQ109" s="133">
        <f t="shared" si="178"/>
        <v>25.472420602657852</v>
      </c>
      <c r="AR109" s="133">
        <f t="shared" si="178"/>
        <v>21.224818056934456</v>
      </c>
      <c r="AS109" s="133">
        <f t="shared" si="178"/>
        <v>8.2843453315096784</v>
      </c>
      <c r="AT109" s="133">
        <f t="shared" si="178"/>
        <v>17.112092629292828</v>
      </c>
      <c r="AU109" s="133">
        <f t="shared" si="178"/>
        <v>10.486034365201737</v>
      </c>
      <c r="AV109" s="133">
        <f t="shared" si="178"/>
        <v>50.776368717417938</v>
      </c>
      <c r="AW109" s="133">
        <f t="shared" si="178"/>
        <v>52.834903333517012</v>
      </c>
      <c r="AX109" s="133">
        <f t="shared" si="178"/>
        <v>1.6467039007268773</v>
      </c>
      <c r="AY109" s="133">
        <f t="shared" si="178"/>
        <v>39.27489172343288</v>
      </c>
      <c r="AZ109" s="133">
        <f t="shared" si="178"/>
        <v>28.990934995046448</v>
      </c>
      <c r="BA109" s="133">
        <f t="shared" si="178"/>
        <v>18.634119764763135</v>
      </c>
      <c r="BB109" s="133">
        <f t="shared" si="178"/>
        <v>34.244327065843997</v>
      </c>
      <c r="BC109" s="133">
        <f t="shared" si="178"/>
        <v>30.1945341816099</v>
      </c>
      <c r="BD109" s="133">
        <f t="shared" si="178"/>
        <v>26.143605454958539</v>
      </c>
      <c r="BE109" s="133">
        <f t="shared" si="178"/>
        <v>22.300568786403321</v>
      </c>
      <c r="BF109" s="133">
        <f t="shared" si="178"/>
        <v>31.413228697527423</v>
      </c>
      <c r="BG109" s="133">
        <f t="shared" si="178"/>
        <v>47.532479636552964</v>
      </c>
      <c r="BH109" s="133">
        <f t="shared" si="178"/>
        <v>20.317910627728267</v>
      </c>
      <c r="BI109" s="133">
        <f t="shared" si="178"/>
        <v>23.498546386540259</v>
      </c>
      <c r="BJ109" s="133">
        <f t="shared" si="178"/>
        <v>46.016445928608711</v>
      </c>
      <c r="BK109" s="133">
        <f t="shared" si="178"/>
        <v>49.715084114737671</v>
      </c>
      <c r="BL109" s="133">
        <f t="shared" si="178"/>
        <v>49.492031612360535</v>
      </c>
      <c r="BM109" s="133">
        <f t="shared" si="178"/>
        <v>20.602231911022834</v>
      </c>
      <c r="BN109" s="133">
        <f t="shared" si="178"/>
        <v>8.3448783507694433</v>
      </c>
      <c r="BO109" s="133">
        <f t="shared" si="178"/>
        <v>19.678470983398586</v>
      </c>
      <c r="BP109" s="133">
        <f t="shared" si="178"/>
        <v>8.6649847709080206</v>
      </c>
      <c r="BQ109" s="133">
        <f t="shared" si="178"/>
        <v>3.6893702908193355</v>
      </c>
      <c r="BR109" s="133">
        <f t="shared" ref="BR109:DA109" si="179">(BR107^0.9)*((BR105/100)^0.5)*((1.64-0.29^BR60)^0.73)</f>
        <v>50.157041289830062</v>
      </c>
      <c r="BS109" s="133">
        <f t="shared" si="179"/>
        <v>27.837039703388186</v>
      </c>
      <c r="BT109" s="133">
        <f t="shared" si="179"/>
        <v>46.143767953029297</v>
      </c>
      <c r="BU109" s="133">
        <f t="shared" si="179"/>
        <v>48.342094751006769</v>
      </c>
      <c r="BV109" s="133">
        <f t="shared" si="179"/>
        <v>31.586720581390075</v>
      </c>
      <c r="BW109" s="133">
        <f t="shared" si="179"/>
        <v>15.623483283482146</v>
      </c>
      <c r="BX109" s="133">
        <f t="shared" si="179"/>
        <v>39.674506616005601</v>
      </c>
      <c r="BY109" s="133">
        <f t="shared" si="179"/>
        <v>35.270054977128055</v>
      </c>
      <c r="BZ109" s="133">
        <f t="shared" si="179"/>
        <v>11.979739274031589</v>
      </c>
      <c r="CA109" s="133">
        <f t="shared" si="179"/>
        <v>50.81895117934566</v>
      </c>
      <c r="CB109" s="133">
        <f t="shared" si="179"/>
        <v>4.1745789255962444</v>
      </c>
      <c r="CC109" s="133">
        <f t="shared" si="179"/>
        <v>34.431547270872755</v>
      </c>
      <c r="CD109" s="133">
        <f t="shared" si="179"/>
        <v>51.532559062898017</v>
      </c>
      <c r="CE109" s="133">
        <f t="shared" si="179"/>
        <v>34.149468587489586</v>
      </c>
      <c r="CF109" s="133">
        <f t="shared" si="179"/>
        <v>49.112186222196335</v>
      </c>
      <c r="CG109" s="133">
        <f t="shared" si="179"/>
        <v>26.038889200262748</v>
      </c>
      <c r="CH109" s="133">
        <f t="shared" si="179"/>
        <v>30.522912536596401</v>
      </c>
      <c r="CI109" s="133">
        <f t="shared" si="179"/>
        <v>38.569152626636587</v>
      </c>
      <c r="CJ109" s="133">
        <f t="shared" si="179"/>
        <v>11.147336250828642</v>
      </c>
      <c r="CK109" s="133">
        <f t="shared" si="179"/>
        <v>20.628812462495866</v>
      </c>
      <c r="CL109" s="133">
        <f t="shared" si="179"/>
        <v>8.4195576345313334</v>
      </c>
      <c r="CM109" s="133">
        <f t="shared" si="179"/>
        <v>16.452841458807939</v>
      </c>
      <c r="CN109" s="133">
        <f t="shared" si="179"/>
        <v>31.329465806348811</v>
      </c>
      <c r="CO109" s="133">
        <f t="shared" si="179"/>
        <v>33.322424675687451</v>
      </c>
      <c r="CP109" s="133">
        <f t="shared" si="179"/>
        <v>32.718240773168056</v>
      </c>
      <c r="CQ109" s="133">
        <f t="shared" si="179"/>
        <v>30.168627334415074</v>
      </c>
      <c r="CR109" s="133">
        <f t="shared" si="179"/>
        <v>34.39043058371535</v>
      </c>
      <c r="CS109" s="133">
        <f t="shared" si="179"/>
        <v>4.0917147465673125</v>
      </c>
      <c r="CT109" s="133">
        <f t="shared" si="179"/>
        <v>22.630176059725308</v>
      </c>
      <c r="CU109" s="133">
        <f t="shared" si="179"/>
        <v>18.461650894581062</v>
      </c>
      <c r="CV109" s="133">
        <f t="shared" si="179"/>
        <v>33.190931098057803</v>
      </c>
      <c r="CW109" s="133">
        <f t="shared" si="179"/>
        <v>24.278863288458648</v>
      </c>
      <c r="CX109" s="133">
        <f t="shared" si="179"/>
        <v>22.843992078172526</v>
      </c>
      <c r="CY109" s="133">
        <f t="shared" si="179"/>
        <v>32.969362434352988</v>
      </c>
      <c r="CZ109" s="133">
        <f t="shared" si="179"/>
        <v>45.355742029429415</v>
      </c>
      <c r="DA109" s="133">
        <f t="shared" si="179"/>
        <v>50.007806646702264</v>
      </c>
    </row>
    <row r="110" spans="1:122">
      <c r="E110" s="137" t="s">
        <v>174</v>
      </c>
      <c r="F110" s="133">
        <f t="shared" ref="F110:BQ110" si="180">F109*F59^0.25</f>
        <v>6.1406336912731025E-3</v>
      </c>
      <c r="G110" s="133">
        <f t="shared" si="180"/>
        <v>20.494053757247958</v>
      </c>
      <c r="H110" s="133">
        <f t="shared" si="180"/>
        <v>45.84899167593683</v>
      </c>
      <c r="I110" s="133">
        <f t="shared" si="180"/>
        <v>17.677448361898364</v>
      </c>
      <c r="J110" s="133">
        <f t="shared" si="180"/>
        <v>27.991635273136314</v>
      </c>
      <c r="K110" s="133">
        <f t="shared" si="180"/>
        <v>53.288998694961663</v>
      </c>
      <c r="L110" s="133">
        <f t="shared" si="180"/>
        <v>24.061237357760117</v>
      </c>
      <c r="M110" s="133">
        <f t="shared" si="180"/>
        <v>49.867325901091313</v>
      </c>
      <c r="N110" s="133">
        <f t="shared" si="180"/>
        <v>44.878314752614642</v>
      </c>
      <c r="O110" s="133">
        <f t="shared" si="180"/>
        <v>3.1696706662038605</v>
      </c>
      <c r="P110" s="133">
        <f t="shared" si="180"/>
        <v>52.346931924028873</v>
      </c>
      <c r="Q110" s="133">
        <f t="shared" si="180"/>
        <v>51.865897645477361</v>
      </c>
      <c r="R110" s="133">
        <f t="shared" si="180"/>
        <v>57.13531069577089</v>
      </c>
      <c r="S110" s="133">
        <f t="shared" si="180"/>
        <v>30.873620466198819</v>
      </c>
      <c r="T110" s="133">
        <f t="shared" si="180"/>
        <v>9.5698431688493617</v>
      </c>
      <c r="U110" s="133">
        <f t="shared" si="180"/>
        <v>19.872219327067331</v>
      </c>
      <c r="V110" s="133">
        <f t="shared" si="180"/>
        <v>31.451916735508156</v>
      </c>
      <c r="W110" s="133">
        <f t="shared" si="180"/>
        <v>29.502076171759931</v>
      </c>
      <c r="X110" s="133">
        <f t="shared" si="180"/>
        <v>21.792775869139795</v>
      </c>
      <c r="Y110" s="133">
        <f t="shared" si="180"/>
        <v>37.354952271195387</v>
      </c>
      <c r="Z110" s="133">
        <f t="shared" si="180"/>
        <v>51.151350655659009</v>
      </c>
      <c r="AA110" s="133">
        <f t="shared" si="180"/>
        <v>45.492357414177242</v>
      </c>
      <c r="AB110" s="133">
        <f t="shared" si="180"/>
        <v>48.19287372271495</v>
      </c>
      <c r="AC110" s="133">
        <f t="shared" si="180"/>
        <v>14.778554556742369</v>
      </c>
      <c r="AD110" s="133">
        <f t="shared" si="180"/>
        <v>33.665770773126553</v>
      </c>
      <c r="AE110" s="133">
        <f t="shared" si="180"/>
        <v>50.799662487278333</v>
      </c>
      <c r="AF110" s="133">
        <f t="shared" si="180"/>
        <v>41.88221108541196</v>
      </c>
      <c r="AG110" s="133">
        <f t="shared" si="180"/>
        <v>17.862823708079517</v>
      </c>
      <c r="AH110" s="133">
        <f t="shared" si="180"/>
        <v>18.438380131502445</v>
      </c>
      <c r="AI110" s="133">
        <f t="shared" si="180"/>
        <v>40.786061384232234</v>
      </c>
      <c r="AJ110" s="133">
        <f t="shared" si="180"/>
        <v>20.621511058468435</v>
      </c>
      <c r="AK110" s="133">
        <f t="shared" si="180"/>
        <v>40.599605667131726</v>
      </c>
      <c r="AL110" s="133">
        <f t="shared" si="180"/>
        <v>45.957058644310095</v>
      </c>
      <c r="AM110" s="133">
        <f t="shared" si="180"/>
        <v>24.221053897181083</v>
      </c>
      <c r="AN110" s="133">
        <f t="shared" si="180"/>
        <v>39.879493301580311</v>
      </c>
      <c r="AO110" s="133">
        <f t="shared" si="180"/>
        <v>18.280482633353611</v>
      </c>
      <c r="AP110" s="133">
        <f t="shared" si="180"/>
        <v>7.7304624704987699</v>
      </c>
      <c r="AQ110" s="133">
        <f t="shared" si="180"/>
        <v>24.042763500502218</v>
      </c>
      <c r="AR110" s="133">
        <f t="shared" si="180"/>
        <v>20.033560565139926</v>
      </c>
      <c r="AS110" s="133">
        <f t="shared" si="180"/>
        <v>7.8193807596437876</v>
      </c>
      <c r="AT110" s="133">
        <f t="shared" si="180"/>
        <v>16.151664676966188</v>
      </c>
      <c r="AU110" s="133">
        <f t="shared" si="180"/>
        <v>9.8974984840811775</v>
      </c>
      <c r="AV110" s="133">
        <f t="shared" si="180"/>
        <v>47.926510147205917</v>
      </c>
      <c r="AW110" s="133">
        <f t="shared" si="180"/>
        <v>49.869508094063896</v>
      </c>
      <c r="AX110" s="133">
        <f t="shared" si="180"/>
        <v>1.554281513253583</v>
      </c>
      <c r="AY110" s="133">
        <f t="shared" si="180"/>
        <v>37.070561449342613</v>
      </c>
      <c r="AZ110" s="133">
        <f t="shared" si="180"/>
        <v>27.363798855912666</v>
      </c>
      <c r="BA110" s="133">
        <f t="shared" si="180"/>
        <v>17.588266994047949</v>
      </c>
      <c r="BB110" s="133">
        <f t="shared" si="180"/>
        <v>32.322340688423864</v>
      </c>
      <c r="BC110" s="133">
        <f t="shared" si="180"/>
        <v>28.499845211433446</v>
      </c>
      <c r="BD110" s="133">
        <f t="shared" si="180"/>
        <v>24.676277641961594</v>
      </c>
      <c r="BE110" s="133">
        <f t="shared" si="180"/>
        <v>21.048934046033764</v>
      </c>
      <c r="BF110" s="133">
        <f t="shared" si="180"/>
        <v>29.650139660580017</v>
      </c>
      <c r="BG110" s="133">
        <f t="shared" si="180"/>
        <v>44.864686569082359</v>
      </c>
      <c r="BH110" s="133">
        <f t="shared" si="180"/>
        <v>19.17755393831084</v>
      </c>
      <c r="BI110" s="133">
        <f t="shared" si="180"/>
        <v>22.17967433052743</v>
      </c>
      <c r="BJ110" s="133">
        <f t="shared" si="180"/>
        <v>43.433741294290144</v>
      </c>
      <c r="BK110" s="133">
        <f t="shared" si="180"/>
        <v>46.92479087179855</v>
      </c>
      <c r="BL110" s="133">
        <f t="shared" si="180"/>
        <v>46.714257344321808</v>
      </c>
      <c r="BM110" s="133">
        <f t="shared" si="180"/>
        <v>19.445917494293315</v>
      </c>
      <c r="BN110" s="133">
        <f t="shared" si="180"/>
        <v>7.8765163216202581</v>
      </c>
      <c r="BO110" s="133">
        <f t="shared" si="180"/>
        <v>18.574003283220776</v>
      </c>
      <c r="BP110" s="133">
        <f t="shared" si="180"/>
        <v>8.1786565490622145</v>
      </c>
      <c r="BQ110" s="133">
        <f t="shared" si="180"/>
        <v>3.482301849188723</v>
      </c>
      <c r="BR110" s="133">
        <f t="shared" ref="BR110:CW110" si="181">BR109*BR59^0.25</f>
        <v>47.341942896878869</v>
      </c>
      <c r="BS110" s="133">
        <f t="shared" si="181"/>
        <v>26.274666730056207</v>
      </c>
      <c r="BT110" s="133">
        <f t="shared" si="181"/>
        <v>43.553917282638494</v>
      </c>
      <c r="BU110" s="133">
        <f t="shared" si="181"/>
        <v>45.628861479150146</v>
      </c>
      <c r="BV110" s="133">
        <f t="shared" si="181"/>
        <v>29.813894193297301</v>
      </c>
      <c r="BW110" s="133">
        <f t="shared" si="181"/>
        <v>14.746604553146268</v>
      </c>
      <c r="BX110" s="133">
        <f t="shared" si="181"/>
        <v>37.447747681592638</v>
      </c>
      <c r="BY110" s="133">
        <f t="shared" si="181"/>
        <v>33.290498916161887</v>
      </c>
      <c r="BZ110" s="133">
        <f t="shared" si="181"/>
        <v>11.307368178945911</v>
      </c>
      <c r="CA110" s="133">
        <f t="shared" si="181"/>
        <v>47.966702639210013</v>
      </c>
      <c r="CB110" s="133">
        <f t="shared" si="181"/>
        <v>3.9402778160713345</v>
      </c>
      <c r="CC110" s="133">
        <f t="shared" si="181"/>
        <v>32.499053030852458</v>
      </c>
      <c r="CD110" s="133">
        <f t="shared" si="181"/>
        <v>48.640258790153638</v>
      </c>
      <c r="CE110" s="133">
        <f t="shared" si="181"/>
        <v>32.232806207321012</v>
      </c>
      <c r="CF110" s="133">
        <f t="shared" si="181"/>
        <v>46.355731037578863</v>
      </c>
      <c r="CG110" s="133">
        <f t="shared" si="181"/>
        <v>24.577438658985372</v>
      </c>
      <c r="CH110" s="133">
        <f t="shared" si="181"/>
        <v>28.809793105698375</v>
      </c>
      <c r="CI110" s="133">
        <f t="shared" si="181"/>
        <v>36.404432444093665</v>
      </c>
      <c r="CJ110" s="133">
        <f t="shared" si="181"/>
        <v>10.521684347159493</v>
      </c>
      <c r="CK110" s="133">
        <f t="shared" si="181"/>
        <v>19.471006194057967</v>
      </c>
      <c r="CL110" s="133">
        <f t="shared" si="181"/>
        <v>7.947004179287255</v>
      </c>
      <c r="CM110" s="133">
        <f t="shared" si="181"/>
        <v>15.529414431234002</v>
      </c>
      <c r="CN110" s="133">
        <f t="shared" si="181"/>
        <v>29.571078019201671</v>
      </c>
      <c r="CO110" s="133">
        <f t="shared" si="181"/>
        <v>31.452180703127109</v>
      </c>
      <c r="CP110" s="133">
        <f t="shared" si="181"/>
        <v>30.881907037122684</v>
      </c>
      <c r="CQ110" s="133">
        <f t="shared" si="181"/>
        <v>28.475392403831652</v>
      </c>
      <c r="CR110" s="133">
        <f t="shared" si="181"/>
        <v>32.460244046002913</v>
      </c>
      <c r="CS110" s="133">
        <f t="shared" si="181"/>
        <v>3.8620644460059861</v>
      </c>
      <c r="CT110" s="133">
        <f t="shared" si="181"/>
        <v>21.360041884748515</v>
      </c>
      <c r="CU110" s="133">
        <f t="shared" si="181"/>
        <v>17.42547805766576</v>
      </c>
      <c r="CV110" s="133">
        <f t="shared" si="181"/>
        <v>31.328067292858801</v>
      </c>
      <c r="CW110" s="133">
        <f t="shared" si="181"/>
        <v>22.91619541036194</v>
      </c>
      <c r="CX110" s="133">
        <f>CX109*CX59^0.25</f>
        <v>21.561857332300015</v>
      </c>
      <c r="CY110" s="133">
        <f>CY109*CY59^0.25</f>
        <v>31.11893432258972</v>
      </c>
      <c r="CZ110" s="133">
        <f>CZ109*CZ59^0.25</f>
        <v>42.810119855259337</v>
      </c>
      <c r="DA110" s="133">
        <f>DA109*DA59^0.25</f>
        <v>47.201084150599016</v>
      </c>
    </row>
    <row r="111" spans="1:122"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  <c r="BK111" s="133"/>
      <c r="BL111" s="133"/>
      <c r="BM111" s="133"/>
      <c r="BN111" s="133"/>
      <c r="BO111" s="133"/>
      <c r="BP111" s="133"/>
      <c r="BQ111" s="133"/>
      <c r="BR111" s="133"/>
      <c r="BS111" s="133"/>
      <c r="BT111" s="133"/>
      <c r="BU111" s="133"/>
      <c r="BV111" s="133"/>
      <c r="BW111" s="133"/>
      <c r="BX111" s="133"/>
      <c r="BY111" s="133"/>
      <c r="BZ111" s="133"/>
      <c r="CA111" s="133"/>
      <c r="CB111" s="133"/>
      <c r="CC111" s="133"/>
      <c r="CD111" s="133"/>
      <c r="CE111" s="133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3"/>
      <c r="CQ111" s="133"/>
      <c r="CR111" s="133"/>
      <c r="CS111" s="133"/>
      <c r="CT111" s="133"/>
      <c r="CU111" s="133"/>
      <c r="CV111" s="133"/>
      <c r="CW111" s="133"/>
      <c r="CX111" s="133"/>
      <c r="CY111" s="133"/>
      <c r="CZ111" s="133"/>
      <c r="DA111" s="133"/>
    </row>
    <row r="112" spans="1:122">
      <c r="E112" s="137" t="s">
        <v>175</v>
      </c>
      <c r="F112" s="133">
        <f>F109*COS(PI()*F$96/180)</f>
        <v>6.4659837240329176E-3</v>
      </c>
      <c r="G112" s="133">
        <f t="shared" ref="G112:BR112" si="182">G109*COS(PI()*G$96/180)</f>
        <v>21.645327097063301</v>
      </c>
      <c r="H112" s="133">
        <f t="shared" si="182"/>
        <v>48.135954091239952</v>
      </c>
      <c r="I112" s="133">
        <f t="shared" si="182"/>
        <v>18.478371854656139</v>
      </c>
      <c r="J112" s="133">
        <f t="shared" si="182"/>
        <v>28.472938239779506</v>
      </c>
      <c r="K112" s="133">
        <f t="shared" si="182"/>
        <v>54.410364316900711</v>
      </c>
      <c r="L112" s="133">
        <f t="shared" si="182"/>
        <v>23.88514619858524</v>
      </c>
      <c r="M112" s="133">
        <f t="shared" si="182"/>
        <v>50.052615732399495</v>
      </c>
      <c r="N112" s="133">
        <f t="shared" si="182"/>
        <v>45.074771654455127</v>
      </c>
      <c r="O112" s="133">
        <f t="shared" si="182"/>
        <v>3.2700375227453797</v>
      </c>
      <c r="P112" s="133">
        <f t="shared" si="182"/>
        <v>47.39705712579206</v>
      </c>
      <c r="Q112" s="133">
        <f t="shared" si="182"/>
        <v>45.650735144084386</v>
      </c>
      <c r="R112" s="133">
        <f t="shared" si="182"/>
        <v>50.023688023001938</v>
      </c>
      <c r="S112" s="133">
        <f t="shared" si="182"/>
        <v>25.661112373833475</v>
      </c>
      <c r="T112" s="133">
        <f t="shared" si="182"/>
        <v>7.4461873191954773</v>
      </c>
      <c r="U112" s="133">
        <f t="shared" si="182"/>
        <v>16.070389380610727</v>
      </c>
      <c r="V112" s="133">
        <f t="shared" si="182"/>
        <v>24.065864577752723</v>
      </c>
      <c r="W112" s="133">
        <f t="shared" si="182"/>
        <v>20.431154796821435</v>
      </c>
      <c r="X112" s="133">
        <f t="shared" si="182"/>
        <v>15.112373937922637</v>
      </c>
      <c r="Y112" s="133">
        <f t="shared" si="182"/>
        <v>20.299884179145494</v>
      </c>
      <c r="Z112" s="133">
        <f t="shared" si="182"/>
        <v>30.387974226809256</v>
      </c>
      <c r="AA112" s="133">
        <f t="shared" si="182"/>
        <v>21.392319249099664</v>
      </c>
      <c r="AB112" s="133">
        <f t="shared" si="182"/>
        <v>23.486706016691887</v>
      </c>
      <c r="AC112" s="133">
        <f t="shared" si="182"/>
        <v>4.5808755799532017</v>
      </c>
      <c r="AD112" s="133">
        <f t="shared" si="182"/>
        <v>9.1515717520663316</v>
      </c>
      <c r="AE112" s="133">
        <f t="shared" si="182"/>
        <v>13.025751518496113</v>
      </c>
      <c r="AF112" s="133">
        <f t="shared" si="182"/>
        <v>9.8553152195013816</v>
      </c>
      <c r="AG112" s="133">
        <f t="shared" si="182"/>
        <v>1.6242760951089328</v>
      </c>
      <c r="AH112" s="133">
        <f t="shared" si="182"/>
        <v>0.44344408321223988</v>
      </c>
      <c r="AI112" s="133">
        <f t="shared" si="182"/>
        <v>2.5103230238608805</v>
      </c>
      <c r="AJ112" s="133">
        <f t="shared" si="182"/>
        <v>2.0241891708738931</v>
      </c>
      <c r="AK112" s="133">
        <f t="shared" si="182"/>
        <v>0.20101367184915106</v>
      </c>
      <c r="AL112" s="133">
        <f t="shared" si="182"/>
        <v>-1.1612180884831427</v>
      </c>
      <c r="AM112" s="133">
        <f t="shared" si="182"/>
        <v>-0.1548550043055634</v>
      </c>
      <c r="AN112" s="133">
        <f t="shared" si="182"/>
        <v>-4.5484963719976665</v>
      </c>
      <c r="AO112" s="133">
        <f t="shared" si="182"/>
        <v>-3.0864187382785571</v>
      </c>
      <c r="AP112" s="133">
        <f t="shared" si="182"/>
        <v>-0.26245303915492296</v>
      </c>
      <c r="AQ112" s="133">
        <f t="shared" si="182"/>
        <v>-6.2578214083686206</v>
      </c>
      <c r="AR112" s="133">
        <f t="shared" si="182"/>
        <v>-3.7672572121370709</v>
      </c>
      <c r="AS112" s="133">
        <f t="shared" si="182"/>
        <v>-2.500892898950235</v>
      </c>
      <c r="AT112" s="133">
        <f t="shared" si="182"/>
        <v>-5.5566873175292706</v>
      </c>
      <c r="AU112" s="133">
        <f t="shared" si="182"/>
        <v>-3.9106661031343193</v>
      </c>
      <c r="AV112" s="133">
        <f t="shared" si="182"/>
        <v>-25.563672505113491</v>
      </c>
      <c r="AW112" s="133">
        <f t="shared" si="182"/>
        <v>-27.187139476921129</v>
      </c>
      <c r="AX112" s="133">
        <f t="shared" si="182"/>
        <v>-0.83567268215408641</v>
      </c>
      <c r="AY112" s="133">
        <f t="shared" si="182"/>
        <v>-26.093082645008828</v>
      </c>
      <c r="AZ112" s="133">
        <f t="shared" si="182"/>
        <v>-19.238566358452932</v>
      </c>
      <c r="BA112" s="133">
        <f t="shared" si="182"/>
        <v>-11.890414603527164</v>
      </c>
      <c r="BB112" s="133">
        <f t="shared" si="182"/>
        <v>-27.382226655117016</v>
      </c>
      <c r="BC112" s="133">
        <f t="shared" si="182"/>
        <v>-23.828835813734059</v>
      </c>
      <c r="BD112" s="133">
        <f t="shared" si="182"/>
        <v>-24.150967120606701</v>
      </c>
      <c r="BE112" s="133">
        <f t="shared" si="182"/>
        <v>-20.777070406135984</v>
      </c>
      <c r="BF112" s="133">
        <f t="shared" si="182"/>
        <v>-29.42736978704151</v>
      </c>
      <c r="BG112" s="133">
        <f t="shared" si="182"/>
        <v>-47.037594487248427</v>
      </c>
      <c r="BH112" s="133">
        <f t="shared" si="182"/>
        <v>-20.315973345546478</v>
      </c>
      <c r="BI112" s="133">
        <f t="shared" si="182"/>
        <v>-23.391160095643066</v>
      </c>
      <c r="BJ112" s="133">
        <f t="shared" si="182"/>
        <v>-45.796048063332364</v>
      </c>
      <c r="BK112" s="133">
        <f t="shared" si="182"/>
        <v>-49.461485276354544</v>
      </c>
      <c r="BL112" s="133">
        <f t="shared" si="182"/>
        <v>-48.778341825658671</v>
      </c>
      <c r="BM112" s="133">
        <f t="shared" si="182"/>
        <v>-20.27512339791128</v>
      </c>
      <c r="BN112" s="133">
        <f t="shared" si="182"/>
        <v>-7.8403288479721684</v>
      </c>
      <c r="BO112" s="133">
        <f t="shared" si="182"/>
        <v>-18.556306423466946</v>
      </c>
      <c r="BP112" s="133">
        <f t="shared" si="182"/>
        <v>-7.535482354688364</v>
      </c>
      <c r="BQ112" s="133">
        <f t="shared" si="182"/>
        <v>-2.6258701962734281</v>
      </c>
      <c r="BR112" s="133">
        <f t="shared" si="182"/>
        <v>-45.077136522872756</v>
      </c>
      <c r="BS112" s="133">
        <f t="shared" ref="BS112:DA112" si="183">BS109*COS(PI()*BS$96/180)</f>
        <v>-24.391760547748898</v>
      </c>
      <c r="BT112" s="133">
        <f t="shared" si="183"/>
        <v>-38.83977502217499</v>
      </c>
      <c r="BU112" s="133">
        <f t="shared" si="183"/>
        <v>-39.795308714883745</v>
      </c>
      <c r="BV112" s="133">
        <f t="shared" si="183"/>
        <v>-24.013470720297217</v>
      </c>
      <c r="BW112" s="133">
        <f t="shared" si="183"/>
        <v>-9.4704033400419139</v>
      </c>
      <c r="BX112" s="133">
        <f t="shared" si="183"/>
        <v>-25.602067372933707</v>
      </c>
      <c r="BY112" s="133">
        <f t="shared" si="183"/>
        <v>-20.905298595546149</v>
      </c>
      <c r="BZ112" s="133">
        <f t="shared" si="183"/>
        <v>-7.2959005731445821</v>
      </c>
      <c r="CA112" s="133">
        <f t="shared" si="183"/>
        <v>-31.553243865154926</v>
      </c>
      <c r="CB112" s="133">
        <f t="shared" si="183"/>
        <v>-1.4185111696443944</v>
      </c>
      <c r="CC112" s="133">
        <f t="shared" si="183"/>
        <v>-16.305035128890015</v>
      </c>
      <c r="CD112" s="133">
        <f t="shared" si="183"/>
        <v>-20.418288129021239</v>
      </c>
      <c r="CE112" s="133">
        <f t="shared" si="183"/>
        <v>-11.453777833405857</v>
      </c>
      <c r="CF112" s="133">
        <f t="shared" si="183"/>
        <v>-16.856943438678289</v>
      </c>
      <c r="CG112" s="133">
        <f t="shared" si="183"/>
        <v>-4.3661811554888592</v>
      </c>
      <c r="CH112" s="133">
        <f t="shared" si="183"/>
        <v>1.5864647754719075</v>
      </c>
      <c r="CI112" s="133">
        <f t="shared" si="183"/>
        <v>6.5775486653655193</v>
      </c>
      <c r="CJ112" s="133">
        <f t="shared" si="183"/>
        <v>1.4642615366476897</v>
      </c>
      <c r="CK112" s="133">
        <f t="shared" si="183"/>
        <v>4.5677099938871599</v>
      </c>
      <c r="CL112" s="133">
        <f t="shared" si="183"/>
        <v>4.490225039945333</v>
      </c>
      <c r="CM112" s="133">
        <f t="shared" si="183"/>
        <v>7.7140654157087587</v>
      </c>
      <c r="CN112" s="133">
        <f t="shared" si="183"/>
        <v>13.966098697286036</v>
      </c>
      <c r="CO112" s="133">
        <f t="shared" si="183"/>
        <v>18.870290036018893</v>
      </c>
      <c r="CP112" s="133">
        <f t="shared" si="183"/>
        <v>24.592970377974403</v>
      </c>
      <c r="CQ112" s="133">
        <f t="shared" si="183"/>
        <v>23.789889450005976</v>
      </c>
      <c r="CR112" s="133">
        <f t="shared" si="183"/>
        <v>28.255747833625627</v>
      </c>
      <c r="CS112" s="133">
        <f t="shared" si="183"/>
        <v>3.8127198756212866</v>
      </c>
      <c r="CT112" s="133">
        <f t="shared" si="183"/>
        <v>20.548340978921697</v>
      </c>
      <c r="CU112" s="133">
        <f t="shared" si="183"/>
        <v>17.031140571566162</v>
      </c>
      <c r="CV112" s="133">
        <f t="shared" si="183"/>
        <v>31.962094702757497</v>
      </c>
      <c r="CW112" s="133">
        <f t="shared" si="183"/>
        <v>23.502992869093131</v>
      </c>
      <c r="CX112" s="133">
        <f t="shared" si="183"/>
        <v>22.303771970767247</v>
      </c>
      <c r="CY112" s="133">
        <f t="shared" si="183"/>
        <v>32.708307093426967</v>
      </c>
      <c r="CZ112" s="133">
        <f t="shared" si="183"/>
        <v>45.355425106266395</v>
      </c>
      <c r="DA112" s="133">
        <f t="shared" si="183"/>
        <v>50.007672082949121</v>
      </c>
    </row>
    <row r="113" spans="5:105">
      <c r="E113" s="137" t="s">
        <v>176</v>
      </c>
      <c r="F113" s="133">
        <f>F109*SIN(PI()*F$96/180)</f>
        <v>7.1844263609764278E-4</v>
      </c>
      <c r="G113" s="133">
        <f t="shared" ref="G113:BR113" si="184">G109*SIN(PI()*G$96/180)</f>
        <v>1.7090576884466055</v>
      </c>
      <c r="H113" s="133">
        <f t="shared" si="184"/>
        <v>6.5185204865580184</v>
      </c>
      <c r="I113" s="133">
        <f t="shared" si="184"/>
        <v>3.0512925718275752</v>
      </c>
      <c r="J113" s="133">
        <f t="shared" si="184"/>
        <v>8.2931491356914897</v>
      </c>
      <c r="K113" s="133">
        <f t="shared" si="184"/>
        <v>15.066095741292299</v>
      </c>
      <c r="L113" s="133">
        <f t="shared" si="184"/>
        <v>8.9073843965830619</v>
      </c>
      <c r="M113" s="133">
        <f t="shared" si="184"/>
        <v>16.912077646879787</v>
      </c>
      <c r="N113" s="133">
        <f t="shared" si="184"/>
        <v>15.131899750183376</v>
      </c>
      <c r="O113" s="133">
        <f t="shared" si="184"/>
        <v>0.76421195595275537</v>
      </c>
      <c r="P113" s="133">
        <f t="shared" si="184"/>
        <v>28.797411626794599</v>
      </c>
      <c r="Q113" s="133">
        <f t="shared" si="184"/>
        <v>30.586162927445432</v>
      </c>
      <c r="R113" s="133">
        <f t="shared" si="184"/>
        <v>34.085844962865323</v>
      </c>
      <c r="S113" s="133">
        <f t="shared" si="184"/>
        <v>20.283396671933048</v>
      </c>
      <c r="T113" s="133">
        <f t="shared" si="184"/>
        <v>6.8812425791897409</v>
      </c>
      <c r="U113" s="133">
        <f t="shared" si="184"/>
        <v>13.601785664266179</v>
      </c>
      <c r="V113" s="133">
        <f t="shared" si="184"/>
        <v>23.047765842018386</v>
      </c>
      <c r="W113" s="133">
        <f t="shared" si="184"/>
        <v>23.654344423443987</v>
      </c>
      <c r="X113" s="133">
        <f t="shared" si="184"/>
        <v>17.455701980120541</v>
      </c>
      <c r="Y113" s="133">
        <f t="shared" si="184"/>
        <v>33.973368668742935</v>
      </c>
      <c r="Z113" s="133">
        <f t="shared" si="184"/>
        <v>44.871470076714125</v>
      </c>
      <c r="AA113" s="133">
        <f t="shared" si="184"/>
        <v>43.189873249319781</v>
      </c>
      <c r="AB113" s="133">
        <f t="shared" si="184"/>
        <v>45.335993677985691</v>
      </c>
      <c r="AC113" s="133">
        <f t="shared" si="184"/>
        <v>14.972229618968532</v>
      </c>
      <c r="AD113" s="133">
        <f t="shared" si="184"/>
        <v>34.473604337728773</v>
      </c>
      <c r="AE113" s="133">
        <f t="shared" si="184"/>
        <v>52.220319458334565</v>
      </c>
      <c r="AF113" s="133">
        <f t="shared" si="184"/>
        <v>43.264366922989176</v>
      </c>
      <c r="AG113" s="133">
        <f t="shared" si="184"/>
        <v>18.855170263702419</v>
      </c>
      <c r="AH113" s="133">
        <f t="shared" si="184"/>
        <v>19.529749469464328</v>
      </c>
      <c r="AI113" s="133">
        <f t="shared" si="184"/>
        <v>43.138347677788587</v>
      </c>
      <c r="AJ113" s="133">
        <f t="shared" si="184"/>
        <v>21.753757381873911</v>
      </c>
      <c r="AK113" s="133">
        <f t="shared" si="184"/>
        <v>43.013314133720428</v>
      </c>
      <c r="AL113" s="133">
        <f t="shared" si="184"/>
        <v>48.675958443013045</v>
      </c>
      <c r="AM113" s="133">
        <f t="shared" si="184"/>
        <v>25.66084545193943</v>
      </c>
      <c r="AN113" s="133">
        <f t="shared" si="184"/>
        <v>42.005304675605466</v>
      </c>
      <c r="AO113" s="133">
        <f t="shared" si="184"/>
        <v>19.119988162015634</v>
      </c>
      <c r="AP113" s="133">
        <f t="shared" si="184"/>
        <v>8.1859334516623665</v>
      </c>
      <c r="AQ113" s="133">
        <f t="shared" si="184"/>
        <v>24.691777631018624</v>
      </c>
      <c r="AR113" s="133">
        <f t="shared" si="184"/>
        <v>20.887811628975694</v>
      </c>
      <c r="AS113" s="133">
        <f t="shared" si="184"/>
        <v>7.8978422546722529</v>
      </c>
      <c r="AT113" s="133">
        <f t="shared" si="184"/>
        <v>16.184774950820518</v>
      </c>
      <c r="AU113" s="133">
        <f t="shared" si="184"/>
        <v>9.7295224619704772</v>
      </c>
      <c r="AV113" s="133">
        <f t="shared" si="184"/>
        <v>43.871839124642172</v>
      </c>
      <c r="AW113" s="133">
        <f t="shared" si="184"/>
        <v>45.303272037729499</v>
      </c>
      <c r="AX113" s="133">
        <f t="shared" si="184"/>
        <v>1.4189027115946</v>
      </c>
      <c r="AY113" s="133">
        <f t="shared" si="184"/>
        <v>29.354184675581021</v>
      </c>
      <c r="AZ113" s="133">
        <f t="shared" si="184"/>
        <v>21.687597293347455</v>
      </c>
      <c r="BA113" s="133">
        <f t="shared" si="184"/>
        <v>14.347419975862003</v>
      </c>
      <c r="BB113" s="133">
        <f t="shared" si="184"/>
        <v>20.564231072429987</v>
      </c>
      <c r="BC113" s="133">
        <f t="shared" si="184"/>
        <v>18.544446020480457</v>
      </c>
      <c r="BD113" s="133">
        <f t="shared" si="184"/>
        <v>10.010938683455811</v>
      </c>
      <c r="BE113" s="133">
        <f t="shared" si="184"/>
        <v>8.1011550741591414</v>
      </c>
      <c r="BF113" s="133">
        <f t="shared" si="184"/>
        <v>10.991853557061109</v>
      </c>
      <c r="BG113" s="133">
        <f t="shared" si="184"/>
        <v>6.8411494101867536</v>
      </c>
      <c r="BH113" s="133">
        <f t="shared" si="184"/>
        <v>-0.28056959813619137</v>
      </c>
      <c r="BI113" s="133">
        <f t="shared" si="184"/>
        <v>-2.243950012896835</v>
      </c>
      <c r="BJ113" s="133">
        <f t="shared" si="184"/>
        <v>-4.4983638894070248</v>
      </c>
      <c r="BK113" s="133">
        <f t="shared" si="184"/>
        <v>-5.0150835279588613</v>
      </c>
      <c r="BL113" s="133">
        <f t="shared" si="184"/>
        <v>-8.3746380135557086</v>
      </c>
      <c r="BM113" s="133">
        <f t="shared" si="184"/>
        <v>-3.656683048206141</v>
      </c>
      <c r="BN113" s="133">
        <f t="shared" si="184"/>
        <v>-2.8576630740512368</v>
      </c>
      <c r="BO113" s="133">
        <f t="shared" si="184"/>
        <v>-6.5502451986822186</v>
      </c>
      <c r="BP113" s="133">
        <f t="shared" si="184"/>
        <v>-4.2776707169028594</v>
      </c>
      <c r="BQ113" s="133">
        <f t="shared" si="184"/>
        <v>-2.5915745899169669</v>
      </c>
      <c r="BR113" s="133">
        <f t="shared" si="184"/>
        <v>-21.995012022001916</v>
      </c>
      <c r="BS113" s="133">
        <f t="shared" ref="BS113:DA113" si="185">BS109*SIN(PI()*BS$96/180)</f>
        <v>-13.414275859295968</v>
      </c>
      <c r="BT113" s="133">
        <f t="shared" si="185"/>
        <v>-24.914236836191577</v>
      </c>
      <c r="BU113" s="133">
        <f t="shared" si="185"/>
        <v>-27.446156911349437</v>
      </c>
      <c r="BV113" s="133">
        <f t="shared" si="185"/>
        <v>-20.520091156041179</v>
      </c>
      <c r="BW113" s="133">
        <f t="shared" si="185"/>
        <v>-12.425968392289152</v>
      </c>
      <c r="BX113" s="133">
        <f t="shared" si="185"/>
        <v>-30.308424925344365</v>
      </c>
      <c r="BY113" s="133">
        <f t="shared" si="185"/>
        <v>-28.406782090210285</v>
      </c>
      <c r="BZ113" s="133">
        <f t="shared" si="185"/>
        <v>-9.5017886684857107</v>
      </c>
      <c r="CA113" s="133">
        <f t="shared" si="185"/>
        <v>-39.836648962416263</v>
      </c>
      <c r="CB113" s="133">
        <f t="shared" si="185"/>
        <v>-3.9261858422171492</v>
      </c>
      <c r="CC113" s="133">
        <f t="shared" si="185"/>
        <v>-30.326181377021534</v>
      </c>
      <c r="CD113" s="133">
        <f t="shared" si="185"/>
        <v>-47.314883001560332</v>
      </c>
      <c r="CE113" s="133">
        <f t="shared" si="185"/>
        <v>-32.171372027796991</v>
      </c>
      <c r="CF113" s="133">
        <f t="shared" si="185"/>
        <v>-46.12862769938959</v>
      </c>
      <c r="CG113" s="133">
        <f t="shared" si="185"/>
        <v>-25.670220351625616</v>
      </c>
      <c r="CH113" s="133">
        <f t="shared" si="185"/>
        <v>-30.481655454271188</v>
      </c>
      <c r="CI113" s="133">
        <f t="shared" si="185"/>
        <v>-38.004149614108407</v>
      </c>
      <c r="CJ113" s="133">
        <f t="shared" si="185"/>
        <v>-11.050748555701217</v>
      </c>
      <c r="CK113" s="133">
        <f t="shared" si="185"/>
        <v>-20.116757418246312</v>
      </c>
      <c r="CL113" s="133">
        <f t="shared" si="185"/>
        <v>-7.1222770131358129</v>
      </c>
      <c r="CM113" s="133">
        <f t="shared" si="185"/>
        <v>-14.532349666548606</v>
      </c>
      <c r="CN113" s="133">
        <f t="shared" si="185"/>
        <v>-28.044313414466838</v>
      </c>
      <c r="CO113" s="133">
        <f t="shared" si="185"/>
        <v>-27.464452301536802</v>
      </c>
      <c r="CP113" s="133">
        <f t="shared" si="185"/>
        <v>-21.579367165861704</v>
      </c>
      <c r="CQ113" s="133">
        <f t="shared" si="185"/>
        <v>-18.552283827047031</v>
      </c>
      <c r="CR113" s="133">
        <f t="shared" si="185"/>
        <v>-19.60393914742404</v>
      </c>
      <c r="CS113" s="133">
        <f t="shared" si="185"/>
        <v>-1.4850241470490657</v>
      </c>
      <c r="CT113" s="133">
        <f t="shared" si="185"/>
        <v>-9.4810627836826296</v>
      </c>
      <c r="CU113" s="133">
        <f t="shared" si="185"/>
        <v>-7.125503812709578</v>
      </c>
      <c r="CV113" s="133">
        <f t="shared" si="185"/>
        <v>-8.9477600195792988</v>
      </c>
      <c r="CW113" s="133">
        <f t="shared" si="185"/>
        <v>-6.0887214400909029</v>
      </c>
      <c r="CX113" s="133">
        <f t="shared" si="185"/>
        <v>-4.9385959486099278</v>
      </c>
      <c r="CY113" s="133">
        <f t="shared" si="185"/>
        <v>-4.1407132730727731</v>
      </c>
      <c r="CZ113" s="133">
        <f t="shared" si="185"/>
        <v>-0.16955373782287222</v>
      </c>
      <c r="DA113" s="133">
        <f t="shared" si="185"/>
        <v>0.11601059516336056</v>
      </c>
    </row>
    <row r="114" spans="5:105">
      <c r="E114" s="137" t="s">
        <v>95</v>
      </c>
      <c r="F114" s="133">
        <f>F110*COS(PI()*F$96/180)</f>
        <v>6.1030759463354244E-3</v>
      </c>
      <c r="G114" s="133">
        <f t="shared" ref="G114:BR114" si="186">G110*COS(PI()*G$96/180)</f>
        <v>20.430468246563269</v>
      </c>
      <c r="H114" s="133">
        <f t="shared" si="186"/>
        <v>45.434290605501261</v>
      </c>
      <c r="I114" s="133">
        <f t="shared" si="186"/>
        <v>17.441260542371769</v>
      </c>
      <c r="J114" s="133">
        <f t="shared" si="186"/>
        <v>26.87487502432317</v>
      </c>
      <c r="K114" s="133">
        <f t="shared" si="186"/>
        <v>51.356545247643666</v>
      </c>
      <c r="L114" s="133">
        <f t="shared" si="186"/>
        <v>22.544575962583796</v>
      </c>
      <c r="M114" s="133">
        <f t="shared" si="186"/>
        <v>47.243378295584193</v>
      </c>
      <c r="N114" s="133">
        <f t="shared" si="186"/>
        <v>42.544919135566083</v>
      </c>
      <c r="O114" s="133">
        <f t="shared" si="186"/>
        <v>3.0865044207432661</v>
      </c>
      <c r="P114" s="133">
        <f t="shared" si="186"/>
        <v>44.736864739753393</v>
      </c>
      <c r="Q114" s="133">
        <f t="shared" si="186"/>
        <v>43.088556278737123</v>
      </c>
      <c r="R114" s="133">
        <f t="shared" si="186"/>
        <v>47.216074173745682</v>
      </c>
      <c r="S114" s="133">
        <f t="shared" si="186"/>
        <v>24.220864816416928</v>
      </c>
      <c r="T114" s="133">
        <f t="shared" si="186"/>
        <v>7.0282649414628224</v>
      </c>
      <c r="U114" s="133">
        <f t="shared" si="186"/>
        <v>15.168427738614309</v>
      </c>
      <c r="V114" s="133">
        <f t="shared" si="186"/>
        <v>22.715151398593381</v>
      </c>
      <c r="W114" s="133">
        <f t="shared" si="186"/>
        <v>19.284442200631457</v>
      </c>
      <c r="X114" s="133">
        <f t="shared" si="186"/>
        <v>14.264181570663736</v>
      </c>
      <c r="Y114" s="133">
        <f t="shared" si="186"/>
        <v>19.160539236536309</v>
      </c>
      <c r="Z114" s="133">
        <f t="shared" si="186"/>
        <v>28.682428301230939</v>
      </c>
      <c r="AA114" s="133">
        <f t="shared" si="186"/>
        <v>20.191660637846013</v>
      </c>
      <c r="AB114" s="133">
        <f t="shared" si="186"/>
        <v>22.1684985095694</v>
      </c>
      <c r="AC114" s="133">
        <f t="shared" si="186"/>
        <v>4.3237707916360657</v>
      </c>
      <c r="AD114" s="133">
        <f t="shared" si="186"/>
        <v>8.637933501688849</v>
      </c>
      <c r="AE114" s="133">
        <f t="shared" si="186"/>
        <v>12.294672267732272</v>
      </c>
      <c r="AF114" s="133">
        <f t="shared" si="186"/>
        <v>9.3021788836451602</v>
      </c>
      <c r="AG114" s="133">
        <f t="shared" si="186"/>
        <v>1.5331124836305714</v>
      </c>
      <c r="AH114" s="133">
        <f t="shared" si="186"/>
        <v>0.41855547946065441</v>
      </c>
      <c r="AI114" s="133">
        <f t="shared" si="186"/>
        <v>2.3694294199215262</v>
      </c>
      <c r="AJ114" s="133">
        <f t="shared" si="186"/>
        <v>1.910580163336367</v>
      </c>
      <c r="AK114" s="133">
        <f t="shared" si="186"/>
        <v>0.18973164144959276</v>
      </c>
      <c r="AL114" s="133">
        <f t="shared" si="186"/>
        <v>-1.096043925679852</v>
      </c>
      <c r="AM114" s="133">
        <f t="shared" si="186"/>
        <v>-0.14616366082614982</v>
      </c>
      <c r="AN114" s="133">
        <f t="shared" si="186"/>
        <v>-4.2932088889668201</v>
      </c>
      <c r="AO114" s="133">
        <f t="shared" si="186"/>
        <v>-2.9131913666739218</v>
      </c>
      <c r="AP114" s="133">
        <f t="shared" si="186"/>
        <v>-0.24772268206545911</v>
      </c>
      <c r="AQ114" s="133">
        <f t="shared" si="186"/>
        <v>-5.9065968836148848</v>
      </c>
      <c r="AR114" s="133">
        <f t="shared" si="186"/>
        <v>-3.5558173135505649</v>
      </c>
      <c r="AS114" s="133">
        <f t="shared" si="186"/>
        <v>-2.3605285672486089</v>
      </c>
      <c r="AT114" s="133">
        <f t="shared" si="186"/>
        <v>-5.2448144252005786</v>
      </c>
      <c r="AU114" s="133">
        <f t="shared" si="186"/>
        <v>-3.6911772820396362</v>
      </c>
      <c r="AV114" s="133">
        <f t="shared" si="186"/>
        <v>-24.128893827255808</v>
      </c>
      <c r="AW114" s="133">
        <f t="shared" si="186"/>
        <v>-25.661242600186121</v>
      </c>
      <c r="AX114" s="133">
        <f t="shared" si="186"/>
        <v>-0.78876997888314637</v>
      </c>
      <c r="AY114" s="133">
        <f t="shared" si="186"/>
        <v>-24.628590459422099</v>
      </c>
      <c r="AZ114" s="133">
        <f t="shared" si="186"/>
        <v>-18.158788607500405</v>
      </c>
      <c r="BA114" s="133">
        <f t="shared" si="186"/>
        <v>-11.223056916926545</v>
      </c>
      <c r="BB114" s="133">
        <f t="shared" si="186"/>
        <v>-25.845380376509372</v>
      </c>
      <c r="BC114" s="133">
        <f t="shared" si="186"/>
        <v>-22.491426036759396</v>
      </c>
      <c r="BD114" s="133">
        <f t="shared" si="186"/>
        <v>-22.795477502776667</v>
      </c>
      <c r="BE114" s="133">
        <f t="shared" si="186"/>
        <v>-19.610943058779739</v>
      </c>
      <c r="BF114" s="133">
        <f t="shared" si="186"/>
        <v>-27.775738445440066</v>
      </c>
      <c r="BG114" s="133">
        <f t="shared" si="186"/>
        <v>-44.397577188696339</v>
      </c>
      <c r="BH114" s="133">
        <f t="shared" si="186"/>
        <v>-19.175725387422133</v>
      </c>
      <c r="BI114" s="133">
        <f t="shared" si="186"/>
        <v>-22.078315168965535</v>
      </c>
      <c r="BJ114" s="133">
        <f t="shared" si="186"/>
        <v>-43.225713410583566</v>
      </c>
      <c r="BK114" s="133">
        <f t="shared" si="186"/>
        <v>-46.685425442405027</v>
      </c>
      <c r="BL114" s="133">
        <f t="shared" si="186"/>
        <v>-46.040623887099201</v>
      </c>
      <c r="BM114" s="133">
        <f t="shared" si="186"/>
        <v>-19.137168171155903</v>
      </c>
      <c r="BN114" s="133">
        <f t="shared" si="186"/>
        <v>-7.4002850062192742</v>
      </c>
      <c r="BO114" s="133">
        <f t="shared" si="186"/>
        <v>-17.514820979978406</v>
      </c>
      <c r="BP114" s="133">
        <f t="shared" si="186"/>
        <v>-7.1125482317560271</v>
      </c>
      <c r="BQ114" s="133">
        <f t="shared" si="186"/>
        <v>-2.4784914279183936</v>
      </c>
      <c r="BR114" s="133">
        <f t="shared" si="186"/>
        <v>-42.54715127411945</v>
      </c>
      <c r="BS114" s="133">
        <f t="shared" ref="BS114:DA114" si="187">BS110*COS(PI()*BS$96/180)</f>
        <v>-23.022756233430606</v>
      </c>
      <c r="BT114" s="133">
        <f t="shared" si="187"/>
        <v>-36.659865971804422</v>
      </c>
      <c r="BU114" s="133">
        <f t="shared" si="187"/>
        <v>-37.561769679697854</v>
      </c>
      <c r="BV114" s="133">
        <f t="shared" si="187"/>
        <v>-22.665698182374491</v>
      </c>
      <c r="BW114" s="133">
        <f t="shared" si="187"/>
        <v>-8.9388704477985819</v>
      </c>
      <c r="BX114" s="133">
        <f t="shared" si="187"/>
        <v>-24.165133756747949</v>
      </c>
      <c r="BY114" s="133">
        <f t="shared" si="187"/>
        <v>-19.731974352985226</v>
      </c>
      <c r="BZ114" s="133">
        <f t="shared" si="187"/>
        <v>-6.8864131422590713</v>
      </c>
      <c r="CA114" s="133">
        <f t="shared" si="187"/>
        <v>-29.782296380754463</v>
      </c>
      <c r="CB114" s="133">
        <f t="shared" si="187"/>
        <v>-1.3388962559381721</v>
      </c>
      <c r="CC114" s="133">
        <f t="shared" si="187"/>
        <v>-15.389903833104077</v>
      </c>
      <c r="CD114" s="133">
        <f t="shared" si="187"/>
        <v>-19.272297683399064</v>
      </c>
      <c r="CE114" s="133">
        <f t="shared" si="187"/>
        <v>-10.810926685433966</v>
      </c>
      <c r="CF114" s="133">
        <f t="shared" si="187"/>
        <v>-15.910835909925106</v>
      </c>
      <c r="CG114" s="133">
        <f t="shared" si="187"/>
        <v>-4.1211262392084871</v>
      </c>
      <c r="CH114" s="133">
        <f t="shared" si="187"/>
        <v>1.4974233502790264</v>
      </c>
      <c r="CI114" s="133">
        <f t="shared" si="187"/>
        <v>6.2083792287069191</v>
      </c>
      <c r="CJ114" s="133">
        <f t="shared" si="187"/>
        <v>1.382078852169589</v>
      </c>
      <c r="CK114" s="133">
        <f t="shared" si="187"/>
        <v>4.311344133130814</v>
      </c>
      <c r="CL114" s="133">
        <f t="shared" si="187"/>
        <v>4.2382080754498155</v>
      </c>
      <c r="CM114" s="133">
        <f t="shared" si="187"/>
        <v>7.2811081958161799</v>
      </c>
      <c r="CN114" s="133">
        <f t="shared" si="187"/>
        <v>13.182241815231482</v>
      </c>
      <c r="CO114" s="133">
        <f t="shared" si="187"/>
        <v>17.811182046615006</v>
      </c>
      <c r="CP114" s="133">
        <f t="shared" si="187"/>
        <v>23.212673023732943</v>
      </c>
      <c r="CQ114" s="133">
        <f t="shared" si="187"/>
        <v>22.454665564446014</v>
      </c>
      <c r="CR114" s="133">
        <f t="shared" si="187"/>
        <v>26.669874578892756</v>
      </c>
      <c r="CS114" s="133">
        <f t="shared" si="187"/>
        <v>3.5987283538205217</v>
      </c>
      <c r="CT114" s="133">
        <f t="shared" si="187"/>
        <v>19.395051227771553</v>
      </c>
      <c r="CU114" s="133">
        <f t="shared" si="187"/>
        <v>16.075256109081668</v>
      </c>
      <c r="CV114" s="133">
        <f t="shared" si="187"/>
        <v>30.168200184275797</v>
      </c>
      <c r="CW114" s="133">
        <f t="shared" si="187"/>
        <v>22.183871251192937</v>
      </c>
      <c r="CX114" s="133">
        <f t="shared" si="187"/>
        <v>21.051957449475147</v>
      </c>
      <c r="CY114" s="133">
        <f t="shared" si="187"/>
        <v>30.872530891980052</v>
      </c>
      <c r="CZ114" s="133">
        <f t="shared" si="187"/>
        <v>42.809820719626522</v>
      </c>
      <c r="DA114" s="133">
        <f t="shared" si="187"/>
        <v>47.200957139328942</v>
      </c>
    </row>
    <row r="115" spans="5:105">
      <c r="E115" s="137" t="s">
        <v>97</v>
      </c>
      <c r="F115" s="133">
        <f>F110*SIN(PI()*F$96/180)</f>
        <v>6.7811954968153535E-4</v>
      </c>
      <c r="G115" s="133">
        <f t="shared" ref="G115:BR115" si="188">G110*SIN(PI()*G$96/180)</f>
        <v>1.6131356518095994</v>
      </c>
      <c r="H115" s="133">
        <f t="shared" si="188"/>
        <v>6.1526640469787237</v>
      </c>
      <c r="I115" s="133">
        <f t="shared" si="188"/>
        <v>2.8800366804415458</v>
      </c>
      <c r="J115" s="133">
        <f t="shared" si="188"/>
        <v>7.8276904442689679</v>
      </c>
      <c r="K115" s="133">
        <f t="shared" si="188"/>
        <v>14.220500769605634</v>
      </c>
      <c r="L115" s="133">
        <f t="shared" si="188"/>
        <v>8.4074513292531154</v>
      </c>
      <c r="M115" s="133">
        <f t="shared" si="188"/>
        <v>15.962875672822149</v>
      </c>
      <c r="N115" s="133">
        <f t="shared" si="188"/>
        <v>14.282611483299959</v>
      </c>
      <c r="O115" s="133">
        <f t="shared" si="188"/>
        <v>0.72132003502294373</v>
      </c>
      <c r="P115" s="133">
        <f t="shared" si="188"/>
        <v>27.181137119626232</v>
      </c>
      <c r="Q115" s="133">
        <f t="shared" si="188"/>
        <v>28.869493524917228</v>
      </c>
      <c r="R115" s="133">
        <f t="shared" si="188"/>
        <v>32.172753502328916</v>
      </c>
      <c r="S115" s="133">
        <f t="shared" si="188"/>
        <v>19.144977101990673</v>
      </c>
      <c r="T115" s="133">
        <f t="shared" si="188"/>
        <v>6.4950281130244072</v>
      </c>
      <c r="U115" s="133">
        <f t="shared" si="188"/>
        <v>12.838376101419692</v>
      </c>
      <c r="V115" s="133">
        <f t="shared" si="188"/>
        <v>21.754194153687219</v>
      </c>
      <c r="W115" s="133">
        <f t="shared" si="188"/>
        <v>22.326728095599449</v>
      </c>
      <c r="X115" s="133">
        <f t="shared" si="188"/>
        <v>16.475988716969276</v>
      </c>
      <c r="Y115" s="133">
        <f t="shared" si="188"/>
        <v>32.066590017468926</v>
      </c>
      <c r="Z115" s="133">
        <f t="shared" si="188"/>
        <v>42.353027998514271</v>
      </c>
      <c r="AA115" s="133">
        <f t="shared" si="188"/>
        <v>40.765811948068773</v>
      </c>
      <c r="AB115" s="133">
        <f t="shared" si="188"/>
        <v>42.791479893604617</v>
      </c>
      <c r="AC115" s="133">
        <f t="shared" si="188"/>
        <v>14.1319029478696</v>
      </c>
      <c r="AD115" s="133">
        <f t="shared" si="188"/>
        <v>32.53874961594412</v>
      </c>
      <c r="AE115" s="133">
        <f t="shared" si="188"/>
        <v>49.289418161005393</v>
      </c>
      <c r="AF115" s="133">
        <f t="shared" si="188"/>
        <v>40.836124613137208</v>
      </c>
      <c r="AG115" s="133">
        <f t="shared" si="188"/>
        <v>17.796910881904864</v>
      </c>
      <c r="AH115" s="133">
        <f t="shared" si="188"/>
        <v>18.433628866406028</v>
      </c>
      <c r="AI115" s="133">
        <f t="shared" si="188"/>
        <v>40.717178284630307</v>
      </c>
      <c r="AJ115" s="133">
        <f t="shared" si="188"/>
        <v>20.532812807163115</v>
      </c>
      <c r="AK115" s="133">
        <f t="shared" si="188"/>
        <v>40.599162334102751</v>
      </c>
      <c r="AL115" s="133">
        <f t="shared" si="188"/>
        <v>45.943986842126982</v>
      </c>
      <c r="AM115" s="133">
        <f t="shared" si="188"/>
        <v>24.220612875697526</v>
      </c>
      <c r="AN115" s="133">
        <f t="shared" si="188"/>
        <v>39.647728099179723</v>
      </c>
      <c r="AO115" s="133">
        <f t="shared" si="188"/>
        <v>18.046865693784046</v>
      </c>
      <c r="AP115" s="133">
        <f t="shared" si="188"/>
        <v>7.7264923141474906</v>
      </c>
      <c r="AQ115" s="133">
        <f t="shared" si="188"/>
        <v>23.305934651833912</v>
      </c>
      <c r="AR115" s="133">
        <f t="shared" si="188"/>
        <v>19.715468854424529</v>
      </c>
      <c r="AS115" s="133">
        <f t="shared" si="188"/>
        <v>7.4545704334650083</v>
      </c>
      <c r="AT115" s="133">
        <f t="shared" si="188"/>
        <v>15.276393340129902</v>
      </c>
      <c r="AU115" s="133">
        <f t="shared" si="188"/>
        <v>9.1834463310319236</v>
      </c>
      <c r="AV115" s="133">
        <f t="shared" si="188"/>
        <v>41.409502020227777</v>
      </c>
      <c r="AW115" s="133">
        <f t="shared" si="188"/>
        <v>42.760594777882801</v>
      </c>
      <c r="AX115" s="133">
        <f t="shared" si="188"/>
        <v>1.3392658223274903</v>
      </c>
      <c r="AY115" s="133">
        <f t="shared" si="188"/>
        <v>27.706660898627778</v>
      </c>
      <c r="AZ115" s="133">
        <f t="shared" si="188"/>
        <v>20.470365999047523</v>
      </c>
      <c r="BA115" s="133">
        <f t="shared" si="188"/>
        <v>13.542161175135366</v>
      </c>
      <c r="BB115" s="133">
        <f t="shared" si="188"/>
        <v>19.410049478867517</v>
      </c>
      <c r="BC115" s="133">
        <f t="shared" si="188"/>
        <v>17.503626250255898</v>
      </c>
      <c r="BD115" s="133">
        <f t="shared" si="188"/>
        <v>9.449067873794565</v>
      </c>
      <c r="BE115" s="133">
        <f t="shared" si="188"/>
        <v>7.6464721813119931</v>
      </c>
      <c r="BF115" s="133">
        <f t="shared" si="188"/>
        <v>10.374928226373559</v>
      </c>
      <c r="BG115" s="133">
        <f t="shared" si="188"/>
        <v>6.4571852006698611</v>
      </c>
      <c r="BH115" s="133">
        <f t="shared" si="188"/>
        <v>-0.26482243673047462</v>
      </c>
      <c r="BI115" s="133">
        <f t="shared" si="188"/>
        <v>-2.1180067771571798</v>
      </c>
      <c r="BJ115" s="133">
        <f t="shared" si="188"/>
        <v>-4.2458901263952695</v>
      </c>
      <c r="BK115" s="133">
        <f t="shared" si="188"/>
        <v>-4.733608520322484</v>
      </c>
      <c r="BL115" s="133">
        <f t="shared" si="188"/>
        <v>-7.9046057028921046</v>
      </c>
      <c r="BM115" s="133">
        <f t="shared" si="188"/>
        <v>-3.4514492005185544</v>
      </c>
      <c r="BN115" s="133">
        <f t="shared" si="188"/>
        <v>-2.6972747712230807</v>
      </c>
      <c r="BO115" s="133">
        <f t="shared" si="188"/>
        <v>-6.1826081878447106</v>
      </c>
      <c r="BP115" s="133">
        <f t="shared" si="188"/>
        <v>-4.0375835097818671</v>
      </c>
      <c r="BQ115" s="133">
        <f t="shared" si="188"/>
        <v>-2.4461206860247597</v>
      </c>
      <c r="BR115" s="133">
        <f t="shared" si="188"/>
        <v>-20.760526864907245</v>
      </c>
      <c r="BS115" s="133">
        <f t="shared" ref="BS115:DA115" si="189">BS110*SIN(PI()*BS$96/180)</f>
        <v>-12.661390413045275</v>
      </c>
      <c r="BT115" s="133">
        <f t="shared" si="189"/>
        <v>-23.51590818131956</v>
      </c>
      <c r="BU115" s="133">
        <f t="shared" si="189"/>
        <v>-25.905722503200003</v>
      </c>
      <c r="BV115" s="133">
        <f t="shared" si="189"/>
        <v>-19.368386945603707</v>
      </c>
      <c r="BW115" s="133">
        <f t="shared" si="189"/>
        <v>-11.728552381447056</v>
      </c>
      <c r="BX115" s="133">
        <f t="shared" si="189"/>
        <v>-28.607343758949511</v>
      </c>
      <c r="BY115" s="133">
        <f t="shared" si="189"/>
        <v>-26.812431934088135</v>
      </c>
      <c r="BZ115" s="133">
        <f t="shared" si="189"/>
        <v>-8.9684942531263356</v>
      </c>
      <c r="CA115" s="133">
        <f t="shared" si="189"/>
        <v>-37.600789677442897</v>
      </c>
      <c r="CB115" s="133">
        <f t="shared" si="189"/>
        <v>-3.7058259651066492</v>
      </c>
      <c r="CC115" s="133">
        <f t="shared" si="189"/>
        <v>-28.624103617580218</v>
      </c>
      <c r="CD115" s="133">
        <f t="shared" si="189"/>
        <v>-44.659302694685792</v>
      </c>
      <c r="CE115" s="133">
        <f t="shared" si="189"/>
        <v>-30.365731675704502</v>
      </c>
      <c r="CF115" s="133">
        <f t="shared" si="189"/>
        <v>-43.539626786133454</v>
      </c>
      <c r="CG115" s="133">
        <f t="shared" si="189"/>
        <v>-24.229461602699637</v>
      </c>
      <c r="CH115" s="133">
        <f t="shared" si="189"/>
        <v>-28.770851605456254</v>
      </c>
      <c r="CI115" s="133">
        <f t="shared" si="189"/>
        <v>-35.871140613718154</v>
      </c>
      <c r="CJ115" s="133">
        <f t="shared" si="189"/>
        <v>-10.430517702762728</v>
      </c>
      <c r="CK115" s="133">
        <f t="shared" si="189"/>
        <v>-18.987690590873925</v>
      </c>
      <c r="CL115" s="133">
        <f t="shared" si="189"/>
        <v>-6.7225343238098141</v>
      </c>
      <c r="CM115" s="133">
        <f t="shared" si="189"/>
        <v>-13.716711559912504</v>
      </c>
      <c r="CN115" s="133">
        <f t="shared" si="189"/>
        <v>-26.470307061733809</v>
      </c>
      <c r="CO115" s="133">
        <f t="shared" si="189"/>
        <v>-25.922991052046843</v>
      </c>
      <c r="CP115" s="133">
        <f t="shared" si="189"/>
        <v>-20.368210361805193</v>
      </c>
      <c r="CQ115" s="133">
        <f t="shared" si="189"/>
        <v>-17.511024154545495</v>
      </c>
      <c r="CR115" s="133">
        <f t="shared" si="189"/>
        <v>-18.50365459773278</v>
      </c>
      <c r="CS115" s="133">
        <f t="shared" si="189"/>
        <v>-1.4016761468013081</v>
      </c>
      <c r="CT115" s="133">
        <f t="shared" si="189"/>
        <v>-8.9489316228434816</v>
      </c>
      <c r="CU115" s="133">
        <f t="shared" si="189"/>
        <v>-6.7255800170411613</v>
      </c>
      <c r="CV115" s="133">
        <f t="shared" si="189"/>
        <v>-8.4455608426765352</v>
      </c>
      <c r="CW115" s="133">
        <f t="shared" si="189"/>
        <v>-5.7469877672037262</v>
      </c>
      <c r="CX115" s="133">
        <f t="shared" si="189"/>
        <v>-4.6614138589003016</v>
      </c>
      <c r="CY115" s="133">
        <f t="shared" si="189"/>
        <v>-3.9083128965564988</v>
      </c>
      <c r="CZ115" s="133">
        <f t="shared" si="189"/>
        <v>-0.16003741782891723</v>
      </c>
      <c r="DA115" s="133">
        <f t="shared" si="189"/>
        <v>0.10949942082748708</v>
      </c>
    </row>
    <row r="116" spans="5:105">
      <c r="E116" s="137" t="s">
        <v>177</v>
      </c>
      <c r="F116" s="133">
        <f>F108*COS(PI()*F$96/180)</f>
        <v>0.50481181946946019</v>
      </c>
      <c r="G116" s="133">
        <f t="shared" ref="G116:BR116" si="190">G108*COS(PI()*G$96/180)</f>
        <v>31.102831125827478</v>
      </c>
      <c r="H116" s="133">
        <f t="shared" si="190"/>
        <v>51.77754335343468</v>
      </c>
      <c r="I116" s="133">
        <f t="shared" si="190"/>
        <v>39.467228097909931</v>
      </c>
      <c r="J116" s="133">
        <f t="shared" si="190"/>
        <v>37.813066974847267</v>
      </c>
      <c r="K116" s="133">
        <f t="shared" si="190"/>
        <v>58.155391755255849</v>
      </c>
      <c r="L116" s="133">
        <f t="shared" si="190"/>
        <v>37.90510125334982</v>
      </c>
      <c r="M116" s="133">
        <f t="shared" si="190"/>
        <v>58.110928284228656</v>
      </c>
      <c r="N116" s="133">
        <f t="shared" si="190"/>
        <v>55.501155375956664</v>
      </c>
      <c r="O116" s="133">
        <f t="shared" si="190"/>
        <v>16.932266949757025</v>
      </c>
      <c r="P116" s="133">
        <f t="shared" si="190"/>
        <v>44.789531127021036</v>
      </c>
      <c r="Q116" s="133">
        <f t="shared" si="190"/>
        <v>47.378058071285615</v>
      </c>
      <c r="R116" s="133">
        <f t="shared" si="190"/>
        <v>47.819787365327052</v>
      </c>
      <c r="S116" s="133">
        <f t="shared" si="190"/>
        <v>37.782421757715525</v>
      </c>
      <c r="T116" s="133">
        <f t="shared" si="190"/>
        <v>16.544536093251043</v>
      </c>
      <c r="U116" s="133">
        <f t="shared" si="190"/>
        <v>25.087179008573145</v>
      </c>
      <c r="V116" s="133">
        <f t="shared" si="190"/>
        <v>34.077341297284796</v>
      </c>
      <c r="W116" s="133">
        <f t="shared" si="190"/>
        <v>29.543782855726299</v>
      </c>
      <c r="X116" s="133">
        <f t="shared" si="190"/>
        <v>24.413168310403531</v>
      </c>
      <c r="Y116" s="133">
        <f t="shared" si="190"/>
        <v>23.157297601563947</v>
      </c>
      <c r="Z116" s="133">
        <f t="shared" si="190"/>
        <v>30.274072917639451</v>
      </c>
      <c r="AA116" s="133">
        <f t="shared" si="190"/>
        <v>20.649222888655565</v>
      </c>
      <c r="AB116" s="133">
        <f t="shared" si="190"/>
        <v>22.802001795501834</v>
      </c>
      <c r="AC116" s="133">
        <f t="shared" si="190"/>
        <v>7.5653411447171797</v>
      </c>
      <c r="AD116" s="133">
        <f t="shared" si="190"/>
        <v>10.070386600554068</v>
      </c>
      <c r="AE116" s="133">
        <f t="shared" si="190"/>
        <v>12.748795473512523</v>
      </c>
      <c r="AF116" s="133">
        <f t="shared" si="190"/>
        <v>9.7610955675375575</v>
      </c>
      <c r="AG116" s="133">
        <f t="shared" si="190"/>
        <v>2.6522674217255808</v>
      </c>
      <c r="AH116" s="133">
        <f t="shared" si="190"/>
        <v>0.85524095337183903</v>
      </c>
      <c r="AI116" s="133">
        <f t="shared" si="190"/>
        <v>2.5510807559437487</v>
      </c>
      <c r="AJ116" s="133">
        <f t="shared" si="190"/>
        <v>3.2178553099477334</v>
      </c>
      <c r="AK116" s="133">
        <f t="shared" si="190"/>
        <v>0.20317821669684261</v>
      </c>
      <c r="AL116" s="133">
        <f t="shared" si="190"/>
        <v>-1.1725124208239399</v>
      </c>
      <c r="AM116" s="133">
        <f t="shared" si="190"/>
        <v>-0.20140309624059111</v>
      </c>
      <c r="AN116" s="133">
        <f t="shared" si="190"/>
        <v>-5.269584531538654</v>
      </c>
      <c r="AO116" s="133">
        <f t="shared" si="190"/>
        <v>-5.9563187492451615</v>
      </c>
      <c r="AP116" s="133">
        <f t="shared" si="190"/>
        <v>-0.62884327839370024</v>
      </c>
      <c r="AQ116" s="133">
        <f t="shared" si="190"/>
        <v>-10.139748549019806</v>
      </c>
      <c r="AR116" s="133">
        <f t="shared" si="190"/>
        <v>-5.4660687125592879</v>
      </c>
      <c r="AS116" s="133">
        <f t="shared" si="190"/>
        <v>-7.7840212639698896</v>
      </c>
      <c r="AT116" s="133">
        <f t="shared" si="190"/>
        <v>-10.820908979649882</v>
      </c>
      <c r="AU116" s="133">
        <f t="shared" si="190"/>
        <v>-8.001577922966348</v>
      </c>
      <c r="AV116" s="133">
        <f t="shared" si="190"/>
        <v>-26.095214902524688</v>
      </c>
      <c r="AW116" s="133">
        <f t="shared" si="190"/>
        <v>-26.697159548645224</v>
      </c>
      <c r="AX116" s="133">
        <f t="shared" si="190"/>
        <v>-6.1909982525881153</v>
      </c>
      <c r="AY116" s="133">
        <f t="shared" si="190"/>
        <v>-31.965375980260497</v>
      </c>
      <c r="AZ116" s="133">
        <f t="shared" si="190"/>
        <v>-26.240318004241352</v>
      </c>
      <c r="BA116" s="133">
        <f t="shared" si="190"/>
        <v>-19.861711669382188</v>
      </c>
      <c r="BB116" s="133">
        <f t="shared" si="190"/>
        <v>-32.561690379920826</v>
      </c>
      <c r="BC116" s="133">
        <f t="shared" si="190"/>
        <v>-35.820947301468536</v>
      </c>
      <c r="BD116" s="133">
        <f t="shared" si="190"/>
        <v>-37.009169830484559</v>
      </c>
      <c r="BE116" s="133">
        <f t="shared" si="190"/>
        <v>-33.706159420484802</v>
      </c>
      <c r="BF116" s="133">
        <f t="shared" si="190"/>
        <v>-44.90089533506</v>
      </c>
      <c r="BG116" s="133">
        <f t="shared" si="190"/>
        <v>-55.117132788484902</v>
      </c>
      <c r="BH116" s="133">
        <f t="shared" si="190"/>
        <v>-30.01287095424604</v>
      </c>
      <c r="BI116" s="133">
        <f t="shared" si="190"/>
        <v>-32.628111357164208</v>
      </c>
      <c r="BJ116" s="133">
        <f t="shared" si="190"/>
        <v>-48.431876936207409</v>
      </c>
      <c r="BK116" s="133">
        <f t="shared" si="190"/>
        <v>-54.03564748457088</v>
      </c>
      <c r="BL116" s="133">
        <f t="shared" si="190"/>
        <v>-54.56887252154123</v>
      </c>
      <c r="BM116" s="133">
        <f t="shared" si="190"/>
        <v>-29.764912033208063</v>
      </c>
      <c r="BN116" s="133">
        <f t="shared" si="190"/>
        <v>-17.967835093043202</v>
      </c>
      <c r="BO116" s="133">
        <f t="shared" si="190"/>
        <v>-29.178811117579876</v>
      </c>
      <c r="BP116" s="133">
        <f t="shared" si="190"/>
        <v>-18.731317957218412</v>
      </c>
      <c r="BQ116" s="133">
        <f t="shared" si="190"/>
        <v>-12.310043008333906</v>
      </c>
      <c r="BR116" s="133">
        <f t="shared" si="190"/>
        <v>-48.756775062467447</v>
      </c>
      <c r="BS116" s="133">
        <f t="shared" ref="BS116:DA116" si="191">BS108*COS(PI()*BS$96/180)</f>
        <v>-39.8694809570598</v>
      </c>
      <c r="BT116" s="133">
        <f t="shared" si="191"/>
        <v>-47.716594067053101</v>
      </c>
      <c r="BU116" s="133">
        <f t="shared" si="191"/>
        <v>-46.745268521202583</v>
      </c>
      <c r="BV116" s="133">
        <f t="shared" si="191"/>
        <v>-31.777418014948637</v>
      </c>
      <c r="BW116" s="133">
        <f t="shared" si="191"/>
        <v>-18.90471463996111</v>
      </c>
      <c r="BX116" s="133">
        <f t="shared" si="191"/>
        <v>-28.942281055815837</v>
      </c>
      <c r="BY116" s="133">
        <f t="shared" si="191"/>
        <v>-31.522993558137802</v>
      </c>
      <c r="BZ116" s="133">
        <f t="shared" si="191"/>
        <v>-14.711868033080762</v>
      </c>
      <c r="CA116" s="133">
        <f t="shared" si="191"/>
        <v>-34.042416843255872</v>
      </c>
      <c r="CB116" s="133">
        <f t="shared" si="191"/>
        <v>-6.6225251551525783</v>
      </c>
      <c r="CC116" s="133">
        <f t="shared" si="191"/>
        <v>-25.296843200175083</v>
      </c>
      <c r="CD116" s="133">
        <f t="shared" si="191"/>
        <v>-23.144136986391864</v>
      </c>
      <c r="CE116" s="133">
        <f t="shared" si="191"/>
        <v>-16.321333866675623</v>
      </c>
      <c r="CF116" s="133">
        <f t="shared" si="191"/>
        <v>-20.075768464795345</v>
      </c>
      <c r="CG116" s="133">
        <f t="shared" si="191"/>
        <v>-6.0482615781155165</v>
      </c>
      <c r="CH116" s="133">
        <f t="shared" si="191"/>
        <v>2.1104054938398882</v>
      </c>
      <c r="CI116" s="133">
        <f t="shared" si="191"/>
        <v>8.8251654684510097</v>
      </c>
      <c r="CJ116" s="133">
        <f t="shared" si="191"/>
        <v>2.9149349005075607</v>
      </c>
      <c r="CK116" s="133">
        <f t="shared" si="191"/>
        <v>7.137237285532529</v>
      </c>
      <c r="CL116" s="133">
        <f t="shared" si="191"/>
        <v>14.769391671506746</v>
      </c>
      <c r="CM116" s="133">
        <f t="shared" si="191"/>
        <v>16.209524597691424</v>
      </c>
      <c r="CN116" s="133">
        <f t="shared" si="191"/>
        <v>18.334564447923583</v>
      </c>
      <c r="CO116" s="133">
        <f t="shared" si="191"/>
        <v>28.150876684200043</v>
      </c>
      <c r="CP116" s="133">
        <f t="shared" si="191"/>
        <v>32.157820354214593</v>
      </c>
      <c r="CQ116" s="133">
        <f t="shared" si="191"/>
        <v>37.708570067717254</v>
      </c>
      <c r="CR116" s="133">
        <f t="shared" si="191"/>
        <v>40.28378635185851</v>
      </c>
      <c r="CS116" s="133">
        <f t="shared" si="191"/>
        <v>12.914887687868491</v>
      </c>
      <c r="CT116" s="133">
        <f t="shared" si="191"/>
        <v>33.376887746122335</v>
      </c>
      <c r="CU116" s="133">
        <f t="shared" si="191"/>
        <v>28.891735647989492</v>
      </c>
      <c r="CV116" s="133">
        <f t="shared" si="191"/>
        <v>47.771171237191481</v>
      </c>
      <c r="CW116" s="133">
        <f t="shared" si="191"/>
        <v>34.248415821410873</v>
      </c>
      <c r="CX116" s="133">
        <f t="shared" si="191"/>
        <v>32.251576474264496</v>
      </c>
      <c r="CY116" s="133">
        <f t="shared" si="191"/>
        <v>45.159935139131569</v>
      </c>
      <c r="CZ116" s="133">
        <f t="shared" si="191"/>
        <v>49.788969099986936</v>
      </c>
      <c r="DA116" s="133">
        <f t="shared" si="191"/>
        <v>55.76079608883807</v>
      </c>
    </row>
    <row r="117" spans="5:105">
      <c r="E117" s="137" t="s">
        <v>178</v>
      </c>
      <c r="F117" s="133">
        <f>F108*SIN(PI()*F$96/180)</f>
        <v>5.6090202170610975E-2</v>
      </c>
      <c r="G117" s="133">
        <f>G108*SIN(PI()*G$96/180)</f>
        <v>2.4557971533386427</v>
      </c>
      <c r="H117" s="133">
        <f t="shared" ref="H117:BS117" si="192">H108*SIN(PI()*H$96/180)</f>
        <v>7.0116606903286121</v>
      </c>
      <c r="I117" s="133">
        <f t="shared" si="192"/>
        <v>6.5171358641877548</v>
      </c>
      <c r="J117" s="133">
        <f t="shared" si="192"/>
        <v>11.013594770566518</v>
      </c>
      <c r="K117" s="133">
        <f t="shared" si="192"/>
        <v>16.103084606343867</v>
      </c>
      <c r="L117" s="133">
        <f t="shared" si="192"/>
        <v>14.135785673984612</v>
      </c>
      <c r="M117" s="133">
        <f t="shared" si="192"/>
        <v>19.634868565699712</v>
      </c>
      <c r="N117" s="133">
        <f t="shared" si="192"/>
        <v>18.632105906305107</v>
      </c>
      <c r="O117" s="133">
        <f t="shared" si="192"/>
        <v>3.9570924658761371</v>
      </c>
      <c r="P117" s="133">
        <f t="shared" si="192"/>
        <v>27.2131360605946</v>
      </c>
      <c r="Q117" s="133">
        <f t="shared" si="192"/>
        <v>31.7434757355073</v>
      </c>
      <c r="R117" s="133">
        <f t="shared" si="192"/>
        <v>32.584120098106844</v>
      </c>
      <c r="S117" s="133">
        <f t="shared" si="192"/>
        <v>29.864482746253337</v>
      </c>
      <c r="T117" s="133">
        <f t="shared" si="192"/>
        <v>15.289296567161992</v>
      </c>
      <c r="U117" s="133">
        <f t="shared" si="192"/>
        <v>21.23348872973741</v>
      </c>
      <c r="V117" s="133">
        <f t="shared" si="192"/>
        <v>32.635710227689835</v>
      </c>
      <c r="W117" s="133">
        <f t="shared" si="192"/>
        <v>34.204567592503921</v>
      </c>
      <c r="X117" s="133">
        <f t="shared" si="192"/>
        <v>28.198679583196302</v>
      </c>
      <c r="Y117" s="133">
        <f t="shared" si="192"/>
        <v>38.755462930076938</v>
      </c>
      <c r="Z117" s="133">
        <f t="shared" si="192"/>
        <v>44.703281202129567</v>
      </c>
      <c r="AA117" s="133">
        <f t="shared" si="192"/>
        <v>41.689604052422752</v>
      </c>
      <c r="AB117" s="133">
        <f t="shared" si="192"/>
        <v>44.014320633621736</v>
      </c>
      <c r="AC117" s="133">
        <f t="shared" si="192"/>
        <v>24.726719332921284</v>
      </c>
      <c r="AD117" s="133">
        <f t="shared" si="192"/>
        <v>37.934743080288982</v>
      </c>
      <c r="AE117" s="133">
        <f t="shared" si="192"/>
        <v>51.11000093856061</v>
      </c>
      <c r="AF117" s="133">
        <f t="shared" si="192"/>
        <v>42.850747114476803</v>
      </c>
      <c r="AG117" s="133">
        <f t="shared" si="192"/>
        <v>30.788456452751635</v>
      </c>
      <c r="AH117" s="133">
        <f t="shared" si="192"/>
        <v>37.665721987734067</v>
      </c>
      <c r="AI117" s="133">
        <f t="shared" si="192"/>
        <v>43.838744081134635</v>
      </c>
      <c r="AJ117" s="133">
        <f t="shared" si="192"/>
        <v>34.581967293282538</v>
      </c>
      <c r="AK117" s="133">
        <f t="shared" si="192"/>
        <v>43.47648784043303</v>
      </c>
      <c r="AL117" s="133">
        <f t="shared" si="192"/>
        <v>49.149394447080425</v>
      </c>
      <c r="AM117" s="133">
        <f t="shared" si="192"/>
        <v>33.374276468159429</v>
      </c>
      <c r="AN117" s="133">
        <f t="shared" si="192"/>
        <v>48.664544424803694</v>
      </c>
      <c r="AO117" s="133">
        <f t="shared" si="192"/>
        <v>36.898669180021315</v>
      </c>
      <c r="AP117" s="133">
        <f t="shared" si="192"/>
        <v>19.613677345978122</v>
      </c>
      <c r="AQ117" s="133">
        <f t="shared" si="192"/>
        <v>40.008878500754541</v>
      </c>
      <c r="AR117" s="133">
        <f t="shared" si="192"/>
        <v>30.306986539474405</v>
      </c>
      <c r="AS117" s="133">
        <f t="shared" si="192"/>
        <v>24.582009119884358</v>
      </c>
      <c r="AT117" s="133">
        <f t="shared" si="192"/>
        <v>31.517695092625427</v>
      </c>
      <c r="AU117" s="133">
        <f t="shared" si="192"/>
        <v>19.907486366660589</v>
      </c>
      <c r="AV117" s="133">
        <f t="shared" si="192"/>
        <v>44.784061049816884</v>
      </c>
      <c r="AW117" s="133">
        <f t="shared" si="192"/>
        <v>44.486794305581405</v>
      </c>
      <c r="AX117" s="133">
        <f t="shared" si="192"/>
        <v>10.511800129006708</v>
      </c>
      <c r="AY117" s="133">
        <f t="shared" si="192"/>
        <v>35.960394657640535</v>
      </c>
      <c r="AZ117" s="133">
        <f t="shared" si="192"/>
        <v>29.580657889059282</v>
      </c>
      <c r="BA117" s="133">
        <f t="shared" si="192"/>
        <v>23.965885821641059</v>
      </c>
      <c r="BB117" s="133">
        <f t="shared" si="192"/>
        <v>24.454042160829196</v>
      </c>
      <c r="BC117" s="133">
        <f t="shared" si="192"/>
        <v>27.877132933690877</v>
      </c>
      <c r="BD117" s="133">
        <f t="shared" si="192"/>
        <v>15.340856871212381</v>
      </c>
      <c r="BE117" s="133">
        <f t="shared" si="192"/>
        <v>13.142315980169966</v>
      </c>
      <c r="BF117" s="133">
        <f t="shared" si="192"/>
        <v>16.77159969360369</v>
      </c>
      <c r="BG117" s="133">
        <f t="shared" si="192"/>
        <v>8.0162377472204298</v>
      </c>
      <c r="BH117" s="133">
        <f t="shared" si="192"/>
        <v>-0.41448662091260852</v>
      </c>
      <c r="BI117" s="133">
        <f t="shared" si="192"/>
        <v>-3.1300649733206463</v>
      </c>
      <c r="BJ117" s="133">
        <f t="shared" si="192"/>
        <v>-4.7572708895045075</v>
      </c>
      <c r="BK117" s="133">
        <f t="shared" si="192"/>
        <v>-5.4788748075063074</v>
      </c>
      <c r="BL117" s="133">
        <f t="shared" si="192"/>
        <v>-9.3688005182534475</v>
      </c>
      <c r="BM117" s="133">
        <f t="shared" si="192"/>
        <v>-5.3681966381714634</v>
      </c>
      <c r="BN117" s="133">
        <f t="shared" si="192"/>
        <v>-6.5489624047225687</v>
      </c>
      <c r="BO117" s="133">
        <f t="shared" si="192"/>
        <v>-10.29991438298709</v>
      </c>
      <c r="BP117" s="133">
        <f t="shared" si="192"/>
        <v>-10.633215837170331</v>
      </c>
      <c r="BQ117" s="133">
        <f t="shared" si="192"/>
        <v>-12.14926568208066</v>
      </c>
      <c r="BR117" s="133">
        <f t="shared" si="192"/>
        <v>-23.790460893824996</v>
      </c>
      <c r="BS117" s="133">
        <f t="shared" si="192"/>
        <v>-21.926265423850502</v>
      </c>
      <c r="BT117" s="133">
        <f t="shared" ref="BT117:DA117" si="193">BT108*SIN(PI()*BT$96/180)</f>
        <v>-30.608378264916169</v>
      </c>
      <c r="BU117" s="133">
        <f t="shared" si="193"/>
        <v>-32.239427614146045</v>
      </c>
      <c r="BV117" s="133">
        <f t="shared" si="193"/>
        <v>-27.154571780380287</v>
      </c>
      <c r="BW117" s="133">
        <f t="shared" si="193"/>
        <v>-24.804580982119301</v>
      </c>
      <c r="BX117" s="133">
        <f t="shared" si="193"/>
        <v>-34.262660892603307</v>
      </c>
      <c r="BY117" s="133">
        <f t="shared" si="193"/>
        <v>-42.834442413939087</v>
      </c>
      <c r="BZ117" s="133">
        <f t="shared" si="193"/>
        <v>-19.159945995362428</v>
      </c>
      <c r="CA117" s="133">
        <f t="shared" si="193"/>
        <v>-42.97928337931198</v>
      </c>
      <c r="CB117" s="133">
        <f t="shared" si="193"/>
        <v>-18.329968110441612</v>
      </c>
      <c r="CC117" s="133">
        <f t="shared" si="193"/>
        <v>-47.050291464585676</v>
      </c>
      <c r="CD117" s="133">
        <f t="shared" si="193"/>
        <v>-53.631437011938601</v>
      </c>
      <c r="CE117" s="133">
        <f t="shared" si="193"/>
        <v>-45.843363774986706</v>
      </c>
      <c r="CF117" s="133">
        <f t="shared" si="193"/>
        <v>-54.936866381530741</v>
      </c>
      <c r="CG117" s="133">
        <f t="shared" si="193"/>
        <v>-35.559726434922169</v>
      </c>
      <c r="CH117" s="133">
        <f t="shared" si="193"/>
        <v>-40.548428257975914</v>
      </c>
      <c r="CI117" s="133">
        <f t="shared" si="193"/>
        <v>-50.990562882234066</v>
      </c>
      <c r="CJ117" s="133">
        <f t="shared" si="193"/>
        <v>-21.998947480034403</v>
      </c>
      <c r="CK117" s="133">
        <f t="shared" si="193"/>
        <v>-31.433272099513161</v>
      </c>
      <c r="CL117" s="133">
        <f t="shared" si="193"/>
        <v>-23.426821120139824</v>
      </c>
      <c r="CM117" s="133">
        <f t="shared" si="193"/>
        <v>-30.536749001697338</v>
      </c>
      <c r="CN117" s="133">
        <f t="shared" si="193"/>
        <v>-36.816313763787754</v>
      </c>
      <c r="CO117" s="133">
        <f t="shared" si="193"/>
        <v>-40.971729022919106</v>
      </c>
      <c r="CP117" s="133">
        <f t="shared" si="193"/>
        <v>-28.217226386728736</v>
      </c>
      <c r="CQ117" s="133">
        <f t="shared" si="193"/>
        <v>-29.406613934820321</v>
      </c>
      <c r="CR117" s="133">
        <f t="shared" si="193"/>
        <v>-27.949035393423969</v>
      </c>
      <c r="CS117" s="133">
        <f t="shared" si="193"/>
        <v>-5.0302463067224839</v>
      </c>
      <c r="CT117" s="133">
        <f t="shared" si="193"/>
        <v>-15.400190631911508</v>
      </c>
      <c r="CU117" s="133">
        <f t="shared" si="193"/>
        <v>-12.087750180351836</v>
      </c>
      <c r="CV117" s="133">
        <f t="shared" si="193"/>
        <v>-13.373496951929786</v>
      </c>
      <c r="CW117" s="133">
        <f t="shared" si="193"/>
        <v>-8.8724472182090661</v>
      </c>
      <c r="CX117" s="133">
        <f t="shared" si="193"/>
        <v>-7.1412810855870115</v>
      </c>
      <c r="CY117" s="133">
        <f t="shared" si="193"/>
        <v>-5.717029080948242</v>
      </c>
      <c r="CZ117" s="133">
        <f t="shared" si="193"/>
        <v>-0.18612780705882789</v>
      </c>
      <c r="DA117" s="133">
        <f t="shared" si="193"/>
        <v>0.1293570140661385</v>
      </c>
    </row>
    <row r="118" spans="5:105"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  <c r="AA118" s="125"/>
      <c r="AB118" s="125"/>
      <c r="AC118" s="125"/>
      <c r="AD118" s="125"/>
      <c r="AE118" s="125"/>
      <c r="AF118" s="125"/>
      <c r="AG118" s="125"/>
      <c r="AH118" s="125"/>
      <c r="AI118" s="125"/>
      <c r="AJ118" s="125"/>
      <c r="AK118" s="125"/>
      <c r="AL118" s="125"/>
      <c r="AM118" s="125"/>
      <c r="AN118" s="125"/>
      <c r="AO118" s="125"/>
      <c r="AP118" s="125"/>
      <c r="AQ118" s="125"/>
      <c r="AR118" s="125"/>
      <c r="AS118" s="125"/>
      <c r="AT118" s="125"/>
      <c r="AU118" s="125"/>
      <c r="AV118" s="125"/>
      <c r="AW118" s="125"/>
      <c r="AX118" s="125"/>
      <c r="AY118" s="125"/>
      <c r="AZ118" s="125"/>
      <c r="BA118" s="125"/>
      <c r="BB118" s="125"/>
      <c r="BC118" s="125"/>
      <c r="BD118" s="125"/>
      <c r="BE118" s="125"/>
      <c r="BF118" s="125"/>
      <c r="BG118" s="125"/>
      <c r="BH118" s="125"/>
      <c r="BI118" s="125"/>
      <c r="BJ118" s="125"/>
      <c r="BK118" s="125"/>
      <c r="BL118" s="125"/>
      <c r="BM118" s="125"/>
      <c r="BN118" s="125"/>
      <c r="BO118" s="125"/>
      <c r="BP118" s="125"/>
      <c r="BQ118" s="125"/>
      <c r="BR118" s="125"/>
      <c r="BS118" s="125"/>
      <c r="BT118" s="125"/>
      <c r="BU118" s="125"/>
      <c r="BV118" s="125"/>
      <c r="BW118" s="125"/>
      <c r="BX118" s="125"/>
      <c r="BY118" s="125"/>
      <c r="BZ118" s="125"/>
      <c r="CA118" s="125"/>
      <c r="CB118" s="125"/>
      <c r="CC118" s="125"/>
      <c r="CD118" s="125"/>
      <c r="CE118" s="125"/>
      <c r="CF118" s="125"/>
      <c r="CG118" s="125"/>
      <c r="CH118" s="125"/>
      <c r="CI118" s="125"/>
      <c r="CJ118" s="125"/>
      <c r="CK118" s="125"/>
      <c r="CL118" s="125"/>
      <c r="CM118" s="125"/>
      <c r="CN118" s="125"/>
      <c r="CO118" s="125"/>
      <c r="CP118" s="125"/>
      <c r="CQ118" s="125"/>
      <c r="CR118" s="125"/>
      <c r="CS118" s="125"/>
      <c r="CT118" s="125"/>
      <c r="CU118" s="125"/>
      <c r="CV118" s="125"/>
      <c r="CW118" s="125"/>
      <c r="CX118" s="125"/>
      <c r="CY118" s="125"/>
      <c r="CZ118" s="125"/>
      <c r="DA118" s="125"/>
    </row>
    <row r="119" spans="5:105">
      <c r="E119" s="125" t="s">
        <v>179</v>
      </c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125"/>
      <c r="V119" s="125"/>
      <c r="W119" s="125"/>
      <c r="X119" s="125"/>
      <c r="Y119" s="125"/>
      <c r="Z119" s="125"/>
      <c r="AA119" s="125"/>
      <c r="AB119" s="125"/>
      <c r="AC119" s="125"/>
      <c r="AD119" s="125"/>
      <c r="AE119" s="125"/>
      <c r="AF119" s="125"/>
      <c r="AG119" s="125"/>
      <c r="AH119" s="125"/>
      <c r="AI119" s="125"/>
      <c r="AJ119" s="125"/>
      <c r="AK119" s="125"/>
      <c r="AL119" s="125"/>
      <c r="AM119" s="125"/>
      <c r="AN119" s="125"/>
      <c r="AO119" s="125"/>
      <c r="AP119" s="125"/>
      <c r="AQ119" s="125"/>
      <c r="AR119" s="125"/>
      <c r="AS119" s="125"/>
      <c r="AT119" s="125"/>
      <c r="AU119" s="125"/>
      <c r="AV119" s="125"/>
      <c r="AW119" s="125"/>
      <c r="AX119" s="125"/>
      <c r="AY119" s="125"/>
      <c r="AZ119" s="125"/>
      <c r="BA119" s="125"/>
      <c r="BB119" s="125"/>
      <c r="BC119" s="125"/>
      <c r="BD119" s="125"/>
      <c r="BE119" s="125"/>
      <c r="BF119" s="125"/>
      <c r="BG119" s="125"/>
      <c r="BH119" s="125"/>
      <c r="BI119" s="125"/>
      <c r="BJ119" s="125"/>
      <c r="BK119" s="125"/>
      <c r="BL119" s="125"/>
      <c r="BM119" s="125"/>
      <c r="BN119" s="125"/>
      <c r="BO119" s="125"/>
      <c r="BP119" s="125"/>
      <c r="BQ119" s="125"/>
      <c r="BR119" s="125"/>
      <c r="BS119" s="125"/>
      <c r="BT119" s="125"/>
      <c r="BU119" s="125"/>
      <c r="BV119" s="125"/>
      <c r="BW119" s="125"/>
      <c r="BX119" s="125"/>
      <c r="BY119" s="125"/>
      <c r="BZ119" s="125"/>
      <c r="CA119" s="125"/>
      <c r="CB119" s="125"/>
      <c r="CC119" s="125"/>
      <c r="CD119" s="125"/>
      <c r="CE119" s="125"/>
      <c r="CF119" s="125"/>
      <c r="CG119" s="125"/>
      <c r="CH119" s="125"/>
      <c r="CI119" s="125"/>
      <c r="CJ119" s="125"/>
      <c r="CK119" s="125"/>
      <c r="CL119" s="125"/>
      <c r="CM119" s="125"/>
      <c r="CN119" s="125"/>
      <c r="CO119" s="125"/>
      <c r="CP119" s="125"/>
      <c r="CQ119" s="125"/>
      <c r="CR119" s="125"/>
      <c r="CS119" s="125"/>
      <c r="CT119" s="125"/>
      <c r="CU119" s="125"/>
      <c r="CV119" s="125"/>
      <c r="CW119" s="125"/>
      <c r="CX119" s="125"/>
      <c r="CY119" s="125"/>
      <c r="CZ119" s="125"/>
      <c r="DA119" s="125"/>
    </row>
    <row r="120" spans="5:105"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125"/>
      <c r="V120" s="125"/>
      <c r="W120" s="125"/>
      <c r="X120" s="125"/>
      <c r="Y120" s="125"/>
      <c r="Z120" s="125"/>
      <c r="AA120" s="125"/>
      <c r="AB120" s="125"/>
      <c r="AC120" s="125"/>
      <c r="AD120" s="125"/>
      <c r="AE120" s="125"/>
      <c r="AF120" s="125"/>
      <c r="AG120" s="125"/>
      <c r="AH120" s="125"/>
      <c r="AI120" s="125"/>
      <c r="AJ120" s="125"/>
      <c r="AK120" s="125"/>
      <c r="AL120" s="125"/>
      <c r="AM120" s="125"/>
      <c r="AN120" s="125"/>
      <c r="AO120" s="125"/>
      <c r="AP120" s="125"/>
      <c r="AQ120" s="125"/>
      <c r="AR120" s="125"/>
      <c r="AS120" s="125"/>
      <c r="AT120" s="125"/>
      <c r="AU120" s="125"/>
      <c r="AV120" s="125"/>
      <c r="AW120" s="125"/>
      <c r="AX120" s="125"/>
      <c r="AY120" s="125"/>
      <c r="AZ120" s="125"/>
      <c r="BA120" s="125"/>
      <c r="BB120" s="125"/>
      <c r="BC120" s="125"/>
      <c r="BD120" s="125"/>
      <c r="BE120" s="125"/>
      <c r="BF120" s="125"/>
      <c r="BG120" s="125"/>
      <c r="BH120" s="125"/>
      <c r="BI120" s="125"/>
      <c r="BJ120" s="125"/>
      <c r="BK120" s="125"/>
      <c r="BL120" s="125"/>
      <c r="BM120" s="125"/>
      <c r="BN120" s="125"/>
      <c r="BO120" s="125"/>
      <c r="BP120" s="125"/>
      <c r="BQ120" s="125"/>
      <c r="BR120" s="125"/>
      <c r="BS120" s="125"/>
      <c r="BT120" s="125"/>
      <c r="BU120" s="125"/>
      <c r="BV120" s="125"/>
      <c r="BW120" s="125"/>
      <c r="BX120" s="125"/>
      <c r="BY120" s="125"/>
      <c r="BZ120" s="125"/>
      <c r="CA120" s="125"/>
      <c r="CB120" s="125"/>
      <c r="CC120" s="125"/>
      <c r="CD120" s="125"/>
      <c r="CE120" s="125"/>
      <c r="CF120" s="125"/>
      <c r="CG120" s="125"/>
      <c r="CH120" s="125"/>
      <c r="CI120" s="125"/>
      <c r="CJ120" s="125"/>
      <c r="CK120" s="125"/>
      <c r="CL120" s="125"/>
      <c r="CM120" s="125"/>
      <c r="CN120" s="125"/>
      <c r="CO120" s="125"/>
      <c r="CP120" s="125"/>
      <c r="CQ120" s="125"/>
      <c r="CR120" s="125"/>
      <c r="CS120" s="125"/>
      <c r="CT120" s="125"/>
      <c r="CU120" s="125"/>
      <c r="CV120" s="125"/>
      <c r="CW120" s="125"/>
      <c r="CX120" s="125"/>
      <c r="CY120" s="125"/>
      <c r="CZ120" s="125"/>
      <c r="DA120" s="125"/>
    </row>
    <row r="121" spans="5:105">
      <c r="E121" s="125" t="s">
        <v>180</v>
      </c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5"/>
      <c r="AC121" s="125"/>
      <c r="AD121" s="125"/>
      <c r="AE121" s="125"/>
      <c r="AF121" s="125"/>
      <c r="AG121" s="125"/>
      <c r="AH121" s="125"/>
      <c r="AI121" s="125"/>
      <c r="AJ121" s="125"/>
      <c r="AK121" s="125"/>
      <c r="AL121" s="125"/>
      <c r="AM121" s="125"/>
      <c r="AN121" s="125"/>
      <c r="AO121" s="125"/>
      <c r="AP121" s="125"/>
      <c r="AQ121" s="125"/>
      <c r="AR121" s="125"/>
      <c r="AS121" s="125"/>
      <c r="AT121" s="125"/>
      <c r="AU121" s="125"/>
      <c r="AV121" s="125"/>
      <c r="AW121" s="125"/>
      <c r="AX121" s="125"/>
      <c r="AY121" s="125"/>
      <c r="AZ121" s="125"/>
      <c r="BA121" s="125"/>
      <c r="BB121" s="125"/>
      <c r="BC121" s="125"/>
      <c r="BD121" s="125"/>
      <c r="BE121" s="125"/>
      <c r="BF121" s="125"/>
      <c r="BG121" s="125"/>
      <c r="BH121" s="125"/>
      <c r="BI121" s="125"/>
      <c r="BJ121" s="125"/>
      <c r="BK121" s="125"/>
      <c r="BL121" s="125"/>
      <c r="BM121" s="125"/>
      <c r="BN121" s="125"/>
      <c r="BO121" s="125"/>
      <c r="BP121" s="125"/>
      <c r="BQ121" s="125"/>
      <c r="BR121" s="125"/>
      <c r="BS121" s="125"/>
      <c r="BT121" s="125"/>
      <c r="BU121" s="125"/>
      <c r="BV121" s="125"/>
      <c r="BW121" s="125"/>
      <c r="BX121" s="125"/>
      <c r="BY121" s="125"/>
      <c r="BZ121" s="125"/>
      <c r="CA121" s="125"/>
      <c r="CB121" s="125"/>
      <c r="CC121" s="125"/>
      <c r="CD121" s="125"/>
      <c r="CE121" s="125"/>
      <c r="CF121" s="125"/>
      <c r="CG121" s="125"/>
      <c r="CH121" s="125"/>
      <c r="CI121" s="125"/>
      <c r="CJ121" s="125"/>
      <c r="CK121" s="125"/>
      <c r="CL121" s="125"/>
      <c r="CM121" s="125"/>
      <c r="CN121" s="125"/>
      <c r="CO121" s="125"/>
      <c r="CP121" s="125"/>
      <c r="CQ121" s="125"/>
      <c r="CR121" s="125"/>
      <c r="CS121" s="125"/>
      <c r="CT121" s="125"/>
      <c r="CU121" s="125"/>
      <c r="CV121" s="125"/>
      <c r="CW121" s="125"/>
      <c r="CX121" s="125"/>
      <c r="CY121" s="125"/>
      <c r="CZ121" s="125"/>
      <c r="DA121" s="125"/>
    </row>
    <row r="122" spans="5:105">
      <c r="E122" s="125" t="s">
        <v>181</v>
      </c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5"/>
      <c r="AH122" s="125"/>
      <c r="AI122" s="125"/>
      <c r="AJ122" s="125"/>
      <c r="AK122" s="125"/>
      <c r="AL122" s="125"/>
      <c r="AM122" s="125"/>
      <c r="AN122" s="125"/>
      <c r="AO122" s="125"/>
      <c r="AP122" s="125"/>
      <c r="AQ122" s="125"/>
      <c r="AR122" s="125"/>
      <c r="AS122" s="125"/>
      <c r="AT122" s="125"/>
      <c r="AU122" s="125"/>
      <c r="AV122" s="125"/>
      <c r="AW122" s="125"/>
      <c r="AX122" s="125"/>
      <c r="AY122" s="125"/>
      <c r="AZ122" s="125"/>
      <c r="BA122" s="125"/>
      <c r="BB122" s="125"/>
      <c r="BC122" s="125"/>
      <c r="BD122" s="125"/>
      <c r="BE122" s="125"/>
      <c r="BF122" s="125"/>
      <c r="BG122" s="125"/>
      <c r="BH122" s="125"/>
      <c r="BI122" s="125"/>
      <c r="BJ122" s="125"/>
      <c r="BK122" s="125"/>
      <c r="BL122" s="125"/>
      <c r="BM122" s="125"/>
      <c r="BN122" s="125"/>
      <c r="BO122" s="125"/>
      <c r="BP122" s="125"/>
      <c r="BQ122" s="125"/>
      <c r="BR122" s="125"/>
      <c r="BS122" s="125"/>
      <c r="BT122" s="125"/>
      <c r="BU122" s="125"/>
      <c r="BV122" s="125"/>
      <c r="BW122" s="125"/>
      <c r="BX122" s="125"/>
      <c r="BY122" s="125"/>
      <c r="BZ122" s="125"/>
      <c r="CA122" s="125"/>
      <c r="CB122" s="125"/>
      <c r="CC122" s="125"/>
      <c r="CD122" s="125"/>
      <c r="CE122" s="125"/>
      <c r="CF122" s="125"/>
      <c r="CG122" s="125"/>
      <c r="CH122" s="125"/>
      <c r="CI122" s="125"/>
      <c r="CJ122" s="125"/>
      <c r="CK122" s="125"/>
      <c r="CL122" s="125"/>
      <c r="CM122" s="125"/>
      <c r="CN122" s="125"/>
      <c r="CO122" s="125"/>
      <c r="CP122" s="125"/>
      <c r="CQ122" s="125"/>
      <c r="CR122" s="125"/>
      <c r="CS122" s="125"/>
      <c r="CT122" s="125"/>
      <c r="CU122" s="125"/>
      <c r="CV122" s="125"/>
      <c r="CW122" s="125"/>
      <c r="CX122" s="125"/>
      <c r="CY122" s="125"/>
      <c r="CZ122" s="125"/>
      <c r="DA122" s="125"/>
    </row>
    <row r="123" spans="5:105">
      <c r="E123" s="125" t="s">
        <v>182</v>
      </c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5"/>
      <c r="AH123" s="125"/>
      <c r="AI123" s="125"/>
      <c r="AJ123" s="125"/>
      <c r="AK123" s="125"/>
      <c r="AL123" s="125"/>
      <c r="AM123" s="125"/>
      <c r="AN123" s="125"/>
      <c r="AO123" s="125"/>
      <c r="AP123" s="125"/>
      <c r="AQ123" s="125"/>
      <c r="AR123" s="125"/>
      <c r="AS123" s="125"/>
      <c r="AT123" s="125"/>
      <c r="AU123" s="125"/>
      <c r="AV123" s="125"/>
      <c r="AW123" s="125"/>
      <c r="AX123" s="125"/>
      <c r="AY123" s="125"/>
      <c r="AZ123" s="125"/>
      <c r="BA123" s="125"/>
      <c r="BB123" s="125"/>
      <c r="BC123" s="125"/>
      <c r="BD123" s="125"/>
      <c r="BE123" s="125"/>
      <c r="BF123" s="125"/>
      <c r="BG123" s="125"/>
      <c r="BH123" s="125"/>
      <c r="BI123" s="125"/>
      <c r="BJ123" s="125"/>
      <c r="BK123" s="125"/>
      <c r="BL123" s="125"/>
      <c r="BM123" s="125"/>
      <c r="BN123" s="125"/>
      <c r="BO123" s="125"/>
      <c r="BP123" s="125"/>
      <c r="BQ123" s="125"/>
      <c r="BR123" s="125"/>
      <c r="BS123" s="125"/>
      <c r="BT123" s="125"/>
      <c r="BU123" s="125"/>
      <c r="BV123" s="125"/>
      <c r="BW123" s="125"/>
      <c r="BX123" s="125"/>
      <c r="BY123" s="125"/>
      <c r="BZ123" s="125"/>
      <c r="CA123" s="125"/>
      <c r="CB123" s="125"/>
      <c r="CC123" s="125"/>
      <c r="CD123" s="125"/>
      <c r="CE123" s="125"/>
      <c r="CF123" s="125"/>
      <c r="CG123" s="125"/>
      <c r="CH123" s="125"/>
      <c r="CI123" s="125"/>
      <c r="CJ123" s="125"/>
      <c r="CK123" s="125"/>
      <c r="CL123" s="125"/>
      <c r="CM123" s="125"/>
      <c r="CN123" s="125"/>
      <c r="CO123" s="125"/>
      <c r="CP123" s="125"/>
      <c r="CQ123" s="125"/>
      <c r="CR123" s="125"/>
      <c r="CS123" s="125"/>
      <c r="CT123" s="125"/>
      <c r="CU123" s="125"/>
      <c r="CV123" s="125"/>
      <c r="CW123" s="125"/>
      <c r="CX123" s="125"/>
      <c r="CY123" s="125"/>
      <c r="CZ123" s="125"/>
      <c r="DA123" s="125"/>
    </row>
    <row r="124" spans="5:105">
      <c r="E124" s="125" t="s">
        <v>183</v>
      </c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5"/>
      <c r="AH124" s="125"/>
      <c r="AI124" s="125"/>
      <c r="AJ124" s="125"/>
      <c r="AK124" s="125"/>
      <c r="AL124" s="125"/>
      <c r="AM124" s="125"/>
      <c r="AN124" s="125"/>
      <c r="AO124" s="125"/>
      <c r="AP124" s="125"/>
      <c r="AQ124" s="125"/>
      <c r="AR124" s="125"/>
      <c r="AS124" s="125"/>
      <c r="AT124" s="125"/>
      <c r="AU124" s="125"/>
      <c r="AV124" s="125"/>
      <c r="AW124" s="125"/>
      <c r="AX124" s="125"/>
      <c r="AY124" s="125"/>
      <c r="AZ124" s="125"/>
      <c r="BA124" s="125"/>
      <c r="BB124" s="125"/>
      <c r="BC124" s="125"/>
      <c r="BD124" s="125"/>
      <c r="BE124" s="125"/>
      <c r="BF124" s="125"/>
      <c r="BG124" s="125"/>
      <c r="BH124" s="125"/>
      <c r="BI124" s="125"/>
      <c r="BJ124" s="125"/>
      <c r="BK124" s="125"/>
      <c r="BL124" s="125"/>
      <c r="BM124" s="125"/>
      <c r="BN124" s="125"/>
      <c r="BO124" s="125"/>
      <c r="BP124" s="125"/>
      <c r="BQ124" s="125"/>
      <c r="BR124" s="125"/>
      <c r="BS124" s="125"/>
      <c r="BT124" s="125"/>
      <c r="BU124" s="125"/>
      <c r="BV124" s="125"/>
      <c r="BW124" s="125"/>
      <c r="BX124" s="125"/>
      <c r="BY124" s="125"/>
      <c r="BZ124" s="125"/>
      <c r="CA124" s="125"/>
      <c r="CB124" s="125"/>
      <c r="CC124" s="125"/>
      <c r="CD124" s="125"/>
      <c r="CE124" s="125"/>
      <c r="CF124" s="125"/>
      <c r="CG124" s="125"/>
      <c r="CH124" s="125"/>
      <c r="CI124" s="125"/>
      <c r="CJ124" s="125"/>
      <c r="CK124" s="125"/>
      <c r="CL124" s="125"/>
      <c r="CM124" s="125"/>
      <c r="CN124" s="125"/>
      <c r="CO124" s="125"/>
      <c r="CP124" s="125"/>
      <c r="CQ124" s="125"/>
      <c r="CR124" s="125"/>
      <c r="CS124" s="125"/>
      <c r="CT124" s="125"/>
      <c r="CU124" s="125"/>
      <c r="CV124" s="125"/>
      <c r="CW124" s="125"/>
      <c r="CX124" s="125"/>
      <c r="CY124" s="125"/>
      <c r="CZ124" s="125"/>
      <c r="DA124" s="125"/>
    </row>
    <row r="125" spans="5:105"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5"/>
      <c r="AH125" s="125"/>
      <c r="AI125" s="125"/>
      <c r="AJ125" s="125"/>
      <c r="AK125" s="125"/>
      <c r="AL125" s="125"/>
      <c r="AM125" s="125"/>
      <c r="AN125" s="125"/>
      <c r="AO125" s="125"/>
      <c r="AP125" s="125"/>
      <c r="AQ125" s="125"/>
      <c r="AR125" s="125"/>
      <c r="AS125" s="125"/>
      <c r="AT125" s="125"/>
      <c r="AU125" s="125"/>
      <c r="AV125" s="125"/>
      <c r="AW125" s="125"/>
      <c r="AX125" s="125"/>
      <c r="AY125" s="125"/>
      <c r="AZ125" s="125"/>
      <c r="BA125" s="125"/>
      <c r="BB125" s="125"/>
      <c r="BC125" s="125"/>
      <c r="BD125" s="125"/>
      <c r="BE125" s="125"/>
      <c r="BF125" s="125"/>
      <c r="BG125" s="125"/>
      <c r="BH125" s="125"/>
      <c r="BI125" s="125"/>
      <c r="BJ125" s="125"/>
      <c r="BK125" s="125"/>
      <c r="BL125" s="125"/>
      <c r="BM125" s="125"/>
      <c r="BN125" s="125"/>
      <c r="BO125" s="125"/>
      <c r="BP125" s="125"/>
      <c r="BQ125" s="125"/>
      <c r="BR125" s="125"/>
      <c r="BS125" s="125"/>
      <c r="BT125" s="125"/>
      <c r="BU125" s="125"/>
      <c r="BV125" s="125"/>
      <c r="BW125" s="125"/>
      <c r="BX125" s="125"/>
      <c r="BY125" s="125"/>
      <c r="BZ125" s="125"/>
      <c r="CA125" s="125"/>
      <c r="CB125" s="125"/>
      <c r="CC125" s="125"/>
      <c r="CD125" s="125"/>
      <c r="CE125" s="125"/>
      <c r="CF125" s="125"/>
      <c r="CG125" s="125"/>
      <c r="CH125" s="125"/>
      <c r="CI125" s="125"/>
      <c r="CJ125" s="125"/>
      <c r="CK125" s="125"/>
      <c r="CL125" s="125"/>
      <c r="CM125" s="125"/>
      <c r="CN125" s="125"/>
      <c r="CO125" s="125"/>
      <c r="CP125" s="125"/>
      <c r="CQ125" s="125"/>
      <c r="CR125" s="125"/>
      <c r="CS125" s="125"/>
      <c r="CT125" s="125"/>
      <c r="CU125" s="125"/>
      <c r="CV125" s="125"/>
      <c r="CW125" s="125"/>
      <c r="CX125" s="125"/>
      <c r="CY125" s="125"/>
      <c r="CZ125" s="125"/>
      <c r="DA125" s="125"/>
    </row>
    <row r="126" spans="5:105">
      <c r="E126" s="139" t="s">
        <v>184</v>
      </c>
      <c r="F126" s="125">
        <f>(1+100*0.007)*F105/(1+0.007*F105)</f>
        <v>100</v>
      </c>
      <c r="G126" s="125">
        <f t="shared" ref="G126:BR126" si="194">(1+100*0.007)*G105/(1+0.007*G105)</f>
        <v>85.937478178127435</v>
      </c>
      <c r="H126" s="125">
        <f t="shared" si="194"/>
        <v>62.757957047963032</v>
      </c>
      <c r="I126" s="125">
        <f t="shared" si="194"/>
        <v>31.822032915991539</v>
      </c>
      <c r="J126" s="125">
        <f t="shared" si="194"/>
        <v>69.679023897448232</v>
      </c>
      <c r="K126" s="125">
        <f t="shared" si="194"/>
        <v>50.81501288638448</v>
      </c>
      <c r="L126" s="125">
        <f t="shared" si="194"/>
        <v>51.185502306353548</v>
      </c>
      <c r="M126" s="125">
        <f t="shared" si="194"/>
        <v>43.310416625452994</v>
      </c>
      <c r="N126" s="125">
        <f t="shared" si="194"/>
        <v>42.449396644531888</v>
      </c>
      <c r="O126" s="125">
        <f t="shared" si="194"/>
        <v>29.032476996561218</v>
      </c>
      <c r="P126" s="125">
        <f t="shared" si="194"/>
        <v>75.226928809602541</v>
      </c>
      <c r="Q126" s="125">
        <f t="shared" si="194"/>
        <v>58.06412568352328</v>
      </c>
      <c r="R126" s="125">
        <f t="shared" si="194"/>
        <v>64.249219171244604</v>
      </c>
      <c r="S126" s="125">
        <f t="shared" si="194"/>
        <v>43.616401116794485</v>
      </c>
      <c r="T126" s="125">
        <f t="shared" si="194"/>
        <v>74.130334041920335</v>
      </c>
      <c r="U126" s="125">
        <f t="shared" si="194"/>
        <v>71.60526260569614</v>
      </c>
      <c r="V126" s="125">
        <f t="shared" si="194"/>
        <v>48.037963378482011</v>
      </c>
      <c r="W126" s="125">
        <f t="shared" si="194"/>
        <v>49.760147174571429</v>
      </c>
      <c r="X126" s="125">
        <f t="shared" si="194"/>
        <v>56.501070917098644</v>
      </c>
      <c r="Y126" s="125">
        <f t="shared" si="194"/>
        <v>71.224603670015583</v>
      </c>
      <c r="Z126" s="125">
        <f t="shared" si="194"/>
        <v>66.932841596611112</v>
      </c>
      <c r="AA126" s="125">
        <f t="shared" si="194"/>
        <v>85.750716060651854</v>
      </c>
      <c r="AB126" s="125">
        <f t="shared" si="194"/>
        <v>78.237700331948886</v>
      </c>
      <c r="AC126" s="125">
        <f t="shared" si="194"/>
        <v>91.408349960827891</v>
      </c>
      <c r="AD126" s="125">
        <f t="shared" si="194"/>
        <v>90.12634151366602</v>
      </c>
      <c r="AE126" s="125">
        <f t="shared" si="194"/>
        <v>71.118775510677807</v>
      </c>
      <c r="AF126" s="125">
        <f t="shared" si="194"/>
        <v>89.241662563073945</v>
      </c>
      <c r="AG126" s="125">
        <f t="shared" si="194"/>
        <v>73.298363425079927</v>
      </c>
      <c r="AH126" s="125">
        <f t="shared" si="194"/>
        <v>41.895964689762479</v>
      </c>
      <c r="AI126" s="125">
        <f t="shared" si="194"/>
        <v>86.449193813545108</v>
      </c>
      <c r="AJ126" s="125">
        <f t="shared" si="194"/>
        <v>64.427189156827154</v>
      </c>
      <c r="AK126" s="125">
        <f t="shared" si="194"/>
        <v>88.168397755622465</v>
      </c>
      <c r="AL126" s="125">
        <f t="shared" si="194"/>
        <v>74.983711284439408</v>
      </c>
      <c r="AM126" s="125">
        <f t="shared" si="194"/>
        <v>89.556662909113783</v>
      </c>
      <c r="AN126" s="125">
        <f t="shared" si="194"/>
        <v>61.927168097889258</v>
      </c>
      <c r="AO126" s="125">
        <f t="shared" si="194"/>
        <v>42.407420914159985</v>
      </c>
      <c r="AP126" s="125">
        <f t="shared" si="194"/>
        <v>80.723870978513489</v>
      </c>
      <c r="AQ126" s="125">
        <f t="shared" si="194"/>
        <v>47.964032476380432</v>
      </c>
      <c r="AR126" s="125">
        <f t="shared" si="194"/>
        <v>86.306482235348795</v>
      </c>
      <c r="AS126" s="125">
        <f t="shared" si="194"/>
        <v>35.445198444833046</v>
      </c>
      <c r="AT126" s="125">
        <f t="shared" si="194"/>
        <v>50.324797439332109</v>
      </c>
      <c r="AU126" s="125">
        <f t="shared" si="194"/>
        <v>88.284723581276054</v>
      </c>
      <c r="AV126" s="125">
        <f t="shared" si="194"/>
        <v>68.539763136454681</v>
      </c>
      <c r="AW126" s="125">
        <f t="shared" si="194"/>
        <v>72.318629817106597</v>
      </c>
      <c r="AX126" s="125">
        <f t="shared" si="194"/>
        <v>28.840005374702113</v>
      </c>
      <c r="AY126" s="125">
        <f t="shared" si="194"/>
        <v>58.431733715324668</v>
      </c>
      <c r="AZ126" s="125">
        <f t="shared" si="194"/>
        <v>66.671055663769891</v>
      </c>
      <c r="BA126" s="125">
        <f t="shared" si="194"/>
        <v>70.272039844022757</v>
      </c>
      <c r="BB126" s="125">
        <f t="shared" si="194"/>
        <v>77.581062703947211</v>
      </c>
      <c r="BC126" s="125">
        <f t="shared" si="194"/>
        <v>46.437341627509319</v>
      </c>
      <c r="BD126" s="125">
        <f t="shared" si="194"/>
        <v>54.893345558707672</v>
      </c>
      <c r="BE126" s="125">
        <f t="shared" si="194"/>
        <v>58.812247715158456</v>
      </c>
      <c r="BF126" s="125">
        <f t="shared" si="194"/>
        <v>41.448945897073578</v>
      </c>
      <c r="BG126" s="125">
        <f t="shared" si="194"/>
        <v>49.871617931903494</v>
      </c>
      <c r="BH126" s="125">
        <f t="shared" si="194"/>
        <v>87.16018301015761</v>
      </c>
      <c r="BI126" s="125">
        <f t="shared" si="194"/>
        <v>83.767421350539507</v>
      </c>
      <c r="BJ126" s="125">
        <f t="shared" si="194"/>
        <v>71.294857446490312</v>
      </c>
      <c r="BK126" s="125">
        <f t="shared" si="194"/>
        <v>57.843066492605203</v>
      </c>
      <c r="BL126" s="125">
        <f t="shared" si="194"/>
        <v>54.14256372994182</v>
      </c>
      <c r="BM126" s="125">
        <f t="shared" si="194"/>
        <v>87.011602249537845</v>
      </c>
      <c r="BN126" s="125">
        <f t="shared" si="194"/>
        <v>88.470635067075904</v>
      </c>
      <c r="BO126" s="125">
        <f t="shared" si="194"/>
        <v>77.076575358395232</v>
      </c>
      <c r="BP126" s="125">
        <f t="shared" si="194"/>
        <v>67.380060983030546</v>
      </c>
      <c r="BQ126" s="125">
        <f t="shared" si="194"/>
        <v>34.829484129015619</v>
      </c>
      <c r="BR126" s="125">
        <f t="shared" si="194"/>
        <v>58.827980476313499</v>
      </c>
      <c r="BS126" s="125">
        <f t="shared" ref="BS126:DA126" si="195">(1+100*0.007)*BS105/(1+0.007*BS105)</f>
        <v>40.306377935181608</v>
      </c>
      <c r="BT126" s="125">
        <f t="shared" si="195"/>
        <v>44.917153516653237</v>
      </c>
      <c r="BU126" s="125">
        <f t="shared" si="195"/>
        <v>48.166647096977165</v>
      </c>
      <c r="BV126" s="125">
        <f t="shared" si="195"/>
        <v>64.254095521930353</v>
      </c>
      <c r="BW126" s="125">
        <f t="shared" si="195"/>
        <v>53.715588317411253</v>
      </c>
      <c r="BX126" s="125">
        <f t="shared" si="195"/>
        <v>72.810008842669632</v>
      </c>
      <c r="BY126" s="125">
        <f t="shared" si="195"/>
        <v>35.490912482919299</v>
      </c>
      <c r="BZ126" s="125">
        <f t="shared" si="195"/>
        <v>76.959900579894153</v>
      </c>
      <c r="CA126" s="125">
        <f t="shared" si="195"/>
        <v>58.114651109346774</v>
      </c>
      <c r="CB126" s="125">
        <f t="shared" si="195"/>
        <v>28.498843798509444</v>
      </c>
      <c r="CC126" s="125">
        <f t="shared" si="195"/>
        <v>33.541731976245117</v>
      </c>
      <c r="CD126" s="125">
        <f t="shared" si="195"/>
        <v>48.740359888309655</v>
      </c>
      <c r="CE126" s="125">
        <f t="shared" si="195"/>
        <v>45.238496576982264</v>
      </c>
      <c r="CF126" s="125">
        <f t="shared" si="195"/>
        <v>44.904097888191664</v>
      </c>
      <c r="CG126" s="125">
        <f t="shared" si="195"/>
        <v>74.308775271117185</v>
      </c>
      <c r="CH126" s="125">
        <f t="shared" si="195"/>
        <v>66.528167165515285</v>
      </c>
      <c r="CI126" s="125">
        <f t="shared" si="195"/>
        <v>45.143651175723804</v>
      </c>
      <c r="CJ126" s="125">
        <f t="shared" si="195"/>
        <v>87.579391852526427</v>
      </c>
      <c r="CK126" s="125">
        <f t="shared" si="195"/>
        <v>73.490203525028392</v>
      </c>
      <c r="CL126" s="125">
        <f t="shared" si="195"/>
        <v>28.442837843051244</v>
      </c>
      <c r="CM126" s="125">
        <f t="shared" si="195"/>
        <v>41.9108165231237</v>
      </c>
      <c r="CN126" s="125">
        <f t="shared" si="195"/>
        <v>66.562195893728827</v>
      </c>
      <c r="CO126" s="125">
        <f t="shared" si="195"/>
        <v>40.500982801849794</v>
      </c>
      <c r="CP126" s="125">
        <f t="shared" si="195"/>
        <v>63.191470852439473</v>
      </c>
      <c r="CQ126" s="125">
        <f t="shared" si="195"/>
        <v>39.047918901869494</v>
      </c>
      <c r="CR126" s="125">
        <f t="shared" si="195"/>
        <v>44.650370705277233</v>
      </c>
      <c r="CS126" s="125">
        <f t="shared" si="195"/>
        <v>80.886790731561206</v>
      </c>
      <c r="CT126" s="125">
        <f t="shared" si="195"/>
        <v>57.294618060445956</v>
      </c>
      <c r="CU126" s="125">
        <f t="shared" si="195"/>
        <v>68.134180670252007</v>
      </c>
      <c r="CV126" s="125">
        <f t="shared" si="195"/>
        <v>40.513812927909846</v>
      </c>
      <c r="CW126" s="125">
        <f t="shared" si="195"/>
        <v>71.122574179994146</v>
      </c>
      <c r="CX126" s="125">
        <f t="shared" si="195"/>
        <v>79.03430449488782</v>
      </c>
      <c r="CY126" s="125">
        <f t="shared" si="195"/>
        <v>52.926072277780598</v>
      </c>
      <c r="CZ126" s="125">
        <f t="shared" si="195"/>
        <v>65.390243851062792</v>
      </c>
      <c r="DA126" s="125">
        <f t="shared" si="195"/>
        <v>53.823303561266364</v>
      </c>
    </row>
    <row r="127" spans="5:105">
      <c r="E127" s="139" t="s">
        <v>185</v>
      </c>
      <c r="F127" s="125">
        <f>(1/0.0228)*LN(1+0.0228*F110)</f>
        <v>6.1402038672305611E-3</v>
      </c>
      <c r="G127" s="125">
        <f t="shared" ref="G127:BR127" si="196">(1/0.0228)*LN(1+0.0228*G110)</f>
        <v>16.815777727125727</v>
      </c>
      <c r="H127" s="125">
        <f t="shared" si="196"/>
        <v>31.384752253439569</v>
      </c>
      <c r="I127" s="125">
        <f t="shared" si="196"/>
        <v>14.852871099361598</v>
      </c>
      <c r="J127" s="125">
        <f t="shared" si="196"/>
        <v>21.649287079731785</v>
      </c>
      <c r="K127" s="125">
        <f t="shared" si="196"/>
        <v>34.879276938828653</v>
      </c>
      <c r="L127" s="125">
        <f t="shared" si="196"/>
        <v>19.18196713728959</v>
      </c>
      <c r="M127" s="125">
        <f t="shared" si="196"/>
        <v>33.30663561048847</v>
      </c>
      <c r="N127" s="125">
        <f t="shared" si="196"/>
        <v>30.907590255775496</v>
      </c>
      <c r="O127" s="125">
        <f t="shared" si="196"/>
        <v>3.0603723459782226</v>
      </c>
      <c r="P127" s="125">
        <f t="shared" si="196"/>
        <v>34.451886945628381</v>
      </c>
      <c r="Q127" s="125">
        <f t="shared" si="196"/>
        <v>34.232037990806113</v>
      </c>
      <c r="R127" s="125">
        <f t="shared" si="196"/>
        <v>36.582274990700647</v>
      </c>
      <c r="S127" s="125">
        <f t="shared" si="196"/>
        <v>23.374150262751801</v>
      </c>
      <c r="T127" s="125">
        <f t="shared" si="196"/>
        <v>8.6564973944860562</v>
      </c>
      <c r="U127" s="125">
        <f t="shared" si="196"/>
        <v>16.389911582903455</v>
      </c>
      <c r="V127" s="125">
        <f t="shared" si="196"/>
        <v>23.712235835318609</v>
      </c>
      <c r="W127" s="125">
        <f t="shared" si="196"/>
        <v>22.561736966751933</v>
      </c>
      <c r="X127" s="125">
        <f t="shared" si="196"/>
        <v>17.692096282079483</v>
      </c>
      <c r="Y127" s="125">
        <f t="shared" si="196"/>
        <v>27.021943337867199</v>
      </c>
      <c r="Z127" s="125">
        <f t="shared" si="196"/>
        <v>33.903417939374243</v>
      </c>
      <c r="AA127" s="125">
        <f t="shared" si="196"/>
        <v>31.210041902486424</v>
      </c>
      <c r="AB127" s="125">
        <f t="shared" si="196"/>
        <v>32.515989983351425</v>
      </c>
      <c r="AC127" s="125">
        <f t="shared" si="196"/>
        <v>12.736477239682552</v>
      </c>
      <c r="AD127" s="125">
        <f t="shared" si="196"/>
        <v>24.982944658551169</v>
      </c>
      <c r="AE127" s="125">
        <f t="shared" si="196"/>
        <v>33.740767947076193</v>
      </c>
      <c r="AF127" s="125">
        <f t="shared" si="196"/>
        <v>29.401158501455317</v>
      </c>
      <c r="AG127" s="125">
        <f t="shared" si="196"/>
        <v>14.984796007888987</v>
      </c>
      <c r="AH127" s="125">
        <f t="shared" si="196"/>
        <v>15.391888119042767</v>
      </c>
      <c r="AI127" s="125">
        <f t="shared" si="196"/>
        <v>28.836828552444199</v>
      </c>
      <c r="AJ127" s="125">
        <f t="shared" si="196"/>
        <v>16.902559118445016</v>
      </c>
      <c r="AK127" s="125">
        <f t="shared" si="196"/>
        <v>28.740108912915524</v>
      </c>
      <c r="AL127" s="125">
        <f t="shared" si="196"/>
        <v>31.437555714621791</v>
      </c>
      <c r="AM127" s="125">
        <f t="shared" si="196"/>
        <v>19.285046823272534</v>
      </c>
      <c r="AN127" s="125">
        <f t="shared" si="196"/>
        <v>28.364551604614508</v>
      </c>
      <c r="AO127" s="125">
        <f t="shared" si="196"/>
        <v>15.280582511073511</v>
      </c>
      <c r="AP127" s="125">
        <f t="shared" si="196"/>
        <v>7.119968215466824</v>
      </c>
      <c r="AQ127" s="125">
        <f t="shared" si="196"/>
        <v>19.170036092945679</v>
      </c>
      <c r="AR127" s="125">
        <f t="shared" si="196"/>
        <v>16.500804739074145</v>
      </c>
      <c r="AS127" s="125">
        <f t="shared" si="196"/>
        <v>7.1954975724566381</v>
      </c>
      <c r="AT127" s="125">
        <f t="shared" si="196"/>
        <v>13.751682664652726</v>
      </c>
      <c r="AU127" s="125">
        <f t="shared" si="196"/>
        <v>8.9246444683309569</v>
      </c>
      <c r="AV127" s="125">
        <f t="shared" si="196"/>
        <v>32.388893542040776</v>
      </c>
      <c r="AW127" s="125">
        <f t="shared" si="196"/>
        <v>33.307656758390721</v>
      </c>
      <c r="AX127" s="125">
        <f t="shared" si="196"/>
        <v>1.5273753141709177</v>
      </c>
      <c r="AY127" s="125">
        <f t="shared" si="196"/>
        <v>26.868089578386471</v>
      </c>
      <c r="AZ127" s="125">
        <f t="shared" si="196"/>
        <v>21.264357312467091</v>
      </c>
      <c r="BA127" s="125">
        <f t="shared" si="196"/>
        <v>14.789262305521572</v>
      </c>
      <c r="BB127" s="125">
        <f t="shared" si="196"/>
        <v>24.216242875065124</v>
      </c>
      <c r="BC127" s="125">
        <f t="shared" si="196"/>
        <v>21.958417951156083</v>
      </c>
      <c r="BD127" s="125">
        <f t="shared" si="196"/>
        <v>19.577339608488877</v>
      </c>
      <c r="BE127" s="125">
        <f t="shared" si="196"/>
        <v>17.19233000702166</v>
      </c>
      <c r="BF127" s="125">
        <f t="shared" si="196"/>
        <v>22.650168204194628</v>
      </c>
      <c r="BG127" s="125">
        <f t="shared" si="196"/>
        <v>30.900853868942466</v>
      </c>
      <c r="BH127" s="125">
        <f t="shared" si="196"/>
        <v>15.909225169223408</v>
      </c>
      <c r="BI127" s="125">
        <f t="shared" si="196"/>
        <v>17.949808398221183</v>
      </c>
      <c r="BJ127" s="125">
        <f t="shared" si="196"/>
        <v>30.187719553211348</v>
      </c>
      <c r="BK127" s="125">
        <f t="shared" si="196"/>
        <v>31.907594833445174</v>
      </c>
      <c r="BL127" s="125">
        <f t="shared" si="196"/>
        <v>31.80576405507944</v>
      </c>
      <c r="BM127" s="125">
        <f t="shared" si="196"/>
        <v>16.095549232474749</v>
      </c>
      <c r="BN127" s="125">
        <f t="shared" si="196"/>
        <v>7.2439613586105951</v>
      </c>
      <c r="BO127" s="125">
        <f t="shared" si="196"/>
        <v>15.487267033401992</v>
      </c>
      <c r="BP127" s="125">
        <f t="shared" si="196"/>
        <v>7.4993575396495444</v>
      </c>
      <c r="BQ127" s="125">
        <f t="shared" si="196"/>
        <v>3.3509680758172533</v>
      </c>
      <c r="BR127" s="125">
        <f t="shared" si="196"/>
        <v>32.108667116771407</v>
      </c>
      <c r="BS127" s="125">
        <f t="shared" ref="BS127:DA127" si="197">(1/0.0228)*LN(1+0.0228*BS110)</f>
        <v>20.588485016862276</v>
      </c>
      <c r="BT127" s="125">
        <f t="shared" si="197"/>
        <v>30.248059194049294</v>
      </c>
      <c r="BU127" s="125">
        <f t="shared" si="197"/>
        <v>31.276995651580616</v>
      </c>
      <c r="BV127" s="125">
        <f t="shared" si="197"/>
        <v>22.747763756738692</v>
      </c>
      <c r="BW127" s="125">
        <f t="shared" si="197"/>
        <v>12.712573065216793</v>
      </c>
      <c r="BX127" s="125">
        <f t="shared" si="197"/>
        <v>27.072028552516649</v>
      </c>
      <c r="BY127" s="125">
        <f t="shared" si="197"/>
        <v>24.77012081717486</v>
      </c>
      <c r="BZ127" s="125">
        <f t="shared" si="197"/>
        <v>10.060110483775478</v>
      </c>
      <c r="CA127" s="125">
        <f t="shared" si="197"/>
        <v>32.408095159783684</v>
      </c>
      <c r="CB127" s="125">
        <f t="shared" si="197"/>
        <v>3.7732178946996444</v>
      </c>
      <c r="CC127" s="125">
        <f t="shared" si="197"/>
        <v>24.317862248911002</v>
      </c>
      <c r="CD127" s="125">
        <f t="shared" si="197"/>
        <v>32.728636226341294</v>
      </c>
      <c r="CE127" s="125">
        <f t="shared" si="197"/>
        <v>24.164665588088805</v>
      </c>
      <c r="CF127" s="125">
        <f t="shared" si="197"/>
        <v>31.6318061959342</v>
      </c>
      <c r="CG127" s="125">
        <f t="shared" si="197"/>
        <v>19.514041828561052</v>
      </c>
      <c r="CH127" s="125">
        <f t="shared" si="197"/>
        <v>22.145887112934922</v>
      </c>
      <c r="CI127" s="125">
        <f t="shared" si="197"/>
        <v>26.505591001479999</v>
      </c>
      <c r="CJ127" s="125">
        <f t="shared" si="197"/>
        <v>9.430974439153319</v>
      </c>
      <c r="CK127" s="125">
        <f t="shared" si="197"/>
        <v>16.112927855529303</v>
      </c>
      <c r="CL127" s="125">
        <f t="shared" si="197"/>
        <v>7.3036771982931565</v>
      </c>
      <c r="CM127" s="125">
        <f t="shared" si="197"/>
        <v>13.294532944900391</v>
      </c>
      <c r="CN127" s="125">
        <f t="shared" si="197"/>
        <v>22.602970654047024</v>
      </c>
      <c r="CO127" s="125">
        <f t="shared" si="197"/>
        <v>23.71238956345751</v>
      </c>
      <c r="CP127" s="125">
        <f t="shared" si="197"/>
        <v>23.379013236723551</v>
      </c>
      <c r="CQ127" s="125">
        <f t="shared" si="197"/>
        <v>21.943593734535721</v>
      </c>
      <c r="CR127" s="125">
        <f t="shared" si="197"/>
        <v>24.295565102524794</v>
      </c>
      <c r="CS127" s="125">
        <f t="shared" si="197"/>
        <v>3.7013930869142726</v>
      </c>
      <c r="CT127" s="125">
        <f t="shared" si="197"/>
        <v>17.402047790945939</v>
      </c>
      <c r="CU127" s="125">
        <f t="shared" si="197"/>
        <v>14.672914342073225</v>
      </c>
      <c r="CV127" s="125">
        <f t="shared" si="197"/>
        <v>23.640049519971853</v>
      </c>
      <c r="CW127" s="125">
        <f t="shared" si="197"/>
        <v>18.436257164023679</v>
      </c>
      <c r="CX127" s="125">
        <f t="shared" si="197"/>
        <v>17.53755729224109</v>
      </c>
      <c r="CY127" s="125">
        <f t="shared" si="197"/>
        <v>23.517884898020505</v>
      </c>
      <c r="CZ127" s="125">
        <f t="shared" si="197"/>
        <v>29.873262920429113</v>
      </c>
      <c r="DA127" s="125">
        <f t="shared" si="197"/>
        <v>32.040874539147168</v>
      </c>
    </row>
    <row r="128" spans="5:105">
      <c r="E128" s="139" t="s">
        <v>95</v>
      </c>
      <c r="F128" s="125">
        <f>F127*COS(F96*PI()/180)</f>
        <v>6.102648751210772E-3</v>
      </c>
      <c r="G128" s="125">
        <f>G127*COS(G96*PI()/180)</f>
        <v>16.763604554018801</v>
      </c>
      <c r="H128" s="125">
        <f t="shared" ref="H128:BS128" si="198">H127*COS(H96*PI()/180)</f>
        <v>31.100879263454328</v>
      </c>
      <c r="I128" s="125">
        <f t="shared" si="198"/>
        <v>14.654422365876453</v>
      </c>
      <c r="J128" s="125">
        <f t="shared" si="198"/>
        <v>20.785562506662941</v>
      </c>
      <c r="K128" s="125">
        <f t="shared" si="198"/>
        <v>33.61442714598067</v>
      </c>
      <c r="L128" s="125">
        <f t="shared" si="198"/>
        <v>17.972862692322831</v>
      </c>
      <c r="M128" s="125">
        <f t="shared" si="198"/>
        <v>31.554087921627399</v>
      </c>
      <c r="N128" s="125">
        <f t="shared" si="198"/>
        <v>29.300586159612159</v>
      </c>
      <c r="O128" s="125">
        <f t="shared" si="198"/>
        <v>2.98007388455123</v>
      </c>
      <c r="P128" s="125">
        <f t="shared" si="198"/>
        <v>29.443357034805736</v>
      </c>
      <c r="Q128" s="125">
        <f t="shared" si="198"/>
        <v>28.438900365418341</v>
      </c>
      <c r="R128" s="125">
        <f t="shared" si="198"/>
        <v>30.231242087795884</v>
      </c>
      <c r="S128" s="125">
        <f t="shared" si="198"/>
        <v>18.337406665102773</v>
      </c>
      <c r="T128" s="125">
        <f t="shared" si="198"/>
        <v>6.3574873778047278</v>
      </c>
      <c r="U128" s="125">
        <f t="shared" si="198"/>
        <v>12.510388769156039</v>
      </c>
      <c r="V128" s="125">
        <f t="shared" si="198"/>
        <v>17.125411831906632</v>
      </c>
      <c r="W128" s="125">
        <f t="shared" si="198"/>
        <v>14.747793001011109</v>
      </c>
      <c r="X128" s="125">
        <f t="shared" si="198"/>
        <v>11.580134410073564</v>
      </c>
      <c r="Y128" s="125">
        <f t="shared" si="198"/>
        <v>13.860411380364932</v>
      </c>
      <c r="Z128" s="125">
        <f t="shared" si="198"/>
        <v>19.010883226896489</v>
      </c>
      <c r="AA128" s="125">
        <f t="shared" si="198"/>
        <v>13.852493262781975</v>
      </c>
      <c r="AB128" s="125">
        <f t="shared" si="198"/>
        <v>14.957204661222505</v>
      </c>
      <c r="AC128" s="125">
        <f t="shared" si="198"/>
        <v>3.7263189756370823</v>
      </c>
      <c r="AD128" s="125">
        <f t="shared" si="198"/>
        <v>6.410101705118219</v>
      </c>
      <c r="AE128" s="125">
        <f t="shared" si="198"/>
        <v>8.1660322856434959</v>
      </c>
      <c r="AF128" s="125">
        <f t="shared" si="198"/>
        <v>6.5300954433660099</v>
      </c>
      <c r="AG128" s="125">
        <f t="shared" si="198"/>
        <v>1.286100014185388</v>
      </c>
      <c r="AH128" s="125">
        <f t="shared" si="198"/>
        <v>0.34939940849054085</v>
      </c>
      <c r="AI128" s="125">
        <f t="shared" si="198"/>
        <v>1.6752495247263397</v>
      </c>
      <c r="AJ128" s="125">
        <f t="shared" si="198"/>
        <v>1.5660197775884876</v>
      </c>
      <c r="AK128" s="125">
        <f t="shared" si="198"/>
        <v>0.13430938428798708</v>
      </c>
      <c r="AL128" s="125">
        <f t="shared" si="198"/>
        <v>-0.7497638664370706</v>
      </c>
      <c r="AM128" s="125">
        <f t="shared" si="198"/>
        <v>-0.11637697743702564</v>
      </c>
      <c r="AN128" s="125">
        <f t="shared" si="198"/>
        <v>-3.0535730271092358</v>
      </c>
      <c r="AO128" s="125">
        <f t="shared" si="198"/>
        <v>-2.435125042474954</v>
      </c>
      <c r="AP128" s="125">
        <f t="shared" si="198"/>
        <v>-0.22815939269962762</v>
      </c>
      <c r="AQ128" s="125">
        <f t="shared" si="198"/>
        <v>-4.7095116766844463</v>
      </c>
      <c r="AR128" s="125">
        <f t="shared" si="198"/>
        <v>-2.9287777870507186</v>
      </c>
      <c r="AS128" s="125">
        <f t="shared" si="198"/>
        <v>-2.1721896013829198</v>
      </c>
      <c r="AT128" s="125">
        <f t="shared" si="198"/>
        <v>-4.4654854501287717</v>
      </c>
      <c r="AU128" s="125">
        <f t="shared" si="198"/>
        <v>-3.3283606928323879</v>
      </c>
      <c r="AV128" s="125">
        <f t="shared" si="198"/>
        <v>-16.306385986749227</v>
      </c>
      <c r="AW128" s="125">
        <f t="shared" si="198"/>
        <v>-17.139047349507187</v>
      </c>
      <c r="AX128" s="125">
        <f t="shared" si="198"/>
        <v>-0.77511556563735418</v>
      </c>
      <c r="AY128" s="125">
        <f t="shared" si="198"/>
        <v>-17.850368291761654</v>
      </c>
      <c r="AZ128" s="125">
        <f t="shared" si="198"/>
        <v>-14.111160929982161</v>
      </c>
      <c r="BA128" s="125">
        <f t="shared" si="198"/>
        <v>-9.4370146115245177</v>
      </c>
      <c r="BB128" s="125">
        <f t="shared" si="198"/>
        <v>-19.363635029691679</v>
      </c>
      <c r="BC128" s="125">
        <f t="shared" si="198"/>
        <v>-17.329081248292034</v>
      </c>
      <c r="BD128" s="125">
        <f t="shared" si="198"/>
        <v>-18.085175206921971</v>
      </c>
      <c r="BE128" s="125">
        <f t="shared" si="198"/>
        <v>-16.017808981589852</v>
      </c>
      <c r="BF128" s="125">
        <f t="shared" si="198"/>
        <v>-21.218286152673926</v>
      </c>
      <c r="BG128" s="125">
        <f t="shared" si="198"/>
        <v>-30.57912914939282</v>
      </c>
      <c r="BH128" s="125">
        <f t="shared" si="198"/>
        <v>-15.907708248561086</v>
      </c>
      <c r="BI128" s="125">
        <f t="shared" si="198"/>
        <v>-17.867779352062637</v>
      </c>
      <c r="BJ128" s="125">
        <f t="shared" si="198"/>
        <v>-30.043134094407971</v>
      </c>
      <c r="BK128" s="125">
        <f t="shared" si="198"/>
        <v>-31.744832783869111</v>
      </c>
      <c r="BL128" s="125">
        <f t="shared" si="198"/>
        <v>-31.347115496415498</v>
      </c>
      <c r="BM128" s="125">
        <f t="shared" si="198"/>
        <v>-15.839994824588887</v>
      </c>
      <c r="BN128" s="125">
        <f t="shared" si="198"/>
        <v>-6.8059756926562622</v>
      </c>
      <c r="BO128" s="125">
        <f t="shared" si="198"/>
        <v>-14.604105825920827</v>
      </c>
      <c r="BP128" s="125">
        <f t="shared" si="198"/>
        <v>-6.5217975455952661</v>
      </c>
      <c r="BQ128" s="125">
        <f t="shared" si="198"/>
        <v>-2.3850160068910067</v>
      </c>
      <c r="BR128" s="125">
        <f t="shared" si="198"/>
        <v>-28.856701551166868</v>
      </c>
      <c r="BS128" s="125">
        <f t="shared" si="198"/>
        <v>-18.040330506519219</v>
      </c>
      <c r="BT128" s="125">
        <f t="shared" ref="BT128:DA128" si="199">BT127*COS(BT96*PI()/180)</f>
        <v>-25.460162142592861</v>
      </c>
      <c r="BU128" s="125">
        <f t="shared" si="199"/>
        <v>-25.747285136062612</v>
      </c>
      <c r="BV128" s="125">
        <f t="shared" si="199"/>
        <v>-17.2937471465942</v>
      </c>
      <c r="BW128" s="125">
        <f t="shared" si="199"/>
        <v>-7.705912454531898</v>
      </c>
      <c r="BX128" s="125">
        <f t="shared" si="199"/>
        <v>-17.469653892152092</v>
      </c>
      <c r="BY128" s="125">
        <f t="shared" si="199"/>
        <v>-14.681768210074937</v>
      </c>
      <c r="BZ128" s="125">
        <f t="shared" si="199"/>
        <v>-6.1268082856843806</v>
      </c>
      <c r="CA128" s="125">
        <f t="shared" si="199"/>
        <v>-20.122031369222924</v>
      </c>
      <c r="CB128" s="125">
        <f t="shared" si="199"/>
        <v>-1.2821297248246635</v>
      </c>
      <c r="CC128" s="125">
        <f t="shared" si="199"/>
        <v>-11.515706660194821</v>
      </c>
      <c r="CD128" s="125">
        <f t="shared" si="199"/>
        <v>-12.967776813173812</v>
      </c>
      <c r="CE128" s="125">
        <f t="shared" si="199"/>
        <v>-8.1048614374606114</v>
      </c>
      <c r="CF128" s="125">
        <f t="shared" si="199"/>
        <v>-10.857092891277329</v>
      </c>
      <c r="CG128" s="125">
        <f t="shared" si="199"/>
        <v>-3.2720997060974812</v>
      </c>
      <c r="CH128" s="125">
        <f t="shared" si="199"/>
        <v>1.1510588900755752</v>
      </c>
      <c r="CI128" s="125">
        <f t="shared" si="199"/>
        <v>4.520239695287092</v>
      </c>
      <c r="CJ128" s="125">
        <f t="shared" si="199"/>
        <v>1.238808340722044</v>
      </c>
      <c r="CK128" s="125">
        <f t="shared" si="199"/>
        <v>3.5677856750256813</v>
      </c>
      <c r="CL128" s="125">
        <f t="shared" si="199"/>
        <v>3.8951160693942106</v>
      </c>
      <c r="CM128" s="125">
        <f t="shared" si="199"/>
        <v>6.2332635408307917</v>
      </c>
      <c r="CN128" s="125">
        <f t="shared" si="199"/>
        <v>10.075987920046504</v>
      </c>
      <c r="CO128" s="125">
        <f t="shared" si="199"/>
        <v>13.428184559330223</v>
      </c>
      <c r="CP128" s="125">
        <f t="shared" si="199"/>
        <v>17.573053025165489</v>
      </c>
      <c r="CQ128" s="125">
        <f t="shared" si="199"/>
        <v>17.303925143618738</v>
      </c>
      <c r="CR128" s="125">
        <f t="shared" si="199"/>
        <v>19.961639018775287</v>
      </c>
      <c r="CS128" s="125">
        <f t="shared" si="199"/>
        <v>3.449012422433567</v>
      </c>
      <c r="CT128" s="125">
        <f t="shared" si="199"/>
        <v>15.80116790943732</v>
      </c>
      <c r="CU128" s="125">
        <f t="shared" si="199"/>
        <v>13.535976180101475</v>
      </c>
      <c r="CV128" s="125">
        <f t="shared" si="199"/>
        <v>22.764817874585958</v>
      </c>
      <c r="CW128" s="125">
        <f t="shared" si="199"/>
        <v>17.847096691087479</v>
      </c>
      <c r="CX128" s="125">
        <f t="shared" si="199"/>
        <v>17.122825005011254</v>
      </c>
      <c r="CY128" s="125">
        <f t="shared" si="199"/>
        <v>23.331667482620489</v>
      </c>
      <c r="CZ128" s="125">
        <f t="shared" si="199"/>
        <v>29.873054181060056</v>
      </c>
      <c r="DA128" s="125">
        <f t="shared" si="199"/>
        <v>32.040788321801898</v>
      </c>
    </row>
    <row r="129" spans="5:105">
      <c r="E129" s="139" t="s">
        <v>97</v>
      </c>
      <c r="F129" s="125">
        <f>F127*SIN(F96*PI()/180)</f>
        <v>6.7807208355656764E-4</v>
      </c>
      <c r="G129" s="125">
        <f>G127*SIN(G96*PI()/180)</f>
        <v>1.3236098082810404</v>
      </c>
      <c r="H129" s="125">
        <f t="shared" ref="H129:BS129" si="200">H127*SIN(H96*PI()/180)</f>
        <v>4.2116484955200821</v>
      </c>
      <c r="I129" s="125">
        <f t="shared" si="200"/>
        <v>2.4198522716792024</v>
      </c>
      <c r="J129" s="125">
        <f t="shared" si="200"/>
        <v>6.054091372142425</v>
      </c>
      <c r="K129" s="125">
        <f t="shared" si="200"/>
        <v>9.3077520069596744</v>
      </c>
      <c r="L129" s="125">
        <f t="shared" si="200"/>
        <v>6.7025420475344939</v>
      </c>
      <c r="M129" s="125">
        <f t="shared" si="200"/>
        <v>10.661684253628348</v>
      </c>
      <c r="N129" s="125">
        <f t="shared" si="200"/>
        <v>9.8364010757010512</v>
      </c>
      <c r="O129" s="125">
        <f t="shared" si="200"/>
        <v>0.69644708244344833</v>
      </c>
      <c r="P129" s="125">
        <f t="shared" si="200"/>
        <v>17.889137503952359</v>
      </c>
      <c r="Q129" s="125">
        <f t="shared" si="200"/>
        <v>19.054169386509649</v>
      </c>
      <c r="R129" s="125">
        <f t="shared" si="200"/>
        <v>20.599389440571311</v>
      </c>
      <c r="S129" s="125">
        <f t="shared" si="200"/>
        <v>14.494496103843849</v>
      </c>
      <c r="T129" s="125">
        <f t="shared" si="200"/>
        <v>5.8751426690589774</v>
      </c>
      <c r="U129" s="125">
        <f t="shared" si="200"/>
        <v>10.58864365912685</v>
      </c>
      <c r="V129" s="125">
        <f t="shared" si="200"/>
        <v>16.400926738979123</v>
      </c>
      <c r="W129" s="125">
        <f t="shared" si="200"/>
        <v>17.074383636202757</v>
      </c>
      <c r="X129" s="125">
        <f t="shared" si="200"/>
        <v>13.375752610563671</v>
      </c>
      <c r="Y129" s="125">
        <f t="shared" si="200"/>
        <v>23.196431150544598</v>
      </c>
      <c r="Z129" s="125">
        <f t="shared" si="200"/>
        <v>28.071837611834198</v>
      </c>
      <c r="AA129" s="125">
        <f t="shared" si="200"/>
        <v>27.967394336254106</v>
      </c>
      <c r="AB129" s="125">
        <f t="shared" si="200"/>
        <v>28.87164064128871</v>
      </c>
      <c r="AC129" s="125">
        <f t="shared" si="200"/>
        <v>12.179178928349755</v>
      </c>
      <c r="AD129" s="125">
        <f t="shared" si="200"/>
        <v>24.146596446337337</v>
      </c>
      <c r="AE129" s="125">
        <f t="shared" si="200"/>
        <v>32.737674602333506</v>
      </c>
      <c r="AF129" s="125">
        <f t="shared" si="200"/>
        <v>28.666809636376154</v>
      </c>
      <c r="AG129" s="125">
        <f t="shared" si="200"/>
        <v>14.92950294388792</v>
      </c>
      <c r="AH129" s="125">
        <f t="shared" si="200"/>
        <v>15.387921884467582</v>
      </c>
      <c r="AI129" s="125">
        <f t="shared" si="200"/>
        <v>28.788126371699931</v>
      </c>
      <c r="AJ129" s="125">
        <f t="shared" si="200"/>
        <v>16.829857004999493</v>
      </c>
      <c r="AK129" s="125">
        <f t="shared" si="200"/>
        <v>28.739795081307356</v>
      </c>
      <c r="AL129" s="125">
        <f t="shared" si="200"/>
        <v>31.428613769215698</v>
      </c>
      <c r="AM129" s="125">
        <f t="shared" si="200"/>
        <v>19.284695677529804</v>
      </c>
      <c r="AN129" s="125">
        <f t="shared" si="200"/>
        <v>28.199707081793431</v>
      </c>
      <c r="AO129" s="125">
        <f t="shared" si="200"/>
        <v>15.085303043201918</v>
      </c>
      <c r="AP129" s="125">
        <f t="shared" si="200"/>
        <v>7.1163115924459612</v>
      </c>
      <c r="AQ129" s="125">
        <f t="shared" si="200"/>
        <v>18.58253975031435</v>
      </c>
      <c r="AR129" s="125">
        <f t="shared" si="200"/>
        <v>16.238805920114018</v>
      </c>
      <c r="AS129" s="125">
        <f t="shared" si="200"/>
        <v>6.8597942863378405</v>
      </c>
      <c r="AT129" s="125">
        <f t="shared" si="200"/>
        <v>13.006468229461776</v>
      </c>
      <c r="AU129" s="125">
        <f t="shared" si="200"/>
        <v>8.2807785856475267</v>
      </c>
      <c r="AV129" s="125">
        <f t="shared" si="200"/>
        <v>27.984677967216257</v>
      </c>
      <c r="AW129" s="125">
        <f t="shared" si="200"/>
        <v>28.559640310867394</v>
      </c>
      <c r="AX129" s="125">
        <f t="shared" si="200"/>
        <v>1.316081764270516</v>
      </c>
      <c r="AY129" s="125">
        <f t="shared" si="200"/>
        <v>20.081299495816243</v>
      </c>
      <c r="AZ129" s="125">
        <f t="shared" si="200"/>
        <v>15.907483431404783</v>
      </c>
      <c r="BA129" s="125">
        <f t="shared" si="200"/>
        <v>11.387055579182617</v>
      </c>
      <c r="BB129" s="125">
        <f t="shared" si="200"/>
        <v>14.542216386130406</v>
      </c>
      <c r="BC129" s="125">
        <f t="shared" si="200"/>
        <v>13.486106258210597</v>
      </c>
      <c r="BD129" s="125">
        <f t="shared" si="200"/>
        <v>7.4965768108545596</v>
      </c>
      <c r="BE129" s="125">
        <f t="shared" si="200"/>
        <v>6.2454788847322931</v>
      </c>
      <c r="BF129" s="125">
        <f t="shared" si="200"/>
        <v>7.9255569155457657</v>
      </c>
      <c r="BG129" s="125">
        <f t="shared" si="200"/>
        <v>4.4474296278289698</v>
      </c>
      <c r="BH129" s="125">
        <f t="shared" si="200"/>
        <v>-0.21969015388302601</v>
      </c>
      <c r="BI129" s="125">
        <f t="shared" si="200"/>
        <v>-1.7140835915601682</v>
      </c>
      <c r="BJ129" s="125">
        <f t="shared" si="200"/>
        <v>-2.9510177242368796</v>
      </c>
      <c r="BK129" s="125">
        <f t="shared" si="200"/>
        <v>-3.2187263909015416</v>
      </c>
      <c r="BL129" s="125">
        <f t="shared" si="200"/>
        <v>-5.3819120377214169</v>
      </c>
      <c r="BM129" s="125">
        <f t="shared" si="200"/>
        <v>-2.8567934913142987</v>
      </c>
      <c r="BN129" s="125">
        <f t="shared" si="200"/>
        <v>-2.480659395405902</v>
      </c>
      <c r="BO129" s="125">
        <f t="shared" si="200"/>
        <v>-5.1551462820375384</v>
      </c>
      <c r="BP129" s="125">
        <f t="shared" si="200"/>
        <v>-3.7022317974116681</v>
      </c>
      <c r="BQ129" s="125">
        <f t="shared" si="200"/>
        <v>-2.3538661159930196</v>
      </c>
      <c r="BR129" s="125">
        <f t="shared" si="200"/>
        <v>-14.080386344220853</v>
      </c>
      <c r="BS129" s="125">
        <f t="shared" si="200"/>
        <v>-9.9212998394925282</v>
      </c>
      <c r="BT129" s="125">
        <f t="shared" ref="BT129:DA129" si="201">BT127*SIN(BT96*PI()/180)</f>
        <v>-16.331724608246098</v>
      </c>
      <c r="BU129" s="125">
        <f t="shared" si="201"/>
        <v>-17.757470684511411</v>
      </c>
      <c r="BV129" s="125">
        <f t="shared" si="201"/>
        <v>-14.777924941007766</v>
      </c>
      <c r="BW129" s="125">
        <f t="shared" si="201"/>
        <v>-10.11080744458946</v>
      </c>
      <c r="BX129" s="125">
        <f t="shared" si="201"/>
        <v>-20.681052266185389</v>
      </c>
      <c r="BY129" s="125">
        <f t="shared" si="201"/>
        <v>-19.950051817553565</v>
      </c>
      <c r="BZ129" s="125">
        <f t="shared" si="201"/>
        <v>-7.9792257253594787</v>
      </c>
      <c r="CA129" s="125">
        <f t="shared" si="201"/>
        <v>-25.404497347154958</v>
      </c>
      <c r="CB129" s="125">
        <f t="shared" si="201"/>
        <v>-3.5487063346524814</v>
      </c>
      <c r="CC129" s="125">
        <f t="shared" si="201"/>
        <v>-21.41837819428342</v>
      </c>
      <c r="CD129" s="125">
        <f t="shared" si="201"/>
        <v>-30.049964954387075</v>
      </c>
      <c r="CE129" s="125">
        <f t="shared" si="201"/>
        <v>-22.764935406535358</v>
      </c>
      <c r="CF129" s="125">
        <f t="shared" si="201"/>
        <v>-29.710178342906602</v>
      </c>
      <c r="CG129" s="125">
        <f t="shared" si="201"/>
        <v>-19.23775433880439</v>
      </c>
      <c r="CH129" s="125">
        <f t="shared" si="201"/>
        <v>-22.115953053179396</v>
      </c>
      <c r="CI129" s="125">
        <f t="shared" si="201"/>
        <v>-26.117308196575092</v>
      </c>
      <c r="CJ129" s="125">
        <f t="shared" si="201"/>
        <v>-9.3492584073241201</v>
      </c>
      <c r="CK129" s="125">
        <f t="shared" si="201"/>
        <v>-15.712967557230355</v>
      </c>
      <c r="CL129" s="125">
        <f t="shared" si="201"/>
        <v>-6.1783307958391456</v>
      </c>
      <c r="CM129" s="125">
        <f t="shared" si="201"/>
        <v>-11.742701216227527</v>
      </c>
      <c r="CN129" s="125">
        <f t="shared" si="201"/>
        <v>-20.232863114813679</v>
      </c>
      <c r="CO129" s="125">
        <f t="shared" si="201"/>
        <v>-19.543829672040587</v>
      </c>
      <c r="CP129" s="125">
        <f t="shared" si="201"/>
        <v>-15.419664954129745</v>
      </c>
      <c r="CQ129" s="125">
        <f t="shared" si="201"/>
        <v>-13.494275846090988</v>
      </c>
      <c r="CR129" s="125">
        <f t="shared" si="201"/>
        <v>-13.849456716244452</v>
      </c>
      <c r="CS129" s="125">
        <f t="shared" si="201"/>
        <v>-1.3433629791518389</v>
      </c>
      <c r="CT129" s="125">
        <f t="shared" si="201"/>
        <v>-7.2907036708492479</v>
      </c>
      <c r="CU129" s="125">
        <f t="shared" si="201"/>
        <v>-5.6631938110525271</v>
      </c>
      <c r="CV129" s="125">
        <f t="shared" si="201"/>
        <v>-6.3729905416258887</v>
      </c>
      <c r="CW129" s="125">
        <f t="shared" si="201"/>
        <v>-4.6234962871174394</v>
      </c>
      <c r="CX129" s="125">
        <f t="shared" si="201"/>
        <v>-3.7914086599046413</v>
      </c>
      <c r="CY129" s="125">
        <f t="shared" si="201"/>
        <v>-2.9536761090157944</v>
      </c>
      <c r="CZ129" s="125">
        <f t="shared" si="201"/>
        <v>-0.11167546075726474</v>
      </c>
      <c r="DA129" s="125">
        <f t="shared" si="201"/>
        <v>7.4330013133782374E-2</v>
      </c>
    </row>
    <row r="130" spans="5:105"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5"/>
      <c r="AH130" s="125"/>
      <c r="AI130" s="125"/>
      <c r="AJ130" s="125"/>
      <c r="AK130" s="125"/>
      <c r="AL130" s="125"/>
      <c r="AM130" s="125"/>
      <c r="AN130" s="125"/>
      <c r="AO130" s="125"/>
      <c r="AP130" s="125"/>
      <c r="AQ130" s="125"/>
      <c r="AR130" s="125"/>
      <c r="AS130" s="125"/>
      <c r="AT130" s="125"/>
      <c r="AU130" s="125"/>
      <c r="AV130" s="125"/>
      <c r="AW130" s="125"/>
      <c r="AX130" s="125"/>
      <c r="AY130" s="125"/>
      <c r="AZ130" s="125"/>
      <c r="BA130" s="125"/>
      <c r="BB130" s="125"/>
      <c r="BC130" s="125"/>
      <c r="BD130" s="125"/>
      <c r="BE130" s="125"/>
      <c r="BF130" s="125"/>
      <c r="BG130" s="125"/>
      <c r="BH130" s="125"/>
      <c r="BI130" s="125"/>
      <c r="BJ130" s="125"/>
      <c r="BK130" s="125"/>
      <c r="BL130" s="125"/>
      <c r="BM130" s="125"/>
      <c r="BN130" s="125"/>
      <c r="BO130" s="125"/>
      <c r="BP130" s="125"/>
      <c r="BQ130" s="125"/>
      <c r="BR130" s="125"/>
      <c r="BS130" s="125"/>
      <c r="BT130" s="125"/>
      <c r="BU130" s="125"/>
      <c r="BV130" s="125"/>
      <c r="BW130" s="125"/>
      <c r="BX130" s="125"/>
      <c r="BY130" s="125"/>
      <c r="BZ130" s="125"/>
      <c r="CA130" s="125"/>
      <c r="CB130" s="125"/>
      <c r="CC130" s="125"/>
      <c r="CD130" s="125"/>
      <c r="CE130" s="125"/>
      <c r="CF130" s="125"/>
      <c r="CG130" s="125"/>
      <c r="CH130" s="125"/>
      <c r="CI130" s="125"/>
      <c r="CJ130" s="125"/>
      <c r="CK130" s="125"/>
      <c r="CL130" s="125"/>
      <c r="CM130" s="125"/>
      <c r="CN130" s="125"/>
      <c r="CO130" s="125"/>
      <c r="CP130" s="125"/>
      <c r="CQ130" s="125"/>
      <c r="CR130" s="125"/>
      <c r="CS130" s="125"/>
      <c r="CT130" s="125"/>
      <c r="CU130" s="125"/>
      <c r="CV130" s="125"/>
      <c r="CW130" s="125"/>
      <c r="CX130" s="125"/>
      <c r="CY130" s="125"/>
      <c r="CZ130" s="125"/>
      <c r="DA130" s="125"/>
    </row>
    <row r="131" spans="5:105"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5"/>
      <c r="AH131" s="125"/>
      <c r="AI131" s="125"/>
      <c r="AJ131" s="125"/>
      <c r="AK131" s="125"/>
      <c r="AL131" s="125"/>
      <c r="AM131" s="125"/>
      <c r="AN131" s="125"/>
      <c r="AO131" s="125"/>
      <c r="AP131" s="125"/>
      <c r="AQ131" s="125"/>
      <c r="AR131" s="125"/>
      <c r="AS131" s="125"/>
      <c r="AT131" s="125"/>
      <c r="AU131" s="125"/>
      <c r="AV131" s="125"/>
      <c r="AW131" s="125"/>
      <c r="AX131" s="125"/>
      <c r="AY131" s="125"/>
      <c r="AZ131" s="125"/>
      <c r="BA131" s="125"/>
      <c r="BB131" s="125"/>
      <c r="BC131" s="125"/>
      <c r="BD131" s="125"/>
      <c r="BE131" s="125"/>
      <c r="BF131" s="125"/>
      <c r="BG131" s="125"/>
      <c r="BH131" s="125"/>
      <c r="BI131" s="125"/>
      <c r="BJ131" s="125"/>
      <c r="BK131" s="125"/>
      <c r="BL131" s="125"/>
      <c r="BM131" s="125"/>
      <c r="BN131" s="125"/>
      <c r="BO131" s="125"/>
      <c r="BP131" s="125"/>
      <c r="BQ131" s="125"/>
      <c r="BR131" s="125"/>
      <c r="BS131" s="125"/>
      <c r="BT131" s="125"/>
      <c r="BU131" s="125"/>
      <c r="BV131" s="125"/>
      <c r="BW131" s="125"/>
      <c r="BX131" s="125"/>
      <c r="BY131" s="125"/>
      <c r="BZ131" s="125"/>
      <c r="CA131" s="125"/>
      <c r="CB131" s="125"/>
      <c r="CC131" s="125"/>
      <c r="CD131" s="125"/>
      <c r="CE131" s="125"/>
      <c r="CF131" s="125"/>
      <c r="CG131" s="125"/>
      <c r="CH131" s="125"/>
      <c r="CI131" s="125"/>
      <c r="CJ131" s="125"/>
      <c r="CK131" s="125"/>
      <c r="CL131" s="125"/>
      <c r="CM131" s="125"/>
      <c r="CN131" s="125"/>
      <c r="CO131" s="125"/>
      <c r="CP131" s="125"/>
      <c r="CQ131" s="125"/>
      <c r="CR131" s="125"/>
      <c r="CS131" s="125"/>
      <c r="CT131" s="125"/>
      <c r="CU131" s="125"/>
      <c r="CV131" s="125"/>
      <c r="CW131" s="125"/>
      <c r="CX131" s="125"/>
      <c r="CY131" s="125"/>
      <c r="CZ131" s="125"/>
      <c r="DA131" s="125"/>
    </row>
    <row r="132" spans="5:105">
      <c r="E132" s="125" t="s">
        <v>81</v>
      </c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5"/>
      <c r="AH132" s="125"/>
      <c r="AI132" s="125"/>
      <c r="AJ132" s="125"/>
      <c r="AK132" s="125"/>
      <c r="AL132" s="125"/>
      <c r="AM132" s="125"/>
      <c r="AN132" s="125"/>
      <c r="AO132" s="125"/>
      <c r="AP132" s="125"/>
      <c r="AQ132" s="125"/>
      <c r="AR132" s="125"/>
      <c r="AS132" s="125"/>
      <c r="AT132" s="125"/>
      <c r="AU132" s="125"/>
      <c r="AV132" s="125"/>
      <c r="AW132" s="125"/>
      <c r="AX132" s="125"/>
      <c r="AY132" s="125"/>
      <c r="AZ132" s="125"/>
      <c r="BA132" s="125"/>
      <c r="BB132" s="125"/>
      <c r="BC132" s="125"/>
      <c r="BD132" s="125"/>
      <c r="BE132" s="125"/>
      <c r="BF132" s="125"/>
      <c r="BG132" s="125"/>
      <c r="BH132" s="125"/>
      <c r="BI132" s="125"/>
      <c r="BJ132" s="125"/>
      <c r="BK132" s="125"/>
      <c r="BL132" s="125"/>
      <c r="BM132" s="125"/>
      <c r="BN132" s="125"/>
      <c r="BO132" s="125"/>
      <c r="BP132" s="125"/>
      <c r="BQ132" s="125"/>
      <c r="BR132" s="125"/>
      <c r="BS132" s="125"/>
      <c r="BT132" s="125"/>
      <c r="BU132" s="125"/>
      <c r="BV132" s="125"/>
      <c r="BW132" s="125"/>
      <c r="BX132" s="125"/>
      <c r="BY132" s="125"/>
      <c r="BZ132" s="125"/>
      <c r="CA132" s="125"/>
      <c r="CB132" s="125"/>
      <c r="CC132" s="125"/>
      <c r="CD132" s="125"/>
      <c r="CE132" s="125"/>
      <c r="CF132" s="125"/>
      <c r="CG132" s="125"/>
      <c r="CH132" s="125"/>
      <c r="CI132" s="125"/>
      <c r="CJ132" s="125"/>
      <c r="CK132" s="125"/>
      <c r="CL132" s="125"/>
      <c r="CM132" s="125"/>
      <c r="CN132" s="125"/>
      <c r="CO132" s="125"/>
      <c r="CP132" s="125"/>
      <c r="CQ132" s="125"/>
      <c r="CR132" s="125"/>
      <c r="CS132" s="125"/>
      <c r="CT132" s="125"/>
      <c r="CU132" s="125"/>
      <c r="CV132" s="125"/>
      <c r="CW132" s="125"/>
      <c r="CX132" s="125"/>
      <c r="CY132" s="125"/>
      <c r="CZ132" s="125"/>
      <c r="DA132" s="125"/>
    </row>
    <row r="133" spans="5:105">
      <c r="E133" s="137" t="s">
        <v>52</v>
      </c>
      <c r="F133" s="133">
        <f t="shared" ref="F133:BQ135" si="202">F11</f>
        <v>108.81167087592205</v>
      </c>
      <c r="G133" s="133">
        <f t="shared" si="202"/>
        <v>76.39908924097108</v>
      </c>
      <c r="H133" s="133">
        <f t="shared" si="202"/>
        <v>39.055271863921504</v>
      </c>
      <c r="I133" s="133">
        <f t="shared" si="202"/>
        <v>7.3823532493042636</v>
      </c>
      <c r="J133" s="133">
        <f t="shared" si="202"/>
        <v>46.985767307464549</v>
      </c>
      <c r="K133" s="133">
        <f t="shared" si="202"/>
        <v>23.989881102867127</v>
      </c>
      <c r="L133" s="133">
        <f t="shared" si="202"/>
        <v>21.69297813870579</v>
      </c>
      <c r="M133" s="133">
        <f t="shared" si="202"/>
        <v>16.957294036184056</v>
      </c>
      <c r="N133" s="133">
        <f t="shared" si="202"/>
        <v>15.362635072832427</v>
      </c>
      <c r="O133" s="133">
        <f t="shared" si="202"/>
        <v>5.5565833024742046</v>
      </c>
      <c r="P133" s="133">
        <f t="shared" si="202"/>
        <v>63.354537307731263</v>
      </c>
      <c r="Q133" s="133">
        <f t="shared" si="202"/>
        <v>34.300715409552112</v>
      </c>
      <c r="R133" s="133">
        <f t="shared" si="202"/>
        <v>44.080789044554308</v>
      </c>
      <c r="S133" s="133">
        <f t="shared" si="202"/>
        <v>15.770442447332361</v>
      </c>
      <c r="T133" s="133">
        <f t="shared" si="202"/>
        <v>48.435370789561858</v>
      </c>
      <c r="U133" s="133">
        <f t="shared" si="202"/>
        <v>46.293434813512604</v>
      </c>
      <c r="V133" s="133">
        <f t="shared" si="202"/>
        <v>18.82341467633146</v>
      </c>
      <c r="W133" s="133">
        <f t="shared" si="202"/>
        <v>20.659068449041911</v>
      </c>
      <c r="X133" s="133">
        <f t="shared" si="202"/>
        <v>26.211608128716875</v>
      </c>
      <c r="Y133" s="133">
        <f t="shared" si="202"/>
        <v>49.715903433281767</v>
      </c>
      <c r="Z133" s="133">
        <f t="shared" si="202"/>
        <v>43.327974399725541</v>
      </c>
      <c r="AA133" s="133">
        <f t="shared" si="202"/>
        <v>81.498070754329405</v>
      </c>
      <c r="AB133" s="133">
        <f t="shared" si="202"/>
        <v>64.239016151279245</v>
      </c>
      <c r="AC133" s="133">
        <f t="shared" si="202"/>
        <v>85.938622622353662</v>
      </c>
      <c r="AD133" s="133">
        <f t="shared" si="202"/>
        <v>87.117814385938772</v>
      </c>
      <c r="AE133" s="133">
        <f t="shared" si="202"/>
        <v>48.841025747782737</v>
      </c>
      <c r="AF133" s="133">
        <f t="shared" si="202"/>
        <v>85.640293063222572</v>
      </c>
      <c r="AG133" s="133">
        <f t="shared" si="202"/>
        <v>46.356333903907462</v>
      </c>
      <c r="AH133" s="133">
        <f t="shared" si="202"/>
        <v>12.383616866357457</v>
      </c>
      <c r="AI133" s="133">
        <f t="shared" si="202"/>
        <v>74.990262159661953</v>
      </c>
      <c r="AJ133" s="133">
        <f t="shared" si="202"/>
        <v>33.507748586858888</v>
      </c>
      <c r="AK133" s="133">
        <f t="shared" si="202"/>
        <v>78.317622775143789</v>
      </c>
      <c r="AL133" s="133">
        <f t="shared" si="202"/>
        <v>50.183401529410034</v>
      </c>
      <c r="AM133" s="133">
        <f t="shared" si="202"/>
        <v>79.666439264963714</v>
      </c>
      <c r="AN133" s="133">
        <f t="shared" si="202"/>
        <v>30.644129153010109</v>
      </c>
      <c r="AO133" s="133">
        <f t="shared" si="202"/>
        <v>12.380337181241636</v>
      </c>
      <c r="AP133" s="133">
        <f t="shared" si="202"/>
        <v>58.553072699374887</v>
      </c>
      <c r="AQ133" s="133">
        <f t="shared" si="202"/>
        <v>16.047315413724302</v>
      </c>
      <c r="AR133" s="133">
        <f t="shared" si="202"/>
        <v>70.084345478067391</v>
      </c>
      <c r="AS133" s="133">
        <f t="shared" si="202"/>
        <v>8.073609234486673</v>
      </c>
      <c r="AT133" s="133">
        <f t="shared" si="202"/>
        <v>17.129121873622566</v>
      </c>
      <c r="AU133" s="133">
        <f t="shared" si="202"/>
        <v>73.325460602809798</v>
      </c>
      <c r="AV133" s="133">
        <f t="shared" si="202"/>
        <v>34.056401779255367</v>
      </c>
      <c r="AW133" s="133">
        <f t="shared" si="202"/>
        <v>39.123096199537471</v>
      </c>
      <c r="AX133" s="133">
        <f t="shared" si="202"/>
        <v>5.3385228420338962</v>
      </c>
      <c r="AY133" s="133">
        <f t="shared" si="202"/>
        <v>22.025715122486581</v>
      </c>
      <c r="AZ133" s="133">
        <f t="shared" si="202"/>
        <v>32.180582419198487</v>
      </c>
      <c r="BA133" s="133">
        <f t="shared" si="202"/>
        <v>37.015910877096658</v>
      </c>
      <c r="BB133" s="133">
        <f t="shared" si="202"/>
        <v>46.706168490678976</v>
      </c>
      <c r="BC133" s="133">
        <f t="shared" si="202"/>
        <v>12.548844659020563</v>
      </c>
      <c r="BD133" s="133">
        <f t="shared" si="202"/>
        <v>18.420332063538297</v>
      </c>
      <c r="BE133" s="133">
        <f t="shared" si="202"/>
        <v>22.32303024739937</v>
      </c>
      <c r="BF133" s="133">
        <f t="shared" si="202"/>
        <v>8.8225007859761302</v>
      </c>
      <c r="BG133" s="133">
        <f t="shared" si="202"/>
        <v>11.586973737073228</v>
      </c>
      <c r="BH133" s="133">
        <f t="shared" si="202"/>
        <v>66.475570755467743</v>
      </c>
      <c r="BI133" s="133">
        <f t="shared" si="202"/>
        <v>57.975198387550357</v>
      </c>
      <c r="BJ133" s="133">
        <f t="shared" si="202"/>
        <v>31.562390637700403</v>
      </c>
      <c r="BK133" s="133">
        <f t="shared" si="202"/>
        <v>17.005269801940521</v>
      </c>
      <c r="BL133" s="133">
        <f t="shared" si="202"/>
        <v>14.199878344920988</v>
      </c>
      <c r="BM133" s="133">
        <f t="shared" si="202"/>
        <v>65.783261454789638</v>
      </c>
      <c r="BN133" s="133">
        <f t="shared" si="202"/>
        <v>72.915576869891495</v>
      </c>
      <c r="BO133" s="133">
        <f t="shared" si="202"/>
        <v>46.73742694276438</v>
      </c>
      <c r="BP133" s="133">
        <f t="shared" si="202"/>
        <v>34.542114027310383</v>
      </c>
      <c r="BQ133" s="133">
        <f t="shared" si="202"/>
        <v>7.8874457899287584</v>
      </c>
      <c r="BR133" s="133">
        <f t="shared" ref="BR133:DA135" si="203">BR11</f>
        <v>18.199309748232093</v>
      </c>
      <c r="BS133" s="133">
        <f t="shared" si="203"/>
        <v>9.2367500923198591</v>
      </c>
      <c r="BT133" s="133">
        <f t="shared" si="203"/>
        <v>9.5044301814110099</v>
      </c>
      <c r="BU133" s="133">
        <f t="shared" si="203"/>
        <v>11.238259610461814</v>
      </c>
      <c r="BV133" s="133">
        <f t="shared" si="203"/>
        <v>27.433615131173426</v>
      </c>
      <c r="BW133" s="133">
        <f t="shared" si="203"/>
        <v>19.263457874137465</v>
      </c>
      <c r="BX133" s="133">
        <f t="shared" si="203"/>
        <v>37.881157480399608</v>
      </c>
      <c r="BY133" s="133">
        <f t="shared" si="203"/>
        <v>6.731613003658472</v>
      </c>
      <c r="BZ133" s="133">
        <f t="shared" si="203"/>
        <v>49.229138054158867</v>
      </c>
      <c r="CA133" s="133">
        <f t="shared" si="203"/>
        <v>19.836091570621853</v>
      </c>
      <c r="CB133" s="133">
        <f t="shared" si="203"/>
        <v>5.0991008987788424</v>
      </c>
      <c r="CC133" s="133">
        <f t="shared" si="203"/>
        <v>6.282644396982473</v>
      </c>
      <c r="CD133" s="133">
        <f t="shared" si="203"/>
        <v>13.858735473196013</v>
      </c>
      <c r="CE133" s="133">
        <f t="shared" si="203"/>
        <v>12.11798504130314</v>
      </c>
      <c r="CF133" s="133">
        <f t="shared" si="203"/>
        <v>12.073255520080481</v>
      </c>
      <c r="CG133" s="133">
        <f t="shared" si="203"/>
        <v>43.853974317107713</v>
      </c>
      <c r="CH133" s="133">
        <f t="shared" si="203"/>
        <v>34.040814843651212</v>
      </c>
      <c r="CI133" s="133">
        <f t="shared" si="203"/>
        <v>13.381580211744888</v>
      </c>
      <c r="CJ133" s="133">
        <f t="shared" si="203"/>
        <v>72.736141267226273</v>
      </c>
      <c r="CK133" s="133">
        <f t="shared" si="203"/>
        <v>45.263533259116848</v>
      </c>
      <c r="CL133" s="133">
        <f t="shared" si="203"/>
        <v>5.2612623816141566</v>
      </c>
      <c r="CM133" s="133">
        <f t="shared" si="203"/>
        <v>11.902117851535298</v>
      </c>
      <c r="CN133" s="133">
        <f t="shared" si="203"/>
        <v>34.952987112531488</v>
      </c>
      <c r="CO133" s="133">
        <f t="shared" si="203"/>
        <v>12.151072123024191</v>
      </c>
      <c r="CP133" s="133">
        <f t="shared" si="203"/>
        <v>33.830135395976761</v>
      </c>
      <c r="CQ133" s="133">
        <f t="shared" si="203"/>
        <v>11.485307807207196</v>
      </c>
      <c r="CR133" s="133">
        <f t="shared" si="203"/>
        <v>16.047103415219002</v>
      </c>
      <c r="CS133" s="133">
        <f t="shared" si="203"/>
        <v>58.971369181738396</v>
      </c>
      <c r="CT133" s="133">
        <f t="shared" si="203"/>
        <v>25.411950691719067</v>
      </c>
      <c r="CU133" s="133">
        <f t="shared" si="203"/>
        <v>39.006030002099749</v>
      </c>
      <c r="CV133" s="133">
        <f t="shared" si="203"/>
        <v>12.514221203819686</v>
      </c>
      <c r="CW133" s="133">
        <f t="shared" si="203"/>
        <v>44.823770776408274</v>
      </c>
      <c r="CX133" s="133">
        <f t="shared" si="203"/>
        <v>59.441230293586344</v>
      </c>
      <c r="CY133" s="133">
        <f t="shared" si="203"/>
        <v>25.185233480952917</v>
      </c>
      <c r="CZ133" s="133">
        <f t="shared" si="203"/>
        <v>42.714107688802017</v>
      </c>
      <c r="DA133" s="133">
        <f t="shared" si="203"/>
        <v>26.797877492957419</v>
      </c>
    </row>
    <row r="134" spans="5:105">
      <c r="E134" s="137" t="s">
        <v>53</v>
      </c>
      <c r="F134" s="133">
        <f t="shared" si="202"/>
        <v>100</v>
      </c>
      <c r="G134" s="133">
        <f t="shared" si="202"/>
        <v>62.652479663216319</v>
      </c>
      <c r="H134" s="133">
        <f t="shared" si="202"/>
        <v>26.178759689837879</v>
      </c>
      <c r="I134" s="133">
        <f t="shared" si="202"/>
        <v>5.6453408801327267</v>
      </c>
      <c r="J134" s="133">
        <f t="shared" si="202"/>
        <v>36.342012177623502</v>
      </c>
      <c r="K134" s="133">
        <f t="shared" si="202"/>
        <v>15.07435359893703</v>
      </c>
      <c r="L134" s="133">
        <f t="shared" si="202"/>
        <v>16.739312102090729</v>
      </c>
      <c r="M134" s="133">
        <f t="shared" si="202"/>
        <v>10.395132298147137</v>
      </c>
      <c r="N134" s="133">
        <f t="shared" si="202"/>
        <v>9.829930274024246</v>
      </c>
      <c r="O134" s="133">
        <f t="shared" si="202"/>
        <v>4.9033187279208237</v>
      </c>
      <c r="P134" s="133">
        <f t="shared" si="202"/>
        <v>43.567563567123315</v>
      </c>
      <c r="Q134" s="133">
        <f t="shared" si="202"/>
        <v>22.896145688719649</v>
      </c>
      <c r="R134" s="133">
        <f t="shared" si="202"/>
        <v>29.138089594056154</v>
      </c>
      <c r="S134" s="133">
        <f t="shared" si="202"/>
        <v>11.449438136363517</v>
      </c>
      <c r="T134" s="133">
        <f t="shared" si="202"/>
        <v>42.49199045759093</v>
      </c>
      <c r="U134" s="133">
        <f t="shared" si="202"/>
        <v>38.131162711224128</v>
      </c>
      <c r="V134" s="133">
        <f t="shared" si="202"/>
        <v>14.257232612390929</v>
      </c>
      <c r="W134" s="133">
        <f t="shared" si="202"/>
        <v>16.105789140406625</v>
      </c>
      <c r="X134" s="133">
        <f t="shared" si="202"/>
        <v>21.366930615798619</v>
      </c>
      <c r="Y134" s="133">
        <f t="shared" si="202"/>
        <v>39.664417620756879</v>
      </c>
      <c r="Z134" s="133">
        <f t="shared" si="202"/>
        <v>31.660916563455924</v>
      </c>
      <c r="AA134" s="133">
        <f t="shared" si="202"/>
        <v>65.724526073007311</v>
      </c>
      <c r="AB134" s="133">
        <f t="shared" si="202"/>
        <v>50.422889473562797</v>
      </c>
      <c r="AC134" s="133">
        <f t="shared" si="202"/>
        <v>77.192812357883227</v>
      </c>
      <c r="AD134" s="133">
        <f t="shared" si="202"/>
        <v>75.878694346338747</v>
      </c>
      <c r="AE134" s="133">
        <f t="shared" si="202"/>
        <v>40.519258885956617</v>
      </c>
      <c r="AF134" s="133">
        <f t="shared" si="202"/>
        <v>73.691706982541447</v>
      </c>
      <c r="AG134" s="133">
        <f t="shared" si="202"/>
        <v>42.09757829454108</v>
      </c>
      <c r="AH134" s="133">
        <f t="shared" si="202"/>
        <v>11.351987943779458</v>
      </c>
      <c r="AI134" s="133">
        <f t="shared" si="202"/>
        <v>67.063573703357989</v>
      </c>
      <c r="AJ134" s="133">
        <f t="shared" si="202"/>
        <v>30.09751510286975</v>
      </c>
      <c r="AK134" s="133">
        <f t="shared" si="202"/>
        <v>70.91605831224993</v>
      </c>
      <c r="AL134" s="133">
        <f t="shared" si="202"/>
        <v>45.863196553856405</v>
      </c>
      <c r="AM134" s="133">
        <f t="shared" si="202"/>
        <v>72.993436865550393</v>
      </c>
      <c r="AN134" s="133">
        <f t="shared" si="202"/>
        <v>28.67342902616863</v>
      </c>
      <c r="AO134" s="133">
        <f t="shared" si="202"/>
        <v>11.732843238747412</v>
      </c>
      <c r="AP134" s="133">
        <f t="shared" si="202"/>
        <v>53.660928100680231</v>
      </c>
      <c r="AQ134" s="133">
        <f t="shared" si="202"/>
        <v>15.700321760124671</v>
      </c>
      <c r="AR134" s="133">
        <f t="shared" si="202"/>
        <v>65.44298242625932</v>
      </c>
      <c r="AS134" s="133">
        <f t="shared" si="202"/>
        <v>7.5996596062912518</v>
      </c>
      <c r="AT134" s="133">
        <f t="shared" si="202"/>
        <v>16.462195655102114</v>
      </c>
      <c r="AU134" s="133">
        <f t="shared" si="202"/>
        <v>68.852400194388068</v>
      </c>
      <c r="AV134" s="133">
        <f t="shared" si="202"/>
        <v>37.116790672174588</v>
      </c>
      <c r="AW134" s="133">
        <f t="shared" si="202"/>
        <v>42.176272676892864</v>
      </c>
      <c r="AX134" s="133">
        <f t="shared" si="202"/>
        <v>4.9513221108533978</v>
      </c>
      <c r="AY134" s="133">
        <f t="shared" si="202"/>
        <v>24.619141280952174</v>
      </c>
      <c r="AZ134" s="133">
        <f t="shared" si="202"/>
        <v>33.510682994308652</v>
      </c>
      <c r="BA134" s="133">
        <f t="shared" si="202"/>
        <v>36.783461699230593</v>
      </c>
      <c r="BB134" s="133">
        <f t="shared" si="202"/>
        <v>50.126506452415789</v>
      </c>
      <c r="BC134" s="133">
        <f t="shared" si="202"/>
        <v>14.138014502840393</v>
      </c>
      <c r="BD134" s="133">
        <f t="shared" si="202"/>
        <v>20.275726192318373</v>
      </c>
      <c r="BE134" s="133">
        <f t="shared" si="202"/>
        <v>23.61604196319146</v>
      </c>
      <c r="BF134" s="133">
        <f t="shared" si="202"/>
        <v>10.72267268601121</v>
      </c>
      <c r="BG134" s="133">
        <f t="shared" si="202"/>
        <v>16.359810271650762</v>
      </c>
      <c r="BH134" s="133">
        <f t="shared" si="202"/>
        <v>66.910296274739139</v>
      </c>
      <c r="BI134" s="133">
        <f t="shared" si="202"/>
        <v>59.378834395354872</v>
      </c>
      <c r="BJ134" s="133">
        <f t="shared" si="202"/>
        <v>38.656682844945436</v>
      </c>
      <c r="BK134" s="133">
        <f t="shared" si="202"/>
        <v>22.957133949979699</v>
      </c>
      <c r="BL134" s="133">
        <f t="shared" si="202"/>
        <v>19.51627377437228</v>
      </c>
      <c r="BM134" s="133">
        <f t="shared" si="202"/>
        <v>65.989277278646824</v>
      </c>
      <c r="BN134" s="133">
        <f t="shared" si="202"/>
        <v>68.832285463996925</v>
      </c>
      <c r="BO134" s="133">
        <f t="shared" si="202"/>
        <v>46.729296637199845</v>
      </c>
      <c r="BP134" s="133">
        <f t="shared" si="202"/>
        <v>32.688796737906209</v>
      </c>
      <c r="BQ134" s="133">
        <f t="shared" si="202"/>
        <v>7.2122661922786495</v>
      </c>
      <c r="BR134" s="133">
        <f t="shared" si="203"/>
        <v>22.977224002800671</v>
      </c>
      <c r="BS134" s="133">
        <f t="shared" si="203"/>
        <v>10.009682144336157</v>
      </c>
      <c r="BT134" s="133">
        <f t="shared" si="203"/>
        <v>11.903945754180196</v>
      </c>
      <c r="BU134" s="133">
        <f t="shared" si="203"/>
        <v>13.924825954755553</v>
      </c>
      <c r="BV134" s="133">
        <f t="shared" si="203"/>
        <v>28.487812365709228</v>
      </c>
      <c r="BW134" s="133">
        <f t="shared" si="203"/>
        <v>18.437631117965573</v>
      </c>
      <c r="BX134" s="133">
        <f t="shared" si="203"/>
        <v>38.95211517637042</v>
      </c>
      <c r="BY134" s="133">
        <f t="shared" si="203"/>
        <v>6.9945779189855122</v>
      </c>
      <c r="BZ134" s="133">
        <f t="shared" si="203"/>
        <v>46.399330511049058</v>
      </c>
      <c r="CA134" s="133">
        <f t="shared" si="203"/>
        <v>21.578492100829436</v>
      </c>
      <c r="CB134" s="133">
        <f t="shared" si="203"/>
        <v>4.7421599426240029</v>
      </c>
      <c r="CC134" s="133">
        <f t="shared" si="203"/>
        <v>6.213921543887297</v>
      </c>
      <c r="CD134" s="133">
        <f t="shared" si="203"/>
        <v>13.499267115033252</v>
      </c>
      <c r="CE134" s="133">
        <f t="shared" si="203"/>
        <v>11.772620016278342</v>
      </c>
      <c r="CF134" s="133">
        <f t="shared" si="203"/>
        <v>11.420971878519369</v>
      </c>
      <c r="CG134" s="133">
        <f t="shared" si="203"/>
        <v>40.810766227540213</v>
      </c>
      <c r="CH134" s="133">
        <f t="shared" si="203"/>
        <v>30.29476492784573</v>
      </c>
      <c r="CI134" s="133">
        <f t="shared" si="203"/>
        <v>11.150356877855655</v>
      </c>
      <c r="CJ134" s="133">
        <f t="shared" si="203"/>
        <v>66.276153160723879</v>
      </c>
      <c r="CK134" s="133">
        <f t="shared" si="203"/>
        <v>40.398380533383488</v>
      </c>
      <c r="CL134" s="133">
        <f t="shared" si="203"/>
        <v>4.5748725222841049</v>
      </c>
      <c r="CM134" s="133">
        <f t="shared" si="203"/>
        <v>10.24885460081571</v>
      </c>
      <c r="CN134" s="133">
        <f t="shared" si="203"/>
        <v>29.50265785640655</v>
      </c>
      <c r="CO134" s="133">
        <f t="shared" si="203"/>
        <v>9.0003936601787711</v>
      </c>
      <c r="CP134" s="133">
        <f t="shared" si="203"/>
        <v>26.20705898938553</v>
      </c>
      <c r="CQ134" s="133">
        <f t="shared" si="203"/>
        <v>8.4997608851340161</v>
      </c>
      <c r="CR134" s="133">
        <f t="shared" si="203"/>
        <v>11.504939245359139</v>
      </c>
      <c r="CS134" s="133">
        <f t="shared" si="203"/>
        <v>53.032454828997288</v>
      </c>
      <c r="CT134" s="133">
        <f t="shared" si="203"/>
        <v>20.462630380622404</v>
      </c>
      <c r="CU134" s="133">
        <f t="shared" si="203"/>
        <v>32.572528900116275</v>
      </c>
      <c r="CV134" s="133">
        <f t="shared" si="203"/>
        <v>8.863555158729584</v>
      </c>
      <c r="CW134" s="133">
        <f t="shared" si="203"/>
        <v>35.871207037655623</v>
      </c>
      <c r="CX134" s="133">
        <f t="shared" si="203"/>
        <v>48.465953031188086</v>
      </c>
      <c r="CY134" s="133">
        <f t="shared" si="203"/>
        <v>18.144504739900327</v>
      </c>
      <c r="CZ134" s="133">
        <f t="shared" si="203"/>
        <v>29.264552129754321</v>
      </c>
      <c r="DA134" s="133">
        <f t="shared" si="203"/>
        <v>17.14640575746553</v>
      </c>
    </row>
    <row r="135" spans="5:105">
      <c r="E135" s="137" t="s">
        <v>55</v>
      </c>
      <c r="F135" s="133">
        <f t="shared" si="202"/>
        <v>47.534688041226943</v>
      </c>
      <c r="G135" s="133">
        <f t="shared" si="202"/>
        <v>29.055096824766462</v>
      </c>
      <c r="H135" s="133">
        <f t="shared" si="202"/>
        <v>10.686061136627156</v>
      </c>
      <c r="I135" s="133">
        <f t="shared" si="202"/>
        <v>2.635937017444022</v>
      </c>
      <c r="J135" s="133">
        <f t="shared" si="202"/>
        <v>13.730017889836025</v>
      </c>
      <c r="K135" s="133">
        <f t="shared" si="202"/>
        <v>4.3116674146907048</v>
      </c>
      <c r="L135" s="133">
        <f t="shared" si="202"/>
        <v>6.0221795906385394</v>
      </c>
      <c r="M135" s="133">
        <f t="shared" si="202"/>
        <v>2.6404560328252065</v>
      </c>
      <c r="N135" s="133">
        <f t="shared" si="202"/>
        <v>2.7146412582418868</v>
      </c>
      <c r="O135" s="133">
        <f t="shared" si="202"/>
        <v>2.306899422978189</v>
      </c>
      <c r="P135" s="133">
        <f t="shared" si="202"/>
        <v>8.6025478016677095</v>
      </c>
      <c r="Q135" s="133">
        <f t="shared" si="202"/>
        <v>3.4385813714200486</v>
      </c>
      <c r="R135" s="133">
        <f t="shared" si="202"/>
        <v>4.1396504987292353</v>
      </c>
      <c r="S135" s="133">
        <f t="shared" si="202"/>
        <v>2.2854030827997973</v>
      </c>
      <c r="T135" s="133">
        <f t="shared" si="202"/>
        <v>17.01094477469421</v>
      </c>
      <c r="U135" s="133">
        <f t="shared" si="202"/>
        <v>12.726531726946167</v>
      </c>
      <c r="V135" s="133">
        <f t="shared" si="202"/>
        <v>2.6578315749505794</v>
      </c>
      <c r="W135" s="133">
        <f t="shared" si="202"/>
        <v>2.9040730279533444</v>
      </c>
      <c r="X135" s="133">
        <f t="shared" si="202"/>
        <v>5.6076007275888404</v>
      </c>
      <c r="Y135" s="133">
        <f t="shared" si="202"/>
        <v>5.9964258559328387</v>
      </c>
      <c r="Z135" s="133">
        <f t="shared" si="202"/>
        <v>2.0532892018966349</v>
      </c>
      <c r="AA135" s="133">
        <f t="shared" si="202"/>
        <v>8.4679967587679084</v>
      </c>
      <c r="AB135" s="133">
        <f t="shared" si="202"/>
        <v>5.3028387435278068</v>
      </c>
      <c r="AC135" s="133">
        <f t="shared" si="202"/>
        <v>25.967366557255289</v>
      </c>
      <c r="AD135" s="133">
        <f t="shared" si="202"/>
        <v>14.089698760973038</v>
      </c>
      <c r="AE135" s="133">
        <f t="shared" si="202"/>
        <v>2.6679514812258875</v>
      </c>
      <c r="AF135" s="133">
        <f t="shared" si="202"/>
        <v>10.051296069627808</v>
      </c>
      <c r="AG135" s="133">
        <f t="shared" si="202"/>
        <v>12.27291751971612</v>
      </c>
      <c r="AH135" s="133">
        <f t="shared" si="202"/>
        <v>2.2990422313768968</v>
      </c>
      <c r="AI135" s="133">
        <f t="shared" si="202"/>
        <v>9.0690810904648274</v>
      </c>
      <c r="AJ135" s="133">
        <f t="shared" si="202"/>
        <v>7.3179702291485071</v>
      </c>
      <c r="AK135" s="133">
        <f t="shared" si="202"/>
        <v>9.909161927250377</v>
      </c>
      <c r="AL135" s="133">
        <f t="shared" si="202"/>
        <v>4.0013980659293704</v>
      </c>
      <c r="AM135" s="133">
        <f t="shared" si="202"/>
        <v>18.119252300671395</v>
      </c>
      <c r="AN135" s="133">
        <f t="shared" si="202"/>
        <v>2.6897499228376223</v>
      </c>
      <c r="AO135" s="133">
        <f t="shared" si="202"/>
        <v>2.450185964669497</v>
      </c>
      <c r="AP135" s="133">
        <f t="shared" si="202"/>
        <v>22.467297693176913</v>
      </c>
      <c r="AQ135" s="133">
        <f t="shared" si="202"/>
        <v>2.8215591691321809</v>
      </c>
      <c r="AR135" s="133">
        <f t="shared" si="202"/>
        <v>19.649038819737189</v>
      </c>
      <c r="AS135" s="133">
        <f t="shared" si="202"/>
        <v>2.6522719107341572</v>
      </c>
      <c r="AT135" s="133">
        <f t="shared" si="202"/>
        <v>4.4818469338482227</v>
      </c>
      <c r="AU135" s="133">
        <f t="shared" si="202"/>
        <v>26.942017067585468</v>
      </c>
      <c r="AV135" s="133">
        <f t="shared" si="202"/>
        <v>4.173460114574179</v>
      </c>
      <c r="AW135" s="133">
        <f t="shared" si="202"/>
        <v>4.4001049354695132</v>
      </c>
      <c r="AX135" s="133">
        <f t="shared" si="202"/>
        <v>2.2440284188673192</v>
      </c>
      <c r="AY135" s="133">
        <f t="shared" si="202"/>
        <v>4.358640336758592</v>
      </c>
      <c r="AZ135" s="133">
        <f t="shared" si="202"/>
        <v>8.466577895173975</v>
      </c>
      <c r="BA135" s="133">
        <f t="shared" si="202"/>
        <v>12.155067245918771</v>
      </c>
      <c r="BB135" s="133">
        <f t="shared" si="202"/>
        <v>14.87514545841597</v>
      </c>
      <c r="BC135" s="133">
        <f t="shared" si="202"/>
        <v>3.3513528525212068</v>
      </c>
      <c r="BD135" s="133">
        <f t="shared" si="202"/>
        <v>7.3649726803592914</v>
      </c>
      <c r="BE135" s="133">
        <f t="shared" si="202"/>
        <v>9.2585825291726138</v>
      </c>
      <c r="BF135" s="133">
        <f t="shared" si="202"/>
        <v>3.4997842644292398</v>
      </c>
      <c r="BG135" s="133">
        <f t="shared" si="202"/>
        <v>6.2231270631061228</v>
      </c>
      <c r="BH135" s="133">
        <f t="shared" si="202"/>
        <v>32.138960131580674</v>
      </c>
      <c r="BI135" s="133">
        <f t="shared" si="202"/>
        <v>29.652365017431833</v>
      </c>
      <c r="BJ135" s="133">
        <f t="shared" si="202"/>
        <v>19.905570452971219</v>
      </c>
      <c r="BK135" s="133">
        <f t="shared" si="202"/>
        <v>12.215106142888107</v>
      </c>
      <c r="BL135" s="133">
        <f t="shared" si="202"/>
        <v>11.332527554433472</v>
      </c>
      <c r="BM135" s="133">
        <f t="shared" si="202"/>
        <v>33.252317076095068</v>
      </c>
      <c r="BN135" s="133">
        <f t="shared" si="202"/>
        <v>34.454406062606829</v>
      </c>
      <c r="BO135" s="133">
        <f t="shared" si="202"/>
        <v>25.271822368182107</v>
      </c>
      <c r="BP135" s="133">
        <f t="shared" si="202"/>
        <v>17.14004653240757</v>
      </c>
      <c r="BQ135" s="133">
        <f t="shared" si="202"/>
        <v>3.6240903018628106</v>
      </c>
      <c r="BR135" s="133">
        <f t="shared" si="203"/>
        <v>18.11267407118412</v>
      </c>
      <c r="BS135" s="133">
        <f t="shared" si="203"/>
        <v>6.744310218327576</v>
      </c>
      <c r="BT135" s="133">
        <f t="shared" si="203"/>
        <v>11.23197524798505</v>
      </c>
      <c r="BU135" s="133">
        <f t="shared" si="203"/>
        <v>13.61597880799329</v>
      </c>
      <c r="BV135" s="133">
        <f t="shared" si="203"/>
        <v>20.864509965803219</v>
      </c>
      <c r="BW135" s="133">
        <f t="shared" si="203"/>
        <v>11.768742833527142</v>
      </c>
      <c r="BX135" s="133">
        <f t="shared" si="203"/>
        <v>32.794188649109572</v>
      </c>
      <c r="BY135" s="133">
        <f t="shared" si="203"/>
        <v>8.1550184279859046</v>
      </c>
      <c r="BZ135" s="133">
        <f t="shared" si="203"/>
        <v>25.738571265547247</v>
      </c>
      <c r="CA135" s="133">
        <f t="shared" si="203"/>
        <v>25.900802451638761</v>
      </c>
      <c r="CB135" s="133">
        <f t="shared" si="203"/>
        <v>2.5840063512952471</v>
      </c>
      <c r="CC135" s="133">
        <f t="shared" si="203"/>
        <v>7.762691870826437</v>
      </c>
      <c r="CD135" s="133">
        <f t="shared" si="203"/>
        <v>21.662178514896468</v>
      </c>
      <c r="CE135" s="133">
        <f t="shared" si="203"/>
        <v>13.300428749669413</v>
      </c>
      <c r="CF135" s="133">
        <f t="shared" si="203"/>
        <v>19.231218576762416</v>
      </c>
      <c r="CG135" s="133">
        <f t="shared" si="203"/>
        <v>30.399726882562394</v>
      </c>
      <c r="CH135" s="133">
        <f t="shared" si="203"/>
        <v>26.499193853252692</v>
      </c>
      <c r="CI135" s="133">
        <f t="shared" si="203"/>
        <v>14.975875349066079</v>
      </c>
      <c r="CJ135" s="133">
        <f t="shared" si="203"/>
        <v>37.026493636401852</v>
      </c>
      <c r="CK135" s="133">
        <f t="shared" si="203"/>
        <v>27.314048033767769</v>
      </c>
      <c r="CL135" s="133">
        <f t="shared" si="203"/>
        <v>2.8668984160121305</v>
      </c>
      <c r="CM135" s="133">
        <f t="shared" si="203"/>
        <v>7.774990033967085</v>
      </c>
      <c r="CN135" s="133">
        <f t="shared" si="203"/>
        <v>25.689254901932973</v>
      </c>
      <c r="CO135" s="133">
        <f t="shared" si="203"/>
        <v>10.337794792197835</v>
      </c>
      <c r="CP135" s="133">
        <f t="shared" si="203"/>
        <v>20.751999024419366</v>
      </c>
      <c r="CQ135" s="133">
        <f t="shared" si="203"/>
        <v>7.8138715407322561</v>
      </c>
      <c r="CR135" s="133">
        <f t="shared" si="203"/>
        <v>9.9448804033246461</v>
      </c>
      <c r="CS135" s="133">
        <f t="shared" si="203"/>
        <v>27.354935363818459</v>
      </c>
      <c r="CT135" s="133">
        <f t="shared" si="203"/>
        <v>13.652885061962905</v>
      </c>
      <c r="CU135" s="133">
        <f t="shared" si="203"/>
        <v>19.041621273431755</v>
      </c>
      <c r="CV135" s="133">
        <f t="shared" si="203"/>
        <v>6.510995923924443</v>
      </c>
      <c r="CW135" s="133">
        <f t="shared" si="203"/>
        <v>21.214451346250414</v>
      </c>
      <c r="CX135" s="133">
        <f t="shared" si="203"/>
        <v>26.570821152451128</v>
      </c>
      <c r="CY135" s="133">
        <f t="shared" si="203"/>
        <v>9.975726786727078</v>
      </c>
      <c r="CZ135" s="133">
        <f t="shared" si="203"/>
        <v>14.544290592311716</v>
      </c>
      <c r="DA135" s="133">
        <f t="shared" si="203"/>
        <v>8.672775369559</v>
      </c>
    </row>
    <row r="136" spans="5:105">
      <c r="E136" s="137" t="s">
        <v>125</v>
      </c>
      <c r="F136" s="133">
        <f t="shared" ref="F136:BQ138" si="204">$F11</f>
        <v>108.81167087592205</v>
      </c>
      <c r="G136" s="133">
        <f t="shared" si="204"/>
        <v>108.81167087592205</v>
      </c>
      <c r="H136" s="133">
        <f t="shared" si="204"/>
        <v>108.81167087592205</v>
      </c>
      <c r="I136" s="133">
        <f t="shared" si="204"/>
        <v>108.81167087592205</v>
      </c>
      <c r="J136" s="133">
        <f t="shared" si="204"/>
        <v>108.81167087592205</v>
      </c>
      <c r="K136" s="133">
        <f t="shared" si="204"/>
        <v>108.81167087592205</v>
      </c>
      <c r="L136" s="133">
        <f t="shared" si="204"/>
        <v>108.81167087592205</v>
      </c>
      <c r="M136" s="133">
        <f t="shared" si="204"/>
        <v>108.81167087592205</v>
      </c>
      <c r="N136" s="133">
        <f t="shared" si="204"/>
        <v>108.81167087592205</v>
      </c>
      <c r="O136" s="133">
        <f t="shared" si="204"/>
        <v>108.81167087592205</v>
      </c>
      <c r="P136" s="133">
        <f t="shared" si="204"/>
        <v>108.81167087592205</v>
      </c>
      <c r="Q136" s="133">
        <f t="shared" si="204"/>
        <v>108.81167087592205</v>
      </c>
      <c r="R136" s="133">
        <f t="shared" si="204"/>
        <v>108.81167087592205</v>
      </c>
      <c r="S136" s="133">
        <f t="shared" si="204"/>
        <v>108.81167087592205</v>
      </c>
      <c r="T136" s="133">
        <f t="shared" si="204"/>
        <v>108.81167087592205</v>
      </c>
      <c r="U136" s="133">
        <f t="shared" si="204"/>
        <v>108.81167087592205</v>
      </c>
      <c r="V136" s="133">
        <f t="shared" si="204"/>
        <v>108.81167087592205</v>
      </c>
      <c r="W136" s="133">
        <f t="shared" si="204"/>
        <v>108.81167087592205</v>
      </c>
      <c r="X136" s="133">
        <f t="shared" si="204"/>
        <v>108.81167087592205</v>
      </c>
      <c r="Y136" s="133">
        <f t="shared" si="204"/>
        <v>108.81167087592205</v>
      </c>
      <c r="Z136" s="133">
        <f t="shared" si="204"/>
        <v>108.81167087592205</v>
      </c>
      <c r="AA136" s="133">
        <f t="shared" si="204"/>
        <v>108.81167087592205</v>
      </c>
      <c r="AB136" s="133">
        <f t="shared" si="204"/>
        <v>108.81167087592205</v>
      </c>
      <c r="AC136" s="133">
        <f t="shared" si="204"/>
        <v>108.81167087592205</v>
      </c>
      <c r="AD136" s="133">
        <f t="shared" si="204"/>
        <v>108.81167087592205</v>
      </c>
      <c r="AE136" s="133">
        <f t="shared" si="204"/>
        <v>108.81167087592205</v>
      </c>
      <c r="AF136" s="133">
        <f t="shared" si="204"/>
        <v>108.81167087592205</v>
      </c>
      <c r="AG136" s="133">
        <f t="shared" si="204"/>
        <v>108.81167087592205</v>
      </c>
      <c r="AH136" s="133">
        <f t="shared" si="204"/>
        <v>108.81167087592205</v>
      </c>
      <c r="AI136" s="133">
        <f t="shared" si="204"/>
        <v>108.81167087592205</v>
      </c>
      <c r="AJ136" s="133">
        <f t="shared" si="204"/>
        <v>108.81167087592205</v>
      </c>
      <c r="AK136" s="133">
        <f t="shared" si="204"/>
        <v>108.81167087592205</v>
      </c>
      <c r="AL136" s="133">
        <f t="shared" si="204"/>
        <v>108.81167087592205</v>
      </c>
      <c r="AM136" s="133">
        <f t="shared" si="204"/>
        <v>108.81167087592205</v>
      </c>
      <c r="AN136" s="133">
        <f t="shared" si="204"/>
        <v>108.81167087592205</v>
      </c>
      <c r="AO136" s="133">
        <f t="shared" si="204"/>
        <v>108.81167087592205</v>
      </c>
      <c r="AP136" s="133">
        <f t="shared" si="204"/>
        <v>108.81167087592205</v>
      </c>
      <c r="AQ136" s="133">
        <f t="shared" si="204"/>
        <v>108.81167087592205</v>
      </c>
      <c r="AR136" s="133">
        <f t="shared" si="204"/>
        <v>108.81167087592205</v>
      </c>
      <c r="AS136" s="133">
        <f t="shared" si="204"/>
        <v>108.81167087592205</v>
      </c>
      <c r="AT136" s="133">
        <f t="shared" si="204"/>
        <v>108.81167087592205</v>
      </c>
      <c r="AU136" s="133">
        <f t="shared" si="204"/>
        <v>108.81167087592205</v>
      </c>
      <c r="AV136" s="133">
        <f t="shared" si="204"/>
        <v>108.81167087592205</v>
      </c>
      <c r="AW136" s="133">
        <f t="shared" si="204"/>
        <v>108.81167087592205</v>
      </c>
      <c r="AX136" s="133">
        <f t="shared" si="204"/>
        <v>108.81167087592205</v>
      </c>
      <c r="AY136" s="133">
        <f t="shared" si="204"/>
        <v>108.81167087592205</v>
      </c>
      <c r="AZ136" s="133">
        <f t="shared" si="204"/>
        <v>108.81167087592205</v>
      </c>
      <c r="BA136" s="133">
        <f t="shared" si="204"/>
        <v>108.81167087592205</v>
      </c>
      <c r="BB136" s="133">
        <f t="shared" si="204"/>
        <v>108.81167087592205</v>
      </c>
      <c r="BC136" s="133">
        <f t="shared" si="204"/>
        <v>108.81167087592205</v>
      </c>
      <c r="BD136" s="133">
        <f t="shared" si="204"/>
        <v>108.81167087592205</v>
      </c>
      <c r="BE136" s="133">
        <f t="shared" si="204"/>
        <v>108.81167087592205</v>
      </c>
      <c r="BF136" s="133">
        <f t="shared" si="204"/>
        <v>108.81167087592205</v>
      </c>
      <c r="BG136" s="133">
        <f t="shared" si="204"/>
        <v>108.81167087592205</v>
      </c>
      <c r="BH136" s="133">
        <f t="shared" si="204"/>
        <v>108.81167087592205</v>
      </c>
      <c r="BI136" s="133">
        <f t="shared" si="204"/>
        <v>108.81167087592205</v>
      </c>
      <c r="BJ136" s="133">
        <f t="shared" si="204"/>
        <v>108.81167087592205</v>
      </c>
      <c r="BK136" s="133">
        <f t="shared" si="204"/>
        <v>108.81167087592205</v>
      </c>
      <c r="BL136" s="133">
        <f t="shared" si="204"/>
        <v>108.81167087592205</v>
      </c>
      <c r="BM136" s="133">
        <f t="shared" si="204"/>
        <v>108.81167087592205</v>
      </c>
      <c r="BN136" s="133">
        <f t="shared" si="204"/>
        <v>108.81167087592205</v>
      </c>
      <c r="BO136" s="133">
        <f t="shared" si="204"/>
        <v>108.81167087592205</v>
      </c>
      <c r="BP136" s="133">
        <f t="shared" si="204"/>
        <v>108.81167087592205</v>
      </c>
      <c r="BQ136" s="133">
        <f t="shared" si="204"/>
        <v>108.81167087592205</v>
      </c>
      <c r="BR136" s="133">
        <f t="shared" ref="BR136:DA138" si="205">$F11</f>
        <v>108.81167087592205</v>
      </c>
      <c r="BS136" s="133">
        <f t="shared" si="205"/>
        <v>108.81167087592205</v>
      </c>
      <c r="BT136" s="133">
        <f t="shared" si="205"/>
        <v>108.81167087592205</v>
      </c>
      <c r="BU136" s="133">
        <f t="shared" si="205"/>
        <v>108.81167087592205</v>
      </c>
      <c r="BV136" s="133">
        <f t="shared" si="205"/>
        <v>108.81167087592205</v>
      </c>
      <c r="BW136" s="133">
        <f t="shared" si="205"/>
        <v>108.81167087592205</v>
      </c>
      <c r="BX136" s="133">
        <f t="shared" si="205"/>
        <v>108.81167087592205</v>
      </c>
      <c r="BY136" s="133">
        <f t="shared" si="205"/>
        <v>108.81167087592205</v>
      </c>
      <c r="BZ136" s="133">
        <f t="shared" si="205"/>
        <v>108.81167087592205</v>
      </c>
      <c r="CA136" s="133">
        <f t="shared" si="205"/>
        <v>108.81167087592205</v>
      </c>
      <c r="CB136" s="133">
        <f t="shared" si="205"/>
        <v>108.81167087592205</v>
      </c>
      <c r="CC136" s="133">
        <f t="shared" si="205"/>
        <v>108.81167087592205</v>
      </c>
      <c r="CD136" s="133">
        <f t="shared" si="205"/>
        <v>108.81167087592205</v>
      </c>
      <c r="CE136" s="133">
        <f t="shared" si="205"/>
        <v>108.81167087592205</v>
      </c>
      <c r="CF136" s="133">
        <f t="shared" si="205"/>
        <v>108.81167087592205</v>
      </c>
      <c r="CG136" s="133">
        <f t="shared" si="205"/>
        <v>108.81167087592205</v>
      </c>
      <c r="CH136" s="133">
        <f t="shared" si="205"/>
        <v>108.81167087592205</v>
      </c>
      <c r="CI136" s="133">
        <f t="shared" si="205"/>
        <v>108.81167087592205</v>
      </c>
      <c r="CJ136" s="133">
        <f t="shared" si="205"/>
        <v>108.81167087592205</v>
      </c>
      <c r="CK136" s="133">
        <f t="shared" si="205"/>
        <v>108.81167087592205</v>
      </c>
      <c r="CL136" s="133">
        <f t="shared" si="205"/>
        <v>108.81167087592205</v>
      </c>
      <c r="CM136" s="133">
        <f t="shared" si="205"/>
        <v>108.81167087592205</v>
      </c>
      <c r="CN136" s="133">
        <f t="shared" si="205"/>
        <v>108.81167087592205</v>
      </c>
      <c r="CO136" s="133">
        <f t="shared" si="205"/>
        <v>108.81167087592205</v>
      </c>
      <c r="CP136" s="133">
        <f t="shared" si="205"/>
        <v>108.81167087592205</v>
      </c>
      <c r="CQ136" s="133">
        <f t="shared" si="205"/>
        <v>108.81167087592205</v>
      </c>
      <c r="CR136" s="133">
        <f t="shared" si="205"/>
        <v>108.81167087592205</v>
      </c>
      <c r="CS136" s="133">
        <f t="shared" si="205"/>
        <v>108.81167087592205</v>
      </c>
      <c r="CT136" s="133">
        <f t="shared" si="205"/>
        <v>108.81167087592205</v>
      </c>
      <c r="CU136" s="133">
        <f t="shared" si="205"/>
        <v>108.81167087592205</v>
      </c>
      <c r="CV136" s="133">
        <f t="shared" si="205"/>
        <v>108.81167087592205</v>
      </c>
      <c r="CW136" s="133">
        <f t="shared" si="205"/>
        <v>108.81167087592205</v>
      </c>
      <c r="CX136" s="133">
        <f t="shared" si="205"/>
        <v>108.81167087592205</v>
      </c>
      <c r="CY136" s="133">
        <f t="shared" si="205"/>
        <v>108.81167087592205</v>
      </c>
      <c r="CZ136" s="133">
        <f t="shared" si="205"/>
        <v>108.81167087592205</v>
      </c>
      <c r="DA136" s="133">
        <f t="shared" si="205"/>
        <v>108.81167087592205</v>
      </c>
    </row>
    <row r="137" spans="5:105">
      <c r="E137" s="137" t="s">
        <v>126</v>
      </c>
      <c r="F137" s="133">
        <f t="shared" si="204"/>
        <v>100</v>
      </c>
      <c r="G137" s="133">
        <f t="shared" si="204"/>
        <v>100</v>
      </c>
      <c r="H137" s="133">
        <f t="shared" si="204"/>
        <v>100</v>
      </c>
      <c r="I137" s="133">
        <f t="shared" si="204"/>
        <v>100</v>
      </c>
      <c r="J137" s="133">
        <f t="shared" si="204"/>
        <v>100</v>
      </c>
      <c r="K137" s="133">
        <f t="shared" si="204"/>
        <v>100</v>
      </c>
      <c r="L137" s="133">
        <f t="shared" si="204"/>
        <v>100</v>
      </c>
      <c r="M137" s="133">
        <f t="shared" si="204"/>
        <v>100</v>
      </c>
      <c r="N137" s="133">
        <f t="shared" si="204"/>
        <v>100</v>
      </c>
      <c r="O137" s="133">
        <f t="shared" si="204"/>
        <v>100</v>
      </c>
      <c r="P137" s="133">
        <f t="shared" si="204"/>
        <v>100</v>
      </c>
      <c r="Q137" s="133">
        <f t="shared" si="204"/>
        <v>100</v>
      </c>
      <c r="R137" s="133">
        <f t="shared" si="204"/>
        <v>100</v>
      </c>
      <c r="S137" s="133">
        <f t="shared" si="204"/>
        <v>100</v>
      </c>
      <c r="T137" s="133">
        <f t="shared" si="204"/>
        <v>100</v>
      </c>
      <c r="U137" s="133">
        <f t="shared" si="204"/>
        <v>100</v>
      </c>
      <c r="V137" s="133">
        <f t="shared" si="204"/>
        <v>100</v>
      </c>
      <c r="W137" s="133">
        <f t="shared" si="204"/>
        <v>100</v>
      </c>
      <c r="X137" s="133">
        <f t="shared" si="204"/>
        <v>100</v>
      </c>
      <c r="Y137" s="133">
        <f t="shared" si="204"/>
        <v>100</v>
      </c>
      <c r="Z137" s="133">
        <f t="shared" si="204"/>
        <v>100</v>
      </c>
      <c r="AA137" s="133">
        <f t="shared" si="204"/>
        <v>100</v>
      </c>
      <c r="AB137" s="133">
        <f t="shared" si="204"/>
        <v>100</v>
      </c>
      <c r="AC137" s="133">
        <f t="shared" si="204"/>
        <v>100</v>
      </c>
      <c r="AD137" s="133">
        <f t="shared" si="204"/>
        <v>100</v>
      </c>
      <c r="AE137" s="133">
        <f t="shared" si="204"/>
        <v>100</v>
      </c>
      <c r="AF137" s="133">
        <f t="shared" si="204"/>
        <v>100</v>
      </c>
      <c r="AG137" s="133">
        <f t="shared" si="204"/>
        <v>100</v>
      </c>
      <c r="AH137" s="133">
        <f t="shared" si="204"/>
        <v>100</v>
      </c>
      <c r="AI137" s="133">
        <f t="shared" si="204"/>
        <v>100</v>
      </c>
      <c r="AJ137" s="133">
        <f t="shared" si="204"/>
        <v>100</v>
      </c>
      <c r="AK137" s="133">
        <f t="shared" si="204"/>
        <v>100</v>
      </c>
      <c r="AL137" s="133">
        <f t="shared" si="204"/>
        <v>100</v>
      </c>
      <c r="AM137" s="133">
        <f t="shared" si="204"/>
        <v>100</v>
      </c>
      <c r="AN137" s="133">
        <f t="shared" si="204"/>
        <v>100</v>
      </c>
      <c r="AO137" s="133">
        <f t="shared" si="204"/>
        <v>100</v>
      </c>
      <c r="AP137" s="133">
        <f t="shared" si="204"/>
        <v>100</v>
      </c>
      <c r="AQ137" s="133">
        <f t="shared" si="204"/>
        <v>100</v>
      </c>
      <c r="AR137" s="133">
        <f t="shared" si="204"/>
        <v>100</v>
      </c>
      <c r="AS137" s="133">
        <f t="shared" si="204"/>
        <v>100</v>
      </c>
      <c r="AT137" s="133">
        <f t="shared" si="204"/>
        <v>100</v>
      </c>
      <c r="AU137" s="133">
        <f t="shared" si="204"/>
        <v>100</v>
      </c>
      <c r="AV137" s="133">
        <f t="shared" si="204"/>
        <v>100</v>
      </c>
      <c r="AW137" s="133">
        <f t="shared" si="204"/>
        <v>100</v>
      </c>
      <c r="AX137" s="133">
        <f t="shared" si="204"/>
        <v>100</v>
      </c>
      <c r="AY137" s="133">
        <f t="shared" si="204"/>
        <v>100</v>
      </c>
      <c r="AZ137" s="133">
        <f t="shared" si="204"/>
        <v>100</v>
      </c>
      <c r="BA137" s="133">
        <f t="shared" si="204"/>
        <v>100</v>
      </c>
      <c r="BB137" s="133">
        <f t="shared" si="204"/>
        <v>100</v>
      </c>
      <c r="BC137" s="133">
        <f t="shared" si="204"/>
        <v>100</v>
      </c>
      <c r="BD137" s="133">
        <f t="shared" si="204"/>
        <v>100</v>
      </c>
      <c r="BE137" s="133">
        <f t="shared" si="204"/>
        <v>100</v>
      </c>
      <c r="BF137" s="133">
        <f t="shared" si="204"/>
        <v>100</v>
      </c>
      <c r="BG137" s="133">
        <f t="shared" si="204"/>
        <v>100</v>
      </c>
      <c r="BH137" s="133">
        <f t="shared" si="204"/>
        <v>100</v>
      </c>
      <c r="BI137" s="133">
        <f t="shared" si="204"/>
        <v>100</v>
      </c>
      <c r="BJ137" s="133">
        <f t="shared" si="204"/>
        <v>100</v>
      </c>
      <c r="BK137" s="133">
        <f t="shared" si="204"/>
        <v>100</v>
      </c>
      <c r="BL137" s="133">
        <f t="shared" si="204"/>
        <v>100</v>
      </c>
      <c r="BM137" s="133">
        <f t="shared" si="204"/>
        <v>100</v>
      </c>
      <c r="BN137" s="133">
        <f t="shared" si="204"/>
        <v>100</v>
      </c>
      <c r="BO137" s="133">
        <f t="shared" si="204"/>
        <v>100</v>
      </c>
      <c r="BP137" s="133">
        <f t="shared" si="204"/>
        <v>100</v>
      </c>
      <c r="BQ137" s="133">
        <f t="shared" si="204"/>
        <v>100</v>
      </c>
      <c r="BR137" s="133">
        <f t="shared" si="205"/>
        <v>100</v>
      </c>
      <c r="BS137" s="133">
        <f t="shared" si="205"/>
        <v>100</v>
      </c>
      <c r="BT137" s="133">
        <f t="shared" si="205"/>
        <v>100</v>
      </c>
      <c r="BU137" s="133">
        <f t="shared" si="205"/>
        <v>100</v>
      </c>
      <c r="BV137" s="133">
        <f t="shared" si="205"/>
        <v>100</v>
      </c>
      <c r="BW137" s="133">
        <f t="shared" si="205"/>
        <v>100</v>
      </c>
      <c r="BX137" s="133">
        <f t="shared" si="205"/>
        <v>100</v>
      </c>
      <c r="BY137" s="133">
        <f t="shared" si="205"/>
        <v>100</v>
      </c>
      <c r="BZ137" s="133">
        <f t="shared" si="205"/>
        <v>100</v>
      </c>
      <c r="CA137" s="133">
        <f t="shared" si="205"/>
        <v>100</v>
      </c>
      <c r="CB137" s="133">
        <f t="shared" si="205"/>
        <v>100</v>
      </c>
      <c r="CC137" s="133">
        <f t="shared" si="205"/>
        <v>100</v>
      </c>
      <c r="CD137" s="133">
        <f t="shared" si="205"/>
        <v>100</v>
      </c>
      <c r="CE137" s="133">
        <f t="shared" si="205"/>
        <v>100</v>
      </c>
      <c r="CF137" s="133">
        <f t="shared" si="205"/>
        <v>100</v>
      </c>
      <c r="CG137" s="133">
        <f t="shared" si="205"/>
        <v>100</v>
      </c>
      <c r="CH137" s="133">
        <f t="shared" si="205"/>
        <v>100</v>
      </c>
      <c r="CI137" s="133">
        <f t="shared" si="205"/>
        <v>100</v>
      </c>
      <c r="CJ137" s="133">
        <f t="shared" si="205"/>
        <v>100</v>
      </c>
      <c r="CK137" s="133">
        <f t="shared" si="205"/>
        <v>100</v>
      </c>
      <c r="CL137" s="133">
        <f t="shared" si="205"/>
        <v>100</v>
      </c>
      <c r="CM137" s="133">
        <f t="shared" si="205"/>
        <v>100</v>
      </c>
      <c r="CN137" s="133">
        <f t="shared" si="205"/>
        <v>100</v>
      </c>
      <c r="CO137" s="133">
        <f t="shared" si="205"/>
        <v>100</v>
      </c>
      <c r="CP137" s="133">
        <f t="shared" si="205"/>
        <v>100</v>
      </c>
      <c r="CQ137" s="133">
        <f t="shared" si="205"/>
        <v>100</v>
      </c>
      <c r="CR137" s="133">
        <f t="shared" si="205"/>
        <v>100</v>
      </c>
      <c r="CS137" s="133">
        <f t="shared" si="205"/>
        <v>100</v>
      </c>
      <c r="CT137" s="133">
        <f t="shared" si="205"/>
        <v>100</v>
      </c>
      <c r="CU137" s="133">
        <f t="shared" si="205"/>
        <v>100</v>
      </c>
      <c r="CV137" s="133">
        <f t="shared" si="205"/>
        <v>100</v>
      </c>
      <c r="CW137" s="133">
        <f t="shared" si="205"/>
        <v>100</v>
      </c>
      <c r="CX137" s="133">
        <f t="shared" si="205"/>
        <v>100</v>
      </c>
      <c r="CY137" s="133">
        <f t="shared" si="205"/>
        <v>100</v>
      </c>
      <c r="CZ137" s="133">
        <f t="shared" si="205"/>
        <v>100</v>
      </c>
      <c r="DA137" s="133">
        <f t="shared" si="205"/>
        <v>100</v>
      </c>
    </row>
    <row r="138" spans="5:105">
      <c r="E138" s="137" t="s">
        <v>127</v>
      </c>
      <c r="F138" s="133">
        <f t="shared" si="204"/>
        <v>47.534688041226943</v>
      </c>
      <c r="G138" s="133">
        <f t="shared" si="204"/>
        <v>47.534688041226943</v>
      </c>
      <c r="H138" s="133">
        <f t="shared" si="204"/>
        <v>47.534688041226943</v>
      </c>
      <c r="I138" s="133">
        <f t="shared" si="204"/>
        <v>47.534688041226943</v>
      </c>
      <c r="J138" s="133">
        <f t="shared" si="204"/>
        <v>47.534688041226943</v>
      </c>
      <c r="K138" s="133">
        <f t="shared" si="204"/>
        <v>47.534688041226943</v>
      </c>
      <c r="L138" s="133">
        <f t="shared" si="204"/>
        <v>47.534688041226943</v>
      </c>
      <c r="M138" s="133">
        <f t="shared" si="204"/>
        <v>47.534688041226943</v>
      </c>
      <c r="N138" s="133">
        <f t="shared" si="204"/>
        <v>47.534688041226943</v>
      </c>
      <c r="O138" s="133">
        <f t="shared" si="204"/>
        <v>47.534688041226943</v>
      </c>
      <c r="P138" s="133">
        <f t="shared" si="204"/>
        <v>47.534688041226943</v>
      </c>
      <c r="Q138" s="133">
        <f t="shared" si="204"/>
        <v>47.534688041226943</v>
      </c>
      <c r="R138" s="133">
        <f t="shared" si="204"/>
        <v>47.534688041226943</v>
      </c>
      <c r="S138" s="133">
        <f t="shared" si="204"/>
        <v>47.534688041226943</v>
      </c>
      <c r="T138" s="133">
        <f t="shared" si="204"/>
        <v>47.534688041226943</v>
      </c>
      <c r="U138" s="133">
        <f t="shared" si="204"/>
        <v>47.534688041226943</v>
      </c>
      <c r="V138" s="133">
        <f t="shared" si="204"/>
        <v>47.534688041226943</v>
      </c>
      <c r="W138" s="133">
        <f t="shared" si="204"/>
        <v>47.534688041226943</v>
      </c>
      <c r="X138" s="133">
        <f t="shared" si="204"/>
        <v>47.534688041226943</v>
      </c>
      <c r="Y138" s="133">
        <f t="shared" si="204"/>
        <v>47.534688041226943</v>
      </c>
      <c r="Z138" s="133">
        <f t="shared" si="204"/>
        <v>47.534688041226943</v>
      </c>
      <c r="AA138" s="133">
        <f t="shared" si="204"/>
        <v>47.534688041226943</v>
      </c>
      <c r="AB138" s="133">
        <f t="shared" si="204"/>
        <v>47.534688041226943</v>
      </c>
      <c r="AC138" s="133">
        <f t="shared" si="204"/>
        <v>47.534688041226943</v>
      </c>
      <c r="AD138" s="133">
        <f t="shared" si="204"/>
        <v>47.534688041226943</v>
      </c>
      <c r="AE138" s="133">
        <f t="shared" si="204"/>
        <v>47.534688041226943</v>
      </c>
      <c r="AF138" s="133">
        <f t="shared" si="204"/>
        <v>47.534688041226943</v>
      </c>
      <c r="AG138" s="133">
        <f t="shared" si="204"/>
        <v>47.534688041226943</v>
      </c>
      <c r="AH138" s="133">
        <f t="shared" si="204"/>
        <v>47.534688041226943</v>
      </c>
      <c r="AI138" s="133">
        <f t="shared" si="204"/>
        <v>47.534688041226943</v>
      </c>
      <c r="AJ138" s="133">
        <f t="shared" si="204"/>
        <v>47.534688041226943</v>
      </c>
      <c r="AK138" s="133">
        <f t="shared" si="204"/>
        <v>47.534688041226943</v>
      </c>
      <c r="AL138" s="133">
        <f t="shared" si="204"/>
        <v>47.534688041226943</v>
      </c>
      <c r="AM138" s="133">
        <f t="shared" si="204"/>
        <v>47.534688041226943</v>
      </c>
      <c r="AN138" s="133">
        <f t="shared" si="204"/>
        <v>47.534688041226943</v>
      </c>
      <c r="AO138" s="133">
        <f t="shared" si="204"/>
        <v>47.534688041226943</v>
      </c>
      <c r="AP138" s="133">
        <f t="shared" si="204"/>
        <v>47.534688041226943</v>
      </c>
      <c r="AQ138" s="133">
        <f t="shared" si="204"/>
        <v>47.534688041226943</v>
      </c>
      <c r="AR138" s="133">
        <f t="shared" si="204"/>
        <v>47.534688041226943</v>
      </c>
      <c r="AS138" s="133">
        <f t="shared" si="204"/>
        <v>47.534688041226943</v>
      </c>
      <c r="AT138" s="133">
        <f t="shared" si="204"/>
        <v>47.534688041226943</v>
      </c>
      <c r="AU138" s="133">
        <f t="shared" si="204"/>
        <v>47.534688041226943</v>
      </c>
      <c r="AV138" s="133">
        <f t="shared" si="204"/>
        <v>47.534688041226943</v>
      </c>
      <c r="AW138" s="133">
        <f t="shared" si="204"/>
        <v>47.534688041226943</v>
      </c>
      <c r="AX138" s="133">
        <f t="shared" si="204"/>
        <v>47.534688041226943</v>
      </c>
      <c r="AY138" s="133">
        <f t="shared" si="204"/>
        <v>47.534688041226943</v>
      </c>
      <c r="AZ138" s="133">
        <f t="shared" si="204"/>
        <v>47.534688041226943</v>
      </c>
      <c r="BA138" s="133">
        <f t="shared" si="204"/>
        <v>47.534688041226943</v>
      </c>
      <c r="BB138" s="133">
        <f t="shared" si="204"/>
        <v>47.534688041226943</v>
      </c>
      <c r="BC138" s="133">
        <f t="shared" si="204"/>
        <v>47.534688041226943</v>
      </c>
      <c r="BD138" s="133">
        <f t="shared" si="204"/>
        <v>47.534688041226943</v>
      </c>
      <c r="BE138" s="133">
        <f t="shared" si="204"/>
        <v>47.534688041226943</v>
      </c>
      <c r="BF138" s="133">
        <f t="shared" si="204"/>
        <v>47.534688041226943</v>
      </c>
      <c r="BG138" s="133">
        <f t="shared" si="204"/>
        <v>47.534688041226943</v>
      </c>
      <c r="BH138" s="133">
        <f t="shared" si="204"/>
        <v>47.534688041226943</v>
      </c>
      <c r="BI138" s="133">
        <f t="shared" si="204"/>
        <v>47.534688041226943</v>
      </c>
      <c r="BJ138" s="133">
        <f t="shared" si="204"/>
        <v>47.534688041226943</v>
      </c>
      <c r="BK138" s="133">
        <f t="shared" si="204"/>
        <v>47.534688041226943</v>
      </c>
      <c r="BL138" s="133">
        <f t="shared" si="204"/>
        <v>47.534688041226943</v>
      </c>
      <c r="BM138" s="133">
        <f t="shared" si="204"/>
        <v>47.534688041226943</v>
      </c>
      <c r="BN138" s="133">
        <f t="shared" si="204"/>
        <v>47.534688041226943</v>
      </c>
      <c r="BO138" s="133">
        <f t="shared" si="204"/>
        <v>47.534688041226943</v>
      </c>
      <c r="BP138" s="133">
        <f t="shared" si="204"/>
        <v>47.534688041226943</v>
      </c>
      <c r="BQ138" s="133">
        <f t="shared" si="204"/>
        <v>47.534688041226943</v>
      </c>
      <c r="BR138" s="133">
        <f t="shared" si="205"/>
        <v>47.534688041226943</v>
      </c>
      <c r="BS138" s="133">
        <f t="shared" si="205"/>
        <v>47.534688041226943</v>
      </c>
      <c r="BT138" s="133">
        <f t="shared" si="205"/>
        <v>47.534688041226943</v>
      </c>
      <c r="BU138" s="133">
        <f t="shared" si="205"/>
        <v>47.534688041226943</v>
      </c>
      <c r="BV138" s="133">
        <f t="shared" si="205"/>
        <v>47.534688041226943</v>
      </c>
      <c r="BW138" s="133">
        <f t="shared" si="205"/>
        <v>47.534688041226943</v>
      </c>
      <c r="BX138" s="133">
        <f t="shared" si="205"/>
        <v>47.534688041226943</v>
      </c>
      <c r="BY138" s="133">
        <f t="shared" si="205"/>
        <v>47.534688041226943</v>
      </c>
      <c r="BZ138" s="133">
        <f t="shared" si="205"/>
        <v>47.534688041226943</v>
      </c>
      <c r="CA138" s="133">
        <f t="shared" si="205"/>
        <v>47.534688041226943</v>
      </c>
      <c r="CB138" s="133">
        <f t="shared" si="205"/>
        <v>47.534688041226943</v>
      </c>
      <c r="CC138" s="133">
        <f t="shared" si="205"/>
        <v>47.534688041226943</v>
      </c>
      <c r="CD138" s="133">
        <f t="shared" si="205"/>
        <v>47.534688041226943</v>
      </c>
      <c r="CE138" s="133">
        <f t="shared" si="205"/>
        <v>47.534688041226943</v>
      </c>
      <c r="CF138" s="133">
        <f t="shared" si="205"/>
        <v>47.534688041226943</v>
      </c>
      <c r="CG138" s="133">
        <f t="shared" si="205"/>
        <v>47.534688041226943</v>
      </c>
      <c r="CH138" s="133">
        <f t="shared" si="205"/>
        <v>47.534688041226943</v>
      </c>
      <c r="CI138" s="133">
        <f t="shared" si="205"/>
        <v>47.534688041226943</v>
      </c>
      <c r="CJ138" s="133">
        <f t="shared" si="205"/>
        <v>47.534688041226943</v>
      </c>
      <c r="CK138" s="133">
        <f t="shared" si="205"/>
        <v>47.534688041226943</v>
      </c>
      <c r="CL138" s="133">
        <f t="shared" si="205"/>
        <v>47.534688041226943</v>
      </c>
      <c r="CM138" s="133">
        <f t="shared" si="205"/>
        <v>47.534688041226943</v>
      </c>
      <c r="CN138" s="133">
        <f t="shared" si="205"/>
        <v>47.534688041226943</v>
      </c>
      <c r="CO138" s="133">
        <f t="shared" si="205"/>
        <v>47.534688041226943</v>
      </c>
      <c r="CP138" s="133">
        <f t="shared" si="205"/>
        <v>47.534688041226943</v>
      </c>
      <c r="CQ138" s="133">
        <f t="shared" si="205"/>
        <v>47.534688041226943</v>
      </c>
      <c r="CR138" s="133">
        <f t="shared" si="205"/>
        <v>47.534688041226943</v>
      </c>
      <c r="CS138" s="133">
        <f t="shared" si="205"/>
        <v>47.534688041226943</v>
      </c>
      <c r="CT138" s="133">
        <f t="shared" si="205"/>
        <v>47.534688041226943</v>
      </c>
      <c r="CU138" s="133">
        <f t="shared" si="205"/>
        <v>47.534688041226943</v>
      </c>
      <c r="CV138" s="133">
        <f t="shared" si="205"/>
        <v>47.534688041226943</v>
      </c>
      <c r="CW138" s="133">
        <f t="shared" si="205"/>
        <v>47.534688041226943</v>
      </c>
      <c r="CX138" s="133">
        <f t="shared" si="205"/>
        <v>47.534688041226943</v>
      </c>
      <c r="CY138" s="133">
        <f t="shared" si="205"/>
        <v>47.534688041226943</v>
      </c>
      <c r="CZ138" s="133">
        <f t="shared" si="205"/>
        <v>47.534688041226943</v>
      </c>
      <c r="DA138" s="133">
        <f t="shared" si="205"/>
        <v>47.534688041226943</v>
      </c>
    </row>
    <row r="139" spans="5:105">
      <c r="E139" s="125"/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125"/>
      <c r="V139" s="125"/>
      <c r="W139" s="125"/>
      <c r="X139" s="125"/>
      <c r="Y139" s="125"/>
      <c r="Z139" s="125"/>
      <c r="AA139" s="125"/>
      <c r="AB139" s="125"/>
      <c r="AC139" s="125"/>
      <c r="AD139" s="125"/>
      <c r="AE139" s="125"/>
      <c r="AF139" s="125"/>
      <c r="AG139" s="125"/>
      <c r="AH139" s="125"/>
      <c r="AI139" s="125"/>
      <c r="AJ139" s="125"/>
      <c r="AK139" s="125"/>
      <c r="AL139" s="125"/>
      <c r="AM139" s="125"/>
      <c r="AN139" s="125"/>
      <c r="AO139" s="125"/>
      <c r="AP139" s="125"/>
      <c r="AQ139" s="125"/>
      <c r="AR139" s="125"/>
      <c r="AS139" s="125"/>
      <c r="AT139" s="125"/>
      <c r="AU139" s="125"/>
      <c r="AV139" s="125"/>
      <c r="AW139" s="125"/>
      <c r="AX139" s="125"/>
      <c r="AY139" s="125"/>
      <c r="AZ139" s="125"/>
      <c r="BA139" s="125"/>
      <c r="BB139" s="125"/>
      <c r="BC139" s="125"/>
      <c r="BD139" s="125"/>
      <c r="BE139" s="125"/>
      <c r="BF139" s="125"/>
      <c r="BG139" s="125"/>
      <c r="BH139" s="125"/>
      <c r="BI139" s="125"/>
      <c r="BJ139" s="125"/>
      <c r="BK139" s="125"/>
      <c r="BL139" s="125"/>
      <c r="BM139" s="125"/>
      <c r="BN139" s="125"/>
      <c r="BO139" s="125"/>
      <c r="BP139" s="125"/>
      <c r="BQ139" s="125"/>
      <c r="BR139" s="125"/>
      <c r="BS139" s="125"/>
      <c r="BT139" s="125"/>
      <c r="BU139" s="125"/>
      <c r="BV139" s="125"/>
      <c r="BW139" s="125"/>
      <c r="BX139" s="125"/>
      <c r="BY139" s="125"/>
      <c r="BZ139" s="125"/>
      <c r="CA139" s="125"/>
      <c r="CB139" s="125"/>
      <c r="CC139" s="125"/>
      <c r="CD139" s="125"/>
      <c r="CE139" s="125"/>
      <c r="CF139" s="125"/>
      <c r="CG139" s="125"/>
      <c r="CH139" s="125"/>
      <c r="CI139" s="125"/>
      <c r="CJ139" s="125"/>
      <c r="CK139" s="125"/>
      <c r="CL139" s="125"/>
      <c r="CM139" s="125"/>
      <c r="CN139" s="125"/>
      <c r="CO139" s="125"/>
      <c r="CP139" s="125"/>
      <c r="CQ139" s="125"/>
      <c r="CR139" s="125"/>
      <c r="CS139" s="125"/>
      <c r="CT139" s="125"/>
      <c r="CU139" s="125"/>
      <c r="CV139" s="125"/>
      <c r="CW139" s="125"/>
      <c r="CX139" s="125"/>
      <c r="CY139" s="125"/>
      <c r="CZ139" s="125"/>
      <c r="DA139" s="125"/>
    </row>
    <row r="140" spans="5:105">
      <c r="E140" s="137" t="s">
        <v>128</v>
      </c>
      <c r="F140" s="133">
        <f>1/(5*$F$43+1)</f>
        <v>1.996007984031936E-3</v>
      </c>
      <c r="G140" s="133">
        <f t="shared" ref="G140:BR140" si="206">1/(5*$F$43+1)</f>
        <v>1.996007984031936E-3</v>
      </c>
      <c r="H140" s="133">
        <f t="shared" si="206"/>
        <v>1.996007984031936E-3</v>
      </c>
      <c r="I140" s="133">
        <f t="shared" si="206"/>
        <v>1.996007984031936E-3</v>
      </c>
      <c r="J140" s="133">
        <f t="shared" si="206"/>
        <v>1.996007984031936E-3</v>
      </c>
      <c r="K140" s="133">
        <f t="shared" si="206"/>
        <v>1.996007984031936E-3</v>
      </c>
      <c r="L140" s="133">
        <f t="shared" si="206"/>
        <v>1.996007984031936E-3</v>
      </c>
      <c r="M140" s="133">
        <f t="shared" si="206"/>
        <v>1.996007984031936E-3</v>
      </c>
      <c r="N140" s="133">
        <f t="shared" si="206"/>
        <v>1.996007984031936E-3</v>
      </c>
      <c r="O140" s="133">
        <f t="shared" si="206"/>
        <v>1.996007984031936E-3</v>
      </c>
      <c r="P140" s="133">
        <f t="shared" si="206"/>
        <v>1.996007984031936E-3</v>
      </c>
      <c r="Q140" s="133">
        <f t="shared" si="206"/>
        <v>1.996007984031936E-3</v>
      </c>
      <c r="R140" s="133">
        <f t="shared" si="206"/>
        <v>1.996007984031936E-3</v>
      </c>
      <c r="S140" s="133">
        <f t="shared" si="206"/>
        <v>1.996007984031936E-3</v>
      </c>
      <c r="T140" s="133">
        <f t="shared" si="206"/>
        <v>1.996007984031936E-3</v>
      </c>
      <c r="U140" s="133">
        <f t="shared" si="206"/>
        <v>1.996007984031936E-3</v>
      </c>
      <c r="V140" s="133">
        <f t="shared" si="206"/>
        <v>1.996007984031936E-3</v>
      </c>
      <c r="W140" s="133">
        <f t="shared" si="206"/>
        <v>1.996007984031936E-3</v>
      </c>
      <c r="X140" s="133">
        <f t="shared" si="206"/>
        <v>1.996007984031936E-3</v>
      </c>
      <c r="Y140" s="133">
        <f t="shared" si="206"/>
        <v>1.996007984031936E-3</v>
      </c>
      <c r="Z140" s="133">
        <f t="shared" si="206"/>
        <v>1.996007984031936E-3</v>
      </c>
      <c r="AA140" s="133">
        <f t="shared" si="206"/>
        <v>1.996007984031936E-3</v>
      </c>
      <c r="AB140" s="133">
        <f t="shared" si="206"/>
        <v>1.996007984031936E-3</v>
      </c>
      <c r="AC140" s="133">
        <f t="shared" si="206"/>
        <v>1.996007984031936E-3</v>
      </c>
      <c r="AD140" s="133">
        <f t="shared" si="206"/>
        <v>1.996007984031936E-3</v>
      </c>
      <c r="AE140" s="133">
        <f t="shared" si="206"/>
        <v>1.996007984031936E-3</v>
      </c>
      <c r="AF140" s="133">
        <f t="shared" si="206"/>
        <v>1.996007984031936E-3</v>
      </c>
      <c r="AG140" s="133">
        <f t="shared" si="206"/>
        <v>1.996007984031936E-3</v>
      </c>
      <c r="AH140" s="133">
        <f t="shared" si="206"/>
        <v>1.996007984031936E-3</v>
      </c>
      <c r="AI140" s="133">
        <f t="shared" si="206"/>
        <v>1.996007984031936E-3</v>
      </c>
      <c r="AJ140" s="133">
        <f t="shared" si="206"/>
        <v>1.996007984031936E-3</v>
      </c>
      <c r="AK140" s="133">
        <f t="shared" si="206"/>
        <v>1.996007984031936E-3</v>
      </c>
      <c r="AL140" s="133">
        <f t="shared" si="206"/>
        <v>1.996007984031936E-3</v>
      </c>
      <c r="AM140" s="133">
        <f t="shared" si="206"/>
        <v>1.996007984031936E-3</v>
      </c>
      <c r="AN140" s="133">
        <f t="shared" si="206"/>
        <v>1.996007984031936E-3</v>
      </c>
      <c r="AO140" s="133">
        <f t="shared" si="206"/>
        <v>1.996007984031936E-3</v>
      </c>
      <c r="AP140" s="133">
        <f t="shared" si="206"/>
        <v>1.996007984031936E-3</v>
      </c>
      <c r="AQ140" s="133">
        <f t="shared" si="206"/>
        <v>1.996007984031936E-3</v>
      </c>
      <c r="AR140" s="133">
        <f t="shared" si="206"/>
        <v>1.996007984031936E-3</v>
      </c>
      <c r="AS140" s="133">
        <f t="shared" si="206"/>
        <v>1.996007984031936E-3</v>
      </c>
      <c r="AT140" s="133">
        <f t="shared" si="206"/>
        <v>1.996007984031936E-3</v>
      </c>
      <c r="AU140" s="133">
        <f t="shared" si="206"/>
        <v>1.996007984031936E-3</v>
      </c>
      <c r="AV140" s="133">
        <f t="shared" si="206"/>
        <v>1.996007984031936E-3</v>
      </c>
      <c r="AW140" s="133">
        <f t="shared" si="206"/>
        <v>1.996007984031936E-3</v>
      </c>
      <c r="AX140" s="133">
        <f t="shared" si="206"/>
        <v>1.996007984031936E-3</v>
      </c>
      <c r="AY140" s="133">
        <f t="shared" si="206"/>
        <v>1.996007984031936E-3</v>
      </c>
      <c r="AZ140" s="133">
        <f t="shared" si="206"/>
        <v>1.996007984031936E-3</v>
      </c>
      <c r="BA140" s="133">
        <f t="shared" si="206"/>
        <v>1.996007984031936E-3</v>
      </c>
      <c r="BB140" s="133">
        <f t="shared" si="206"/>
        <v>1.996007984031936E-3</v>
      </c>
      <c r="BC140" s="133">
        <f t="shared" si="206"/>
        <v>1.996007984031936E-3</v>
      </c>
      <c r="BD140" s="133">
        <f t="shared" si="206"/>
        <v>1.996007984031936E-3</v>
      </c>
      <c r="BE140" s="133">
        <f t="shared" si="206"/>
        <v>1.996007984031936E-3</v>
      </c>
      <c r="BF140" s="133">
        <f t="shared" si="206"/>
        <v>1.996007984031936E-3</v>
      </c>
      <c r="BG140" s="133">
        <f t="shared" si="206"/>
        <v>1.996007984031936E-3</v>
      </c>
      <c r="BH140" s="133">
        <f t="shared" si="206"/>
        <v>1.996007984031936E-3</v>
      </c>
      <c r="BI140" s="133">
        <f t="shared" si="206"/>
        <v>1.996007984031936E-3</v>
      </c>
      <c r="BJ140" s="133">
        <f t="shared" si="206"/>
        <v>1.996007984031936E-3</v>
      </c>
      <c r="BK140" s="133">
        <f t="shared" si="206"/>
        <v>1.996007984031936E-3</v>
      </c>
      <c r="BL140" s="133">
        <f t="shared" si="206"/>
        <v>1.996007984031936E-3</v>
      </c>
      <c r="BM140" s="133">
        <f t="shared" si="206"/>
        <v>1.996007984031936E-3</v>
      </c>
      <c r="BN140" s="133">
        <f t="shared" si="206"/>
        <v>1.996007984031936E-3</v>
      </c>
      <c r="BO140" s="133">
        <f t="shared" si="206"/>
        <v>1.996007984031936E-3</v>
      </c>
      <c r="BP140" s="133">
        <f t="shared" si="206"/>
        <v>1.996007984031936E-3</v>
      </c>
      <c r="BQ140" s="133">
        <f t="shared" si="206"/>
        <v>1.996007984031936E-3</v>
      </c>
      <c r="BR140" s="133">
        <f t="shared" si="206"/>
        <v>1.996007984031936E-3</v>
      </c>
      <c r="BS140" s="133">
        <f t="shared" ref="BS140:DA140" si="207">1/(5*$F$43+1)</f>
        <v>1.996007984031936E-3</v>
      </c>
      <c r="BT140" s="133">
        <f t="shared" si="207"/>
        <v>1.996007984031936E-3</v>
      </c>
      <c r="BU140" s="133">
        <f t="shared" si="207"/>
        <v>1.996007984031936E-3</v>
      </c>
      <c r="BV140" s="133">
        <f t="shared" si="207"/>
        <v>1.996007984031936E-3</v>
      </c>
      <c r="BW140" s="133">
        <f t="shared" si="207"/>
        <v>1.996007984031936E-3</v>
      </c>
      <c r="BX140" s="133">
        <f t="shared" si="207"/>
        <v>1.996007984031936E-3</v>
      </c>
      <c r="BY140" s="133">
        <f t="shared" si="207"/>
        <v>1.996007984031936E-3</v>
      </c>
      <c r="BZ140" s="133">
        <f t="shared" si="207"/>
        <v>1.996007984031936E-3</v>
      </c>
      <c r="CA140" s="133">
        <f t="shared" si="207"/>
        <v>1.996007984031936E-3</v>
      </c>
      <c r="CB140" s="133">
        <f t="shared" si="207"/>
        <v>1.996007984031936E-3</v>
      </c>
      <c r="CC140" s="133">
        <f t="shared" si="207"/>
        <v>1.996007984031936E-3</v>
      </c>
      <c r="CD140" s="133">
        <f t="shared" si="207"/>
        <v>1.996007984031936E-3</v>
      </c>
      <c r="CE140" s="133">
        <f t="shared" si="207"/>
        <v>1.996007984031936E-3</v>
      </c>
      <c r="CF140" s="133">
        <f t="shared" si="207"/>
        <v>1.996007984031936E-3</v>
      </c>
      <c r="CG140" s="133">
        <f t="shared" si="207"/>
        <v>1.996007984031936E-3</v>
      </c>
      <c r="CH140" s="133">
        <f t="shared" si="207"/>
        <v>1.996007984031936E-3</v>
      </c>
      <c r="CI140" s="133">
        <f t="shared" si="207"/>
        <v>1.996007984031936E-3</v>
      </c>
      <c r="CJ140" s="133">
        <f t="shared" si="207"/>
        <v>1.996007984031936E-3</v>
      </c>
      <c r="CK140" s="133">
        <f t="shared" si="207"/>
        <v>1.996007984031936E-3</v>
      </c>
      <c r="CL140" s="133">
        <f t="shared" si="207"/>
        <v>1.996007984031936E-3</v>
      </c>
      <c r="CM140" s="133">
        <f t="shared" si="207"/>
        <v>1.996007984031936E-3</v>
      </c>
      <c r="CN140" s="133">
        <f t="shared" si="207"/>
        <v>1.996007984031936E-3</v>
      </c>
      <c r="CO140" s="133">
        <f t="shared" si="207"/>
        <v>1.996007984031936E-3</v>
      </c>
      <c r="CP140" s="133">
        <f t="shared" si="207"/>
        <v>1.996007984031936E-3</v>
      </c>
      <c r="CQ140" s="133">
        <f t="shared" si="207"/>
        <v>1.996007984031936E-3</v>
      </c>
      <c r="CR140" s="133">
        <f t="shared" si="207"/>
        <v>1.996007984031936E-3</v>
      </c>
      <c r="CS140" s="133">
        <f t="shared" si="207"/>
        <v>1.996007984031936E-3</v>
      </c>
      <c r="CT140" s="133">
        <f t="shared" si="207"/>
        <v>1.996007984031936E-3</v>
      </c>
      <c r="CU140" s="133">
        <f t="shared" si="207"/>
        <v>1.996007984031936E-3</v>
      </c>
      <c r="CV140" s="133">
        <f t="shared" si="207"/>
        <v>1.996007984031936E-3</v>
      </c>
      <c r="CW140" s="133">
        <f t="shared" si="207"/>
        <v>1.996007984031936E-3</v>
      </c>
      <c r="CX140" s="133">
        <f t="shared" si="207"/>
        <v>1.996007984031936E-3</v>
      </c>
      <c r="CY140" s="133">
        <f t="shared" si="207"/>
        <v>1.996007984031936E-3</v>
      </c>
      <c r="CZ140" s="133">
        <f t="shared" si="207"/>
        <v>1.996007984031936E-3</v>
      </c>
      <c r="DA140" s="133">
        <f t="shared" si="207"/>
        <v>1.996007984031936E-3</v>
      </c>
    </row>
    <row r="141" spans="5:105">
      <c r="E141" s="137" t="s">
        <v>129</v>
      </c>
      <c r="F141" s="133">
        <f>0.2*F140^4*5*$F$43+0.1*(1-F140^4)^2*(5*$F$43)^(1/3)</f>
        <v>0.79370052754616693</v>
      </c>
      <c r="G141" s="133">
        <f t="shared" ref="G141:BR141" si="208">0.2*G140^4*5*$F$43+0.1*(1-G140^4)^2*(5*$F$43)^(1/3)</f>
        <v>0.79370052754616693</v>
      </c>
      <c r="H141" s="133">
        <f t="shared" si="208"/>
        <v>0.79370052754616693</v>
      </c>
      <c r="I141" s="133">
        <f t="shared" si="208"/>
        <v>0.79370052754616693</v>
      </c>
      <c r="J141" s="133">
        <f t="shared" si="208"/>
        <v>0.79370052754616693</v>
      </c>
      <c r="K141" s="133">
        <f t="shared" si="208"/>
        <v>0.79370052754616693</v>
      </c>
      <c r="L141" s="133">
        <f t="shared" si="208"/>
        <v>0.79370052754616693</v>
      </c>
      <c r="M141" s="133">
        <f t="shared" si="208"/>
        <v>0.79370052754616693</v>
      </c>
      <c r="N141" s="133">
        <f t="shared" si="208"/>
        <v>0.79370052754616693</v>
      </c>
      <c r="O141" s="133">
        <f t="shared" si="208"/>
        <v>0.79370052754616693</v>
      </c>
      <c r="P141" s="133">
        <f t="shared" si="208"/>
        <v>0.79370052754616693</v>
      </c>
      <c r="Q141" s="133">
        <f t="shared" si="208"/>
        <v>0.79370052754616693</v>
      </c>
      <c r="R141" s="133">
        <f t="shared" si="208"/>
        <v>0.79370052754616693</v>
      </c>
      <c r="S141" s="133">
        <f t="shared" si="208"/>
        <v>0.79370052754616693</v>
      </c>
      <c r="T141" s="133">
        <f t="shared" si="208"/>
        <v>0.79370052754616693</v>
      </c>
      <c r="U141" s="133">
        <f t="shared" si="208"/>
        <v>0.79370052754616693</v>
      </c>
      <c r="V141" s="133">
        <f t="shared" si="208"/>
        <v>0.79370052754616693</v>
      </c>
      <c r="W141" s="133">
        <f t="shared" si="208"/>
        <v>0.79370052754616693</v>
      </c>
      <c r="X141" s="133">
        <f t="shared" si="208"/>
        <v>0.79370052754616693</v>
      </c>
      <c r="Y141" s="133">
        <f t="shared" si="208"/>
        <v>0.79370052754616693</v>
      </c>
      <c r="Z141" s="133">
        <f t="shared" si="208"/>
        <v>0.79370052754616693</v>
      </c>
      <c r="AA141" s="133">
        <f t="shared" si="208"/>
        <v>0.79370052754616693</v>
      </c>
      <c r="AB141" s="133">
        <f t="shared" si="208"/>
        <v>0.79370052754616693</v>
      </c>
      <c r="AC141" s="133">
        <f t="shared" si="208"/>
        <v>0.79370052754616693</v>
      </c>
      <c r="AD141" s="133">
        <f t="shared" si="208"/>
        <v>0.79370052754616693</v>
      </c>
      <c r="AE141" s="133">
        <f t="shared" si="208"/>
        <v>0.79370052754616693</v>
      </c>
      <c r="AF141" s="133">
        <f t="shared" si="208"/>
        <v>0.79370052754616693</v>
      </c>
      <c r="AG141" s="133">
        <f t="shared" si="208"/>
        <v>0.79370052754616693</v>
      </c>
      <c r="AH141" s="133">
        <f t="shared" si="208"/>
        <v>0.79370052754616693</v>
      </c>
      <c r="AI141" s="133">
        <f t="shared" si="208"/>
        <v>0.79370052754616693</v>
      </c>
      <c r="AJ141" s="133">
        <f t="shared" si="208"/>
        <v>0.79370052754616693</v>
      </c>
      <c r="AK141" s="133">
        <f t="shared" si="208"/>
        <v>0.79370052754616693</v>
      </c>
      <c r="AL141" s="133">
        <f t="shared" si="208"/>
        <v>0.79370052754616693</v>
      </c>
      <c r="AM141" s="133">
        <f t="shared" si="208"/>
        <v>0.79370052754616693</v>
      </c>
      <c r="AN141" s="133">
        <f t="shared" si="208"/>
        <v>0.79370052754616693</v>
      </c>
      <c r="AO141" s="133">
        <f t="shared" si="208"/>
        <v>0.79370052754616693</v>
      </c>
      <c r="AP141" s="133">
        <f t="shared" si="208"/>
        <v>0.79370052754616693</v>
      </c>
      <c r="AQ141" s="133">
        <f t="shared" si="208"/>
        <v>0.79370052754616693</v>
      </c>
      <c r="AR141" s="133">
        <f t="shared" si="208"/>
        <v>0.79370052754616693</v>
      </c>
      <c r="AS141" s="133">
        <f t="shared" si="208"/>
        <v>0.79370052754616693</v>
      </c>
      <c r="AT141" s="133">
        <f t="shared" si="208"/>
        <v>0.79370052754616693</v>
      </c>
      <c r="AU141" s="133">
        <f t="shared" si="208"/>
        <v>0.79370052754616693</v>
      </c>
      <c r="AV141" s="133">
        <f t="shared" si="208"/>
        <v>0.79370052754616693</v>
      </c>
      <c r="AW141" s="133">
        <f t="shared" si="208"/>
        <v>0.79370052754616693</v>
      </c>
      <c r="AX141" s="133">
        <f t="shared" si="208"/>
        <v>0.79370052754616693</v>
      </c>
      <c r="AY141" s="133">
        <f t="shared" si="208"/>
        <v>0.79370052754616693</v>
      </c>
      <c r="AZ141" s="133">
        <f t="shared" si="208"/>
        <v>0.79370052754616693</v>
      </c>
      <c r="BA141" s="133">
        <f t="shared" si="208"/>
        <v>0.79370052754616693</v>
      </c>
      <c r="BB141" s="133">
        <f t="shared" si="208"/>
        <v>0.79370052754616693</v>
      </c>
      <c r="BC141" s="133">
        <f t="shared" si="208"/>
        <v>0.79370052754616693</v>
      </c>
      <c r="BD141" s="133">
        <f t="shared" si="208"/>
        <v>0.79370052754616693</v>
      </c>
      <c r="BE141" s="133">
        <f t="shared" si="208"/>
        <v>0.79370052754616693</v>
      </c>
      <c r="BF141" s="133">
        <f t="shared" si="208"/>
        <v>0.79370052754616693</v>
      </c>
      <c r="BG141" s="133">
        <f t="shared" si="208"/>
        <v>0.79370052754616693</v>
      </c>
      <c r="BH141" s="133">
        <f t="shared" si="208"/>
        <v>0.79370052754616693</v>
      </c>
      <c r="BI141" s="133">
        <f t="shared" si="208"/>
        <v>0.79370052754616693</v>
      </c>
      <c r="BJ141" s="133">
        <f t="shared" si="208"/>
        <v>0.79370052754616693</v>
      </c>
      <c r="BK141" s="133">
        <f t="shared" si="208"/>
        <v>0.79370052754616693</v>
      </c>
      <c r="BL141" s="133">
        <f t="shared" si="208"/>
        <v>0.79370052754616693</v>
      </c>
      <c r="BM141" s="133">
        <f t="shared" si="208"/>
        <v>0.79370052754616693</v>
      </c>
      <c r="BN141" s="133">
        <f t="shared" si="208"/>
        <v>0.79370052754616693</v>
      </c>
      <c r="BO141" s="133">
        <f t="shared" si="208"/>
        <v>0.79370052754616693</v>
      </c>
      <c r="BP141" s="133">
        <f t="shared" si="208"/>
        <v>0.79370052754616693</v>
      </c>
      <c r="BQ141" s="133">
        <f t="shared" si="208"/>
        <v>0.79370052754616693</v>
      </c>
      <c r="BR141" s="133">
        <f t="shared" si="208"/>
        <v>0.79370052754616693</v>
      </c>
      <c r="BS141" s="133">
        <f t="shared" ref="BS141:DA141" si="209">0.2*BS140^4*5*$F$43+0.1*(1-BS140^4)^2*(5*$F$43)^(1/3)</f>
        <v>0.79370052754616693</v>
      </c>
      <c r="BT141" s="133">
        <f t="shared" si="209"/>
        <v>0.79370052754616693</v>
      </c>
      <c r="BU141" s="133">
        <f t="shared" si="209"/>
        <v>0.79370052754616693</v>
      </c>
      <c r="BV141" s="133">
        <f t="shared" si="209"/>
        <v>0.79370052754616693</v>
      </c>
      <c r="BW141" s="133">
        <f t="shared" si="209"/>
        <v>0.79370052754616693</v>
      </c>
      <c r="BX141" s="133">
        <f t="shared" si="209"/>
        <v>0.79370052754616693</v>
      </c>
      <c r="BY141" s="133">
        <f t="shared" si="209"/>
        <v>0.79370052754616693</v>
      </c>
      <c r="BZ141" s="133">
        <f t="shared" si="209"/>
        <v>0.79370052754616693</v>
      </c>
      <c r="CA141" s="133">
        <f t="shared" si="209"/>
        <v>0.79370052754616693</v>
      </c>
      <c r="CB141" s="133">
        <f t="shared" si="209"/>
        <v>0.79370052754616693</v>
      </c>
      <c r="CC141" s="133">
        <f t="shared" si="209"/>
        <v>0.79370052754616693</v>
      </c>
      <c r="CD141" s="133">
        <f t="shared" si="209"/>
        <v>0.79370052754616693</v>
      </c>
      <c r="CE141" s="133">
        <f t="shared" si="209"/>
        <v>0.79370052754616693</v>
      </c>
      <c r="CF141" s="133">
        <f t="shared" si="209"/>
        <v>0.79370052754616693</v>
      </c>
      <c r="CG141" s="133">
        <f t="shared" si="209"/>
        <v>0.79370052754616693</v>
      </c>
      <c r="CH141" s="133">
        <f t="shared" si="209"/>
        <v>0.79370052754616693</v>
      </c>
      <c r="CI141" s="133">
        <f t="shared" si="209"/>
        <v>0.79370052754616693</v>
      </c>
      <c r="CJ141" s="133">
        <f t="shared" si="209"/>
        <v>0.79370052754616693</v>
      </c>
      <c r="CK141" s="133">
        <f t="shared" si="209"/>
        <v>0.79370052754616693</v>
      </c>
      <c r="CL141" s="133">
        <f t="shared" si="209"/>
        <v>0.79370052754616693</v>
      </c>
      <c r="CM141" s="133">
        <f t="shared" si="209"/>
        <v>0.79370052754616693</v>
      </c>
      <c r="CN141" s="133">
        <f t="shared" si="209"/>
        <v>0.79370052754616693</v>
      </c>
      <c r="CO141" s="133">
        <f t="shared" si="209"/>
        <v>0.79370052754616693</v>
      </c>
      <c r="CP141" s="133">
        <f t="shared" si="209"/>
        <v>0.79370052754616693</v>
      </c>
      <c r="CQ141" s="133">
        <f t="shared" si="209"/>
        <v>0.79370052754616693</v>
      </c>
      <c r="CR141" s="133">
        <f t="shared" si="209"/>
        <v>0.79370052754616693</v>
      </c>
      <c r="CS141" s="133">
        <f t="shared" si="209"/>
        <v>0.79370052754616693</v>
      </c>
      <c r="CT141" s="133">
        <f t="shared" si="209"/>
        <v>0.79370052754616693</v>
      </c>
      <c r="CU141" s="133">
        <f t="shared" si="209"/>
        <v>0.79370052754616693</v>
      </c>
      <c r="CV141" s="133">
        <f t="shared" si="209"/>
        <v>0.79370052754616693</v>
      </c>
      <c r="CW141" s="133">
        <f t="shared" si="209"/>
        <v>0.79370052754616693</v>
      </c>
      <c r="CX141" s="133">
        <f t="shared" si="209"/>
        <v>0.79370052754616693</v>
      </c>
      <c r="CY141" s="133">
        <f t="shared" si="209"/>
        <v>0.79370052754616693</v>
      </c>
      <c r="CZ141" s="133">
        <f t="shared" si="209"/>
        <v>0.79370052754616693</v>
      </c>
      <c r="DA141" s="133">
        <f t="shared" si="209"/>
        <v>0.79370052754616693</v>
      </c>
    </row>
    <row r="142" spans="5:105">
      <c r="E142" s="137" t="s">
        <v>130</v>
      </c>
      <c r="F142" s="133">
        <f>$F$44/F137</f>
        <v>0.2</v>
      </c>
      <c r="G142" s="133">
        <f t="shared" ref="G142:BR142" si="210">$F$44/G137</f>
        <v>0.2</v>
      </c>
      <c r="H142" s="133">
        <f t="shared" si="210"/>
        <v>0.2</v>
      </c>
      <c r="I142" s="133">
        <f t="shared" si="210"/>
        <v>0.2</v>
      </c>
      <c r="J142" s="133">
        <f t="shared" si="210"/>
        <v>0.2</v>
      </c>
      <c r="K142" s="133">
        <f t="shared" si="210"/>
        <v>0.2</v>
      </c>
      <c r="L142" s="133">
        <f t="shared" si="210"/>
        <v>0.2</v>
      </c>
      <c r="M142" s="133">
        <f t="shared" si="210"/>
        <v>0.2</v>
      </c>
      <c r="N142" s="133">
        <f t="shared" si="210"/>
        <v>0.2</v>
      </c>
      <c r="O142" s="133">
        <f t="shared" si="210"/>
        <v>0.2</v>
      </c>
      <c r="P142" s="133">
        <f t="shared" si="210"/>
        <v>0.2</v>
      </c>
      <c r="Q142" s="133">
        <f t="shared" si="210"/>
        <v>0.2</v>
      </c>
      <c r="R142" s="133">
        <f t="shared" si="210"/>
        <v>0.2</v>
      </c>
      <c r="S142" s="133">
        <f t="shared" si="210"/>
        <v>0.2</v>
      </c>
      <c r="T142" s="133">
        <f t="shared" si="210"/>
        <v>0.2</v>
      </c>
      <c r="U142" s="133">
        <f t="shared" si="210"/>
        <v>0.2</v>
      </c>
      <c r="V142" s="133">
        <f t="shared" si="210"/>
        <v>0.2</v>
      </c>
      <c r="W142" s="133">
        <f t="shared" si="210"/>
        <v>0.2</v>
      </c>
      <c r="X142" s="133">
        <f t="shared" si="210"/>
        <v>0.2</v>
      </c>
      <c r="Y142" s="133">
        <f t="shared" si="210"/>
        <v>0.2</v>
      </c>
      <c r="Z142" s="133">
        <f t="shared" si="210"/>
        <v>0.2</v>
      </c>
      <c r="AA142" s="133">
        <f t="shared" si="210"/>
        <v>0.2</v>
      </c>
      <c r="AB142" s="133">
        <f t="shared" si="210"/>
        <v>0.2</v>
      </c>
      <c r="AC142" s="133">
        <f t="shared" si="210"/>
        <v>0.2</v>
      </c>
      <c r="AD142" s="133">
        <f t="shared" si="210"/>
        <v>0.2</v>
      </c>
      <c r="AE142" s="133">
        <f t="shared" si="210"/>
        <v>0.2</v>
      </c>
      <c r="AF142" s="133">
        <f t="shared" si="210"/>
        <v>0.2</v>
      </c>
      <c r="AG142" s="133">
        <f t="shared" si="210"/>
        <v>0.2</v>
      </c>
      <c r="AH142" s="133">
        <f t="shared" si="210"/>
        <v>0.2</v>
      </c>
      <c r="AI142" s="133">
        <f t="shared" si="210"/>
        <v>0.2</v>
      </c>
      <c r="AJ142" s="133">
        <f t="shared" si="210"/>
        <v>0.2</v>
      </c>
      <c r="AK142" s="133">
        <f t="shared" si="210"/>
        <v>0.2</v>
      </c>
      <c r="AL142" s="133">
        <f t="shared" si="210"/>
        <v>0.2</v>
      </c>
      <c r="AM142" s="133">
        <f t="shared" si="210"/>
        <v>0.2</v>
      </c>
      <c r="AN142" s="133">
        <f t="shared" si="210"/>
        <v>0.2</v>
      </c>
      <c r="AO142" s="133">
        <f t="shared" si="210"/>
        <v>0.2</v>
      </c>
      <c r="AP142" s="133">
        <f t="shared" si="210"/>
        <v>0.2</v>
      </c>
      <c r="AQ142" s="133">
        <f t="shared" si="210"/>
        <v>0.2</v>
      </c>
      <c r="AR142" s="133">
        <f t="shared" si="210"/>
        <v>0.2</v>
      </c>
      <c r="AS142" s="133">
        <f t="shared" si="210"/>
        <v>0.2</v>
      </c>
      <c r="AT142" s="133">
        <f t="shared" si="210"/>
        <v>0.2</v>
      </c>
      <c r="AU142" s="133">
        <f t="shared" si="210"/>
        <v>0.2</v>
      </c>
      <c r="AV142" s="133">
        <f t="shared" si="210"/>
        <v>0.2</v>
      </c>
      <c r="AW142" s="133">
        <f t="shared" si="210"/>
        <v>0.2</v>
      </c>
      <c r="AX142" s="133">
        <f t="shared" si="210"/>
        <v>0.2</v>
      </c>
      <c r="AY142" s="133">
        <f t="shared" si="210"/>
        <v>0.2</v>
      </c>
      <c r="AZ142" s="133">
        <f t="shared" si="210"/>
        <v>0.2</v>
      </c>
      <c r="BA142" s="133">
        <f t="shared" si="210"/>
        <v>0.2</v>
      </c>
      <c r="BB142" s="133">
        <f t="shared" si="210"/>
        <v>0.2</v>
      </c>
      <c r="BC142" s="133">
        <f t="shared" si="210"/>
        <v>0.2</v>
      </c>
      <c r="BD142" s="133">
        <f t="shared" si="210"/>
        <v>0.2</v>
      </c>
      <c r="BE142" s="133">
        <f t="shared" si="210"/>
        <v>0.2</v>
      </c>
      <c r="BF142" s="133">
        <f t="shared" si="210"/>
        <v>0.2</v>
      </c>
      <c r="BG142" s="133">
        <f t="shared" si="210"/>
        <v>0.2</v>
      </c>
      <c r="BH142" s="133">
        <f t="shared" si="210"/>
        <v>0.2</v>
      </c>
      <c r="BI142" s="133">
        <f t="shared" si="210"/>
        <v>0.2</v>
      </c>
      <c r="BJ142" s="133">
        <f t="shared" si="210"/>
        <v>0.2</v>
      </c>
      <c r="BK142" s="133">
        <f t="shared" si="210"/>
        <v>0.2</v>
      </c>
      <c r="BL142" s="133">
        <f t="shared" si="210"/>
        <v>0.2</v>
      </c>
      <c r="BM142" s="133">
        <f t="shared" si="210"/>
        <v>0.2</v>
      </c>
      <c r="BN142" s="133">
        <f t="shared" si="210"/>
        <v>0.2</v>
      </c>
      <c r="BO142" s="133">
        <f t="shared" si="210"/>
        <v>0.2</v>
      </c>
      <c r="BP142" s="133">
        <f t="shared" si="210"/>
        <v>0.2</v>
      </c>
      <c r="BQ142" s="133">
        <f t="shared" si="210"/>
        <v>0.2</v>
      </c>
      <c r="BR142" s="133">
        <f t="shared" si="210"/>
        <v>0.2</v>
      </c>
      <c r="BS142" s="133">
        <f t="shared" ref="BS142:DA142" si="211">$F$44/BS137</f>
        <v>0.2</v>
      </c>
      <c r="BT142" s="133">
        <f t="shared" si="211"/>
        <v>0.2</v>
      </c>
      <c r="BU142" s="133">
        <f t="shared" si="211"/>
        <v>0.2</v>
      </c>
      <c r="BV142" s="133">
        <f t="shared" si="211"/>
        <v>0.2</v>
      </c>
      <c r="BW142" s="133">
        <f t="shared" si="211"/>
        <v>0.2</v>
      </c>
      <c r="BX142" s="133">
        <f t="shared" si="211"/>
        <v>0.2</v>
      </c>
      <c r="BY142" s="133">
        <f t="shared" si="211"/>
        <v>0.2</v>
      </c>
      <c r="BZ142" s="133">
        <f t="shared" si="211"/>
        <v>0.2</v>
      </c>
      <c r="CA142" s="133">
        <f t="shared" si="211"/>
        <v>0.2</v>
      </c>
      <c r="CB142" s="133">
        <f t="shared" si="211"/>
        <v>0.2</v>
      </c>
      <c r="CC142" s="133">
        <f t="shared" si="211"/>
        <v>0.2</v>
      </c>
      <c r="CD142" s="133">
        <f t="shared" si="211"/>
        <v>0.2</v>
      </c>
      <c r="CE142" s="133">
        <f t="shared" si="211"/>
        <v>0.2</v>
      </c>
      <c r="CF142" s="133">
        <f t="shared" si="211"/>
        <v>0.2</v>
      </c>
      <c r="CG142" s="133">
        <f t="shared" si="211"/>
        <v>0.2</v>
      </c>
      <c r="CH142" s="133">
        <f t="shared" si="211"/>
        <v>0.2</v>
      </c>
      <c r="CI142" s="133">
        <f t="shared" si="211"/>
        <v>0.2</v>
      </c>
      <c r="CJ142" s="133">
        <f t="shared" si="211"/>
        <v>0.2</v>
      </c>
      <c r="CK142" s="133">
        <f t="shared" si="211"/>
        <v>0.2</v>
      </c>
      <c r="CL142" s="133">
        <f t="shared" si="211"/>
        <v>0.2</v>
      </c>
      <c r="CM142" s="133">
        <f t="shared" si="211"/>
        <v>0.2</v>
      </c>
      <c r="CN142" s="133">
        <f t="shared" si="211"/>
        <v>0.2</v>
      </c>
      <c r="CO142" s="133">
        <f t="shared" si="211"/>
        <v>0.2</v>
      </c>
      <c r="CP142" s="133">
        <f t="shared" si="211"/>
        <v>0.2</v>
      </c>
      <c r="CQ142" s="133">
        <f t="shared" si="211"/>
        <v>0.2</v>
      </c>
      <c r="CR142" s="133">
        <f t="shared" si="211"/>
        <v>0.2</v>
      </c>
      <c r="CS142" s="133">
        <f t="shared" si="211"/>
        <v>0.2</v>
      </c>
      <c r="CT142" s="133">
        <f t="shared" si="211"/>
        <v>0.2</v>
      </c>
      <c r="CU142" s="133">
        <f t="shared" si="211"/>
        <v>0.2</v>
      </c>
      <c r="CV142" s="133">
        <f t="shared" si="211"/>
        <v>0.2</v>
      </c>
      <c r="CW142" s="133">
        <f t="shared" si="211"/>
        <v>0.2</v>
      </c>
      <c r="CX142" s="133">
        <f t="shared" si="211"/>
        <v>0.2</v>
      </c>
      <c r="CY142" s="133">
        <f t="shared" si="211"/>
        <v>0.2</v>
      </c>
      <c r="CZ142" s="133">
        <f t="shared" si="211"/>
        <v>0.2</v>
      </c>
      <c r="DA142" s="133">
        <f t="shared" si="211"/>
        <v>0.2</v>
      </c>
    </row>
    <row r="143" spans="5:105">
      <c r="E143" s="137" t="s">
        <v>131</v>
      </c>
      <c r="F143" s="133">
        <f>0.725*(1/F142)^0.2</f>
        <v>1.0003040045593807</v>
      </c>
      <c r="G143" s="133">
        <f t="shared" ref="G143:BR143" si="212">0.725*(1/G142)^0.2</f>
        <v>1.0003040045593807</v>
      </c>
      <c r="H143" s="133">
        <f t="shared" si="212"/>
        <v>1.0003040045593807</v>
      </c>
      <c r="I143" s="133">
        <f t="shared" si="212"/>
        <v>1.0003040045593807</v>
      </c>
      <c r="J143" s="133">
        <f t="shared" si="212"/>
        <v>1.0003040045593807</v>
      </c>
      <c r="K143" s="133">
        <f t="shared" si="212"/>
        <v>1.0003040045593807</v>
      </c>
      <c r="L143" s="133">
        <f t="shared" si="212"/>
        <v>1.0003040045593807</v>
      </c>
      <c r="M143" s="133">
        <f t="shared" si="212"/>
        <v>1.0003040045593807</v>
      </c>
      <c r="N143" s="133">
        <f t="shared" si="212"/>
        <v>1.0003040045593807</v>
      </c>
      <c r="O143" s="133">
        <f t="shared" si="212"/>
        <v>1.0003040045593807</v>
      </c>
      <c r="P143" s="133">
        <f t="shared" si="212"/>
        <v>1.0003040045593807</v>
      </c>
      <c r="Q143" s="133">
        <f t="shared" si="212"/>
        <v>1.0003040045593807</v>
      </c>
      <c r="R143" s="133">
        <f t="shared" si="212"/>
        <v>1.0003040045593807</v>
      </c>
      <c r="S143" s="133">
        <f t="shared" si="212"/>
        <v>1.0003040045593807</v>
      </c>
      <c r="T143" s="133">
        <f t="shared" si="212"/>
        <v>1.0003040045593807</v>
      </c>
      <c r="U143" s="133">
        <f t="shared" si="212"/>
        <v>1.0003040045593807</v>
      </c>
      <c r="V143" s="133">
        <f t="shared" si="212"/>
        <v>1.0003040045593807</v>
      </c>
      <c r="W143" s="133">
        <f t="shared" si="212"/>
        <v>1.0003040045593807</v>
      </c>
      <c r="X143" s="133">
        <f t="shared" si="212"/>
        <v>1.0003040045593807</v>
      </c>
      <c r="Y143" s="133">
        <f t="shared" si="212"/>
        <v>1.0003040045593807</v>
      </c>
      <c r="Z143" s="133">
        <f t="shared" si="212"/>
        <v>1.0003040045593807</v>
      </c>
      <c r="AA143" s="133">
        <f t="shared" si="212"/>
        <v>1.0003040045593807</v>
      </c>
      <c r="AB143" s="133">
        <f t="shared" si="212"/>
        <v>1.0003040045593807</v>
      </c>
      <c r="AC143" s="133">
        <f t="shared" si="212"/>
        <v>1.0003040045593807</v>
      </c>
      <c r="AD143" s="133">
        <f t="shared" si="212"/>
        <v>1.0003040045593807</v>
      </c>
      <c r="AE143" s="133">
        <f t="shared" si="212"/>
        <v>1.0003040045593807</v>
      </c>
      <c r="AF143" s="133">
        <f t="shared" si="212"/>
        <v>1.0003040045593807</v>
      </c>
      <c r="AG143" s="133">
        <f t="shared" si="212"/>
        <v>1.0003040045593807</v>
      </c>
      <c r="AH143" s="133">
        <f t="shared" si="212"/>
        <v>1.0003040045593807</v>
      </c>
      <c r="AI143" s="133">
        <f t="shared" si="212"/>
        <v>1.0003040045593807</v>
      </c>
      <c r="AJ143" s="133">
        <f t="shared" si="212"/>
        <v>1.0003040045593807</v>
      </c>
      <c r="AK143" s="133">
        <f t="shared" si="212"/>
        <v>1.0003040045593807</v>
      </c>
      <c r="AL143" s="133">
        <f t="shared" si="212"/>
        <v>1.0003040045593807</v>
      </c>
      <c r="AM143" s="133">
        <f t="shared" si="212"/>
        <v>1.0003040045593807</v>
      </c>
      <c r="AN143" s="133">
        <f t="shared" si="212"/>
        <v>1.0003040045593807</v>
      </c>
      <c r="AO143" s="133">
        <f t="shared" si="212"/>
        <v>1.0003040045593807</v>
      </c>
      <c r="AP143" s="133">
        <f t="shared" si="212"/>
        <v>1.0003040045593807</v>
      </c>
      <c r="AQ143" s="133">
        <f t="shared" si="212"/>
        <v>1.0003040045593807</v>
      </c>
      <c r="AR143" s="133">
        <f t="shared" si="212"/>
        <v>1.0003040045593807</v>
      </c>
      <c r="AS143" s="133">
        <f t="shared" si="212"/>
        <v>1.0003040045593807</v>
      </c>
      <c r="AT143" s="133">
        <f t="shared" si="212"/>
        <v>1.0003040045593807</v>
      </c>
      <c r="AU143" s="133">
        <f t="shared" si="212"/>
        <v>1.0003040045593807</v>
      </c>
      <c r="AV143" s="133">
        <f t="shared" si="212"/>
        <v>1.0003040045593807</v>
      </c>
      <c r="AW143" s="133">
        <f t="shared" si="212"/>
        <v>1.0003040045593807</v>
      </c>
      <c r="AX143" s="133">
        <f t="shared" si="212"/>
        <v>1.0003040045593807</v>
      </c>
      <c r="AY143" s="133">
        <f t="shared" si="212"/>
        <v>1.0003040045593807</v>
      </c>
      <c r="AZ143" s="133">
        <f t="shared" si="212"/>
        <v>1.0003040045593807</v>
      </c>
      <c r="BA143" s="133">
        <f t="shared" si="212"/>
        <v>1.0003040045593807</v>
      </c>
      <c r="BB143" s="133">
        <f t="shared" si="212"/>
        <v>1.0003040045593807</v>
      </c>
      <c r="BC143" s="133">
        <f t="shared" si="212"/>
        <v>1.0003040045593807</v>
      </c>
      <c r="BD143" s="133">
        <f t="shared" si="212"/>
        <v>1.0003040045593807</v>
      </c>
      <c r="BE143" s="133">
        <f t="shared" si="212"/>
        <v>1.0003040045593807</v>
      </c>
      <c r="BF143" s="133">
        <f t="shared" si="212"/>
        <v>1.0003040045593807</v>
      </c>
      <c r="BG143" s="133">
        <f t="shared" si="212"/>
        <v>1.0003040045593807</v>
      </c>
      <c r="BH143" s="133">
        <f t="shared" si="212"/>
        <v>1.0003040045593807</v>
      </c>
      <c r="BI143" s="133">
        <f t="shared" si="212"/>
        <v>1.0003040045593807</v>
      </c>
      <c r="BJ143" s="133">
        <f t="shared" si="212"/>
        <v>1.0003040045593807</v>
      </c>
      <c r="BK143" s="133">
        <f t="shared" si="212"/>
        <v>1.0003040045593807</v>
      </c>
      <c r="BL143" s="133">
        <f t="shared" si="212"/>
        <v>1.0003040045593807</v>
      </c>
      <c r="BM143" s="133">
        <f t="shared" si="212"/>
        <v>1.0003040045593807</v>
      </c>
      <c r="BN143" s="133">
        <f t="shared" si="212"/>
        <v>1.0003040045593807</v>
      </c>
      <c r="BO143" s="133">
        <f t="shared" si="212"/>
        <v>1.0003040045593807</v>
      </c>
      <c r="BP143" s="133">
        <f t="shared" si="212"/>
        <v>1.0003040045593807</v>
      </c>
      <c r="BQ143" s="133">
        <f t="shared" si="212"/>
        <v>1.0003040045593807</v>
      </c>
      <c r="BR143" s="133">
        <f t="shared" si="212"/>
        <v>1.0003040045593807</v>
      </c>
      <c r="BS143" s="133">
        <f t="shared" ref="BS143:DA143" si="213">0.725*(1/BS142)^0.2</f>
        <v>1.0003040045593807</v>
      </c>
      <c r="BT143" s="133">
        <f t="shared" si="213"/>
        <v>1.0003040045593807</v>
      </c>
      <c r="BU143" s="133">
        <f t="shared" si="213"/>
        <v>1.0003040045593807</v>
      </c>
      <c r="BV143" s="133">
        <f t="shared" si="213"/>
        <v>1.0003040045593807</v>
      </c>
      <c r="BW143" s="133">
        <f t="shared" si="213"/>
        <v>1.0003040045593807</v>
      </c>
      <c r="BX143" s="133">
        <f t="shared" si="213"/>
        <v>1.0003040045593807</v>
      </c>
      <c r="BY143" s="133">
        <f t="shared" si="213"/>
        <v>1.0003040045593807</v>
      </c>
      <c r="BZ143" s="133">
        <f t="shared" si="213"/>
        <v>1.0003040045593807</v>
      </c>
      <c r="CA143" s="133">
        <f t="shared" si="213"/>
        <v>1.0003040045593807</v>
      </c>
      <c r="CB143" s="133">
        <f t="shared" si="213"/>
        <v>1.0003040045593807</v>
      </c>
      <c r="CC143" s="133">
        <f t="shared" si="213"/>
        <v>1.0003040045593807</v>
      </c>
      <c r="CD143" s="133">
        <f t="shared" si="213"/>
        <v>1.0003040045593807</v>
      </c>
      <c r="CE143" s="133">
        <f t="shared" si="213"/>
        <v>1.0003040045593807</v>
      </c>
      <c r="CF143" s="133">
        <f t="shared" si="213"/>
        <v>1.0003040045593807</v>
      </c>
      <c r="CG143" s="133">
        <f t="shared" si="213"/>
        <v>1.0003040045593807</v>
      </c>
      <c r="CH143" s="133">
        <f t="shared" si="213"/>
        <v>1.0003040045593807</v>
      </c>
      <c r="CI143" s="133">
        <f t="shared" si="213"/>
        <v>1.0003040045593807</v>
      </c>
      <c r="CJ143" s="133">
        <f t="shared" si="213"/>
        <v>1.0003040045593807</v>
      </c>
      <c r="CK143" s="133">
        <f t="shared" si="213"/>
        <v>1.0003040045593807</v>
      </c>
      <c r="CL143" s="133">
        <f t="shared" si="213"/>
        <v>1.0003040045593807</v>
      </c>
      <c r="CM143" s="133">
        <f t="shared" si="213"/>
        <v>1.0003040045593807</v>
      </c>
      <c r="CN143" s="133">
        <f t="shared" si="213"/>
        <v>1.0003040045593807</v>
      </c>
      <c r="CO143" s="133">
        <f t="shared" si="213"/>
        <v>1.0003040045593807</v>
      </c>
      <c r="CP143" s="133">
        <f t="shared" si="213"/>
        <v>1.0003040045593807</v>
      </c>
      <c r="CQ143" s="133">
        <f t="shared" si="213"/>
        <v>1.0003040045593807</v>
      </c>
      <c r="CR143" s="133">
        <f t="shared" si="213"/>
        <v>1.0003040045593807</v>
      </c>
      <c r="CS143" s="133">
        <f t="shared" si="213"/>
        <v>1.0003040045593807</v>
      </c>
      <c r="CT143" s="133">
        <f t="shared" si="213"/>
        <v>1.0003040045593807</v>
      </c>
      <c r="CU143" s="133">
        <f t="shared" si="213"/>
        <v>1.0003040045593807</v>
      </c>
      <c r="CV143" s="133">
        <f t="shared" si="213"/>
        <v>1.0003040045593807</v>
      </c>
      <c r="CW143" s="133">
        <f t="shared" si="213"/>
        <v>1.0003040045593807</v>
      </c>
      <c r="CX143" s="133">
        <f t="shared" si="213"/>
        <v>1.0003040045593807</v>
      </c>
      <c r="CY143" s="133">
        <f t="shared" si="213"/>
        <v>1.0003040045593807</v>
      </c>
      <c r="CZ143" s="133">
        <f t="shared" si="213"/>
        <v>1.0003040045593807</v>
      </c>
      <c r="DA143" s="133">
        <f t="shared" si="213"/>
        <v>1.0003040045593807</v>
      </c>
    </row>
    <row r="144" spans="5:105">
      <c r="E144" s="137" t="s">
        <v>132</v>
      </c>
      <c r="F144" s="133">
        <f>0.725*(1/F142)^0.2</f>
        <v>1.0003040045593807</v>
      </c>
      <c r="G144" s="133">
        <f t="shared" ref="G144:BR144" si="214">0.725*(1/G142)^0.2</f>
        <v>1.0003040045593807</v>
      </c>
      <c r="H144" s="133">
        <f t="shared" si="214"/>
        <v>1.0003040045593807</v>
      </c>
      <c r="I144" s="133">
        <f t="shared" si="214"/>
        <v>1.0003040045593807</v>
      </c>
      <c r="J144" s="133">
        <f t="shared" si="214"/>
        <v>1.0003040045593807</v>
      </c>
      <c r="K144" s="133">
        <f t="shared" si="214"/>
        <v>1.0003040045593807</v>
      </c>
      <c r="L144" s="133">
        <f t="shared" si="214"/>
        <v>1.0003040045593807</v>
      </c>
      <c r="M144" s="133">
        <f t="shared" si="214"/>
        <v>1.0003040045593807</v>
      </c>
      <c r="N144" s="133">
        <f t="shared" si="214"/>
        <v>1.0003040045593807</v>
      </c>
      <c r="O144" s="133">
        <f t="shared" si="214"/>
        <v>1.0003040045593807</v>
      </c>
      <c r="P144" s="133">
        <f t="shared" si="214"/>
        <v>1.0003040045593807</v>
      </c>
      <c r="Q144" s="133">
        <f t="shared" si="214"/>
        <v>1.0003040045593807</v>
      </c>
      <c r="R144" s="133">
        <f t="shared" si="214"/>
        <v>1.0003040045593807</v>
      </c>
      <c r="S144" s="133">
        <f t="shared" si="214"/>
        <v>1.0003040045593807</v>
      </c>
      <c r="T144" s="133">
        <f t="shared" si="214"/>
        <v>1.0003040045593807</v>
      </c>
      <c r="U144" s="133">
        <f t="shared" si="214"/>
        <v>1.0003040045593807</v>
      </c>
      <c r="V144" s="133">
        <f t="shared" si="214"/>
        <v>1.0003040045593807</v>
      </c>
      <c r="W144" s="133">
        <f t="shared" si="214"/>
        <v>1.0003040045593807</v>
      </c>
      <c r="X144" s="133">
        <f t="shared" si="214"/>
        <v>1.0003040045593807</v>
      </c>
      <c r="Y144" s="133">
        <f t="shared" si="214"/>
        <v>1.0003040045593807</v>
      </c>
      <c r="Z144" s="133">
        <f t="shared" si="214"/>
        <v>1.0003040045593807</v>
      </c>
      <c r="AA144" s="133">
        <f t="shared" si="214"/>
        <v>1.0003040045593807</v>
      </c>
      <c r="AB144" s="133">
        <f t="shared" si="214"/>
        <v>1.0003040045593807</v>
      </c>
      <c r="AC144" s="133">
        <f t="shared" si="214"/>
        <v>1.0003040045593807</v>
      </c>
      <c r="AD144" s="133">
        <f t="shared" si="214"/>
        <v>1.0003040045593807</v>
      </c>
      <c r="AE144" s="133">
        <f t="shared" si="214"/>
        <v>1.0003040045593807</v>
      </c>
      <c r="AF144" s="133">
        <f t="shared" si="214"/>
        <v>1.0003040045593807</v>
      </c>
      <c r="AG144" s="133">
        <f t="shared" si="214"/>
        <v>1.0003040045593807</v>
      </c>
      <c r="AH144" s="133">
        <f t="shared" si="214"/>
        <v>1.0003040045593807</v>
      </c>
      <c r="AI144" s="133">
        <f t="shared" si="214"/>
        <v>1.0003040045593807</v>
      </c>
      <c r="AJ144" s="133">
        <f t="shared" si="214"/>
        <v>1.0003040045593807</v>
      </c>
      <c r="AK144" s="133">
        <f t="shared" si="214"/>
        <v>1.0003040045593807</v>
      </c>
      <c r="AL144" s="133">
        <f t="shared" si="214"/>
        <v>1.0003040045593807</v>
      </c>
      <c r="AM144" s="133">
        <f t="shared" si="214"/>
        <v>1.0003040045593807</v>
      </c>
      <c r="AN144" s="133">
        <f t="shared" si="214"/>
        <v>1.0003040045593807</v>
      </c>
      <c r="AO144" s="133">
        <f t="shared" si="214"/>
        <v>1.0003040045593807</v>
      </c>
      <c r="AP144" s="133">
        <f t="shared" si="214"/>
        <v>1.0003040045593807</v>
      </c>
      <c r="AQ144" s="133">
        <f t="shared" si="214"/>
        <v>1.0003040045593807</v>
      </c>
      <c r="AR144" s="133">
        <f t="shared" si="214"/>
        <v>1.0003040045593807</v>
      </c>
      <c r="AS144" s="133">
        <f t="shared" si="214"/>
        <v>1.0003040045593807</v>
      </c>
      <c r="AT144" s="133">
        <f t="shared" si="214"/>
        <v>1.0003040045593807</v>
      </c>
      <c r="AU144" s="133">
        <f t="shared" si="214"/>
        <v>1.0003040045593807</v>
      </c>
      <c r="AV144" s="133">
        <f t="shared" si="214"/>
        <v>1.0003040045593807</v>
      </c>
      <c r="AW144" s="133">
        <f t="shared" si="214"/>
        <v>1.0003040045593807</v>
      </c>
      <c r="AX144" s="133">
        <f t="shared" si="214"/>
        <v>1.0003040045593807</v>
      </c>
      <c r="AY144" s="133">
        <f t="shared" si="214"/>
        <v>1.0003040045593807</v>
      </c>
      <c r="AZ144" s="133">
        <f t="shared" si="214"/>
        <v>1.0003040045593807</v>
      </c>
      <c r="BA144" s="133">
        <f t="shared" si="214"/>
        <v>1.0003040045593807</v>
      </c>
      <c r="BB144" s="133">
        <f t="shared" si="214"/>
        <v>1.0003040045593807</v>
      </c>
      <c r="BC144" s="133">
        <f t="shared" si="214"/>
        <v>1.0003040045593807</v>
      </c>
      <c r="BD144" s="133">
        <f t="shared" si="214"/>
        <v>1.0003040045593807</v>
      </c>
      <c r="BE144" s="133">
        <f t="shared" si="214"/>
        <v>1.0003040045593807</v>
      </c>
      <c r="BF144" s="133">
        <f t="shared" si="214"/>
        <v>1.0003040045593807</v>
      </c>
      <c r="BG144" s="133">
        <f t="shared" si="214"/>
        <v>1.0003040045593807</v>
      </c>
      <c r="BH144" s="133">
        <f t="shared" si="214"/>
        <v>1.0003040045593807</v>
      </c>
      <c r="BI144" s="133">
        <f t="shared" si="214"/>
        <v>1.0003040045593807</v>
      </c>
      <c r="BJ144" s="133">
        <f t="shared" si="214"/>
        <v>1.0003040045593807</v>
      </c>
      <c r="BK144" s="133">
        <f t="shared" si="214"/>
        <v>1.0003040045593807</v>
      </c>
      <c r="BL144" s="133">
        <f t="shared" si="214"/>
        <v>1.0003040045593807</v>
      </c>
      <c r="BM144" s="133">
        <f t="shared" si="214"/>
        <v>1.0003040045593807</v>
      </c>
      <c r="BN144" s="133">
        <f t="shared" si="214"/>
        <v>1.0003040045593807</v>
      </c>
      <c r="BO144" s="133">
        <f t="shared" si="214"/>
        <v>1.0003040045593807</v>
      </c>
      <c r="BP144" s="133">
        <f t="shared" si="214"/>
        <v>1.0003040045593807</v>
      </c>
      <c r="BQ144" s="133">
        <f t="shared" si="214"/>
        <v>1.0003040045593807</v>
      </c>
      <c r="BR144" s="133">
        <f t="shared" si="214"/>
        <v>1.0003040045593807</v>
      </c>
      <c r="BS144" s="133">
        <f t="shared" ref="BS144:DA144" si="215">0.725*(1/BS142)^0.2</f>
        <v>1.0003040045593807</v>
      </c>
      <c r="BT144" s="133">
        <f t="shared" si="215"/>
        <v>1.0003040045593807</v>
      </c>
      <c r="BU144" s="133">
        <f t="shared" si="215"/>
        <v>1.0003040045593807</v>
      </c>
      <c r="BV144" s="133">
        <f t="shared" si="215"/>
        <v>1.0003040045593807</v>
      </c>
      <c r="BW144" s="133">
        <f t="shared" si="215"/>
        <v>1.0003040045593807</v>
      </c>
      <c r="BX144" s="133">
        <f t="shared" si="215"/>
        <v>1.0003040045593807</v>
      </c>
      <c r="BY144" s="133">
        <f t="shared" si="215"/>
        <v>1.0003040045593807</v>
      </c>
      <c r="BZ144" s="133">
        <f t="shared" si="215"/>
        <v>1.0003040045593807</v>
      </c>
      <c r="CA144" s="133">
        <f t="shared" si="215"/>
        <v>1.0003040045593807</v>
      </c>
      <c r="CB144" s="133">
        <f t="shared" si="215"/>
        <v>1.0003040045593807</v>
      </c>
      <c r="CC144" s="133">
        <f t="shared" si="215"/>
        <v>1.0003040045593807</v>
      </c>
      <c r="CD144" s="133">
        <f t="shared" si="215"/>
        <v>1.0003040045593807</v>
      </c>
      <c r="CE144" s="133">
        <f t="shared" si="215"/>
        <v>1.0003040045593807</v>
      </c>
      <c r="CF144" s="133">
        <f t="shared" si="215"/>
        <v>1.0003040045593807</v>
      </c>
      <c r="CG144" s="133">
        <f t="shared" si="215"/>
        <v>1.0003040045593807</v>
      </c>
      <c r="CH144" s="133">
        <f t="shared" si="215"/>
        <v>1.0003040045593807</v>
      </c>
      <c r="CI144" s="133">
        <f t="shared" si="215"/>
        <v>1.0003040045593807</v>
      </c>
      <c r="CJ144" s="133">
        <f t="shared" si="215"/>
        <v>1.0003040045593807</v>
      </c>
      <c r="CK144" s="133">
        <f t="shared" si="215"/>
        <v>1.0003040045593807</v>
      </c>
      <c r="CL144" s="133">
        <f t="shared" si="215"/>
        <v>1.0003040045593807</v>
      </c>
      <c r="CM144" s="133">
        <f t="shared" si="215"/>
        <v>1.0003040045593807</v>
      </c>
      <c r="CN144" s="133">
        <f t="shared" si="215"/>
        <v>1.0003040045593807</v>
      </c>
      <c r="CO144" s="133">
        <f t="shared" si="215"/>
        <v>1.0003040045593807</v>
      </c>
      <c r="CP144" s="133">
        <f t="shared" si="215"/>
        <v>1.0003040045593807</v>
      </c>
      <c r="CQ144" s="133">
        <f t="shared" si="215"/>
        <v>1.0003040045593807</v>
      </c>
      <c r="CR144" s="133">
        <f t="shared" si="215"/>
        <v>1.0003040045593807</v>
      </c>
      <c r="CS144" s="133">
        <f t="shared" si="215"/>
        <v>1.0003040045593807</v>
      </c>
      <c r="CT144" s="133">
        <f t="shared" si="215"/>
        <v>1.0003040045593807</v>
      </c>
      <c r="CU144" s="133">
        <f t="shared" si="215"/>
        <v>1.0003040045593807</v>
      </c>
      <c r="CV144" s="133">
        <f t="shared" si="215"/>
        <v>1.0003040045593807</v>
      </c>
      <c r="CW144" s="133">
        <f t="shared" si="215"/>
        <v>1.0003040045593807</v>
      </c>
      <c r="CX144" s="133">
        <f t="shared" si="215"/>
        <v>1.0003040045593807</v>
      </c>
      <c r="CY144" s="133">
        <f t="shared" si="215"/>
        <v>1.0003040045593807</v>
      </c>
      <c r="CZ144" s="133">
        <f t="shared" si="215"/>
        <v>1.0003040045593807</v>
      </c>
      <c r="DA144" s="133">
        <f t="shared" si="215"/>
        <v>1.0003040045593807</v>
      </c>
    </row>
    <row r="145" spans="5:105">
      <c r="E145" s="137" t="s">
        <v>133</v>
      </c>
      <c r="F145" s="133">
        <f>1.48+F142^(1/2)</f>
        <v>1.9272135954999579</v>
      </c>
      <c r="G145" s="133">
        <f t="shared" ref="G145:BR145" si="216">1.48+G142^(1/2)</f>
        <v>1.9272135954999579</v>
      </c>
      <c r="H145" s="133">
        <f t="shared" si="216"/>
        <v>1.9272135954999579</v>
      </c>
      <c r="I145" s="133">
        <f t="shared" si="216"/>
        <v>1.9272135954999579</v>
      </c>
      <c r="J145" s="133">
        <f t="shared" si="216"/>
        <v>1.9272135954999579</v>
      </c>
      <c r="K145" s="133">
        <f t="shared" si="216"/>
        <v>1.9272135954999579</v>
      </c>
      <c r="L145" s="133">
        <f t="shared" si="216"/>
        <v>1.9272135954999579</v>
      </c>
      <c r="M145" s="133">
        <f t="shared" si="216"/>
        <v>1.9272135954999579</v>
      </c>
      <c r="N145" s="133">
        <f t="shared" si="216"/>
        <v>1.9272135954999579</v>
      </c>
      <c r="O145" s="133">
        <f t="shared" si="216"/>
        <v>1.9272135954999579</v>
      </c>
      <c r="P145" s="133">
        <f t="shared" si="216"/>
        <v>1.9272135954999579</v>
      </c>
      <c r="Q145" s="133">
        <f t="shared" si="216"/>
        <v>1.9272135954999579</v>
      </c>
      <c r="R145" s="133">
        <f t="shared" si="216"/>
        <v>1.9272135954999579</v>
      </c>
      <c r="S145" s="133">
        <f t="shared" si="216"/>
        <v>1.9272135954999579</v>
      </c>
      <c r="T145" s="133">
        <f t="shared" si="216"/>
        <v>1.9272135954999579</v>
      </c>
      <c r="U145" s="133">
        <f t="shared" si="216"/>
        <v>1.9272135954999579</v>
      </c>
      <c r="V145" s="133">
        <f t="shared" si="216"/>
        <v>1.9272135954999579</v>
      </c>
      <c r="W145" s="133">
        <f t="shared" si="216"/>
        <v>1.9272135954999579</v>
      </c>
      <c r="X145" s="133">
        <f t="shared" si="216"/>
        <v>1.9272135954999579</v>
      </c>
      <c r="Y145" s="133">
        <f t="shared" si="216"/>
        <v>1.9272135954999579</v>
      </c>
      <c r="Z145" s="133">
        <f t="shared" si="216"/>
        <v>1.9272135954999579</v>
      </c>
      <c r="AA145" s="133">
        <f t="shared" si="216"/>
        <v>1.9272135954999579</v>
      </c>
      <c r="AB145" s="133">
        <f t="shared" si="216"/>
        <v>1.9272135954999579</v>
      </c>
      <c r="AC145" s="133">
        <f t="shared" si="216"/>
        <v>1.9272135954999579</v>
      </c>
      <c r="AD145" s="133">
        <f t="shared" si="216"/>
        <v>1.9272135954999579</v>
      </c>
      <c r="AE145" s="133">
        <f t="shared" si="216"/>
        <v>1.9272135954999579</v>
      </c>
      <c r="AF145" s="133">
        <f t="shared" si="216"/>
        <v>1.9272135954999579</v>
      </c>
      <c r="AG145" s="133">
        <f t="shared" si="216"/>
        <v>1.9272135954999579</v>
      </c>
      <c r="AH145" s="133">
        <f t="shared" si="216"/>
        <v>1.9272135954999579</v>
      </c>
      <c r="AI145" s="133">
        <f t="shared" si="216"/>
        <v>1.9272135954999579</v>
      </c>
      <c r="AJ145" s="133">
        <f t="shared" si="216"/>
        <v>1.9272135954999579</v>
      </c>
      <c r="AK145" s="133">
        <f t="shared" si="216"/>
        <v>1.9272135954999579</v>
      </c>
      <c r="AL145" s="133">
        <f t="shared" si="216"/>
        <v>1.9272135954999579</v>
      </c>
      <c r="AM145" s="133">
        <f t="shared" si="216"/>
        <v>1.9272135954999579</v>
      </c>
      <c r="AN145" s="133">
        <f t="shared" si="216"/>
        <v>1.9272135954999579</v>
      </c>
      <c r="AO145" s="133">
        <f t="shared" si="216"/>
        <v>1.9272135954999579</v>
      </c>
      <c r="AP145" s="133">
        <f t="shared" si="216"/>
        <v>1.9272135954999579</v>
      </c>
      <c r="AQ145" s="133">
        <f t="shared" si="216"/>
        <v>1.9272135954999579</v>
      </c>
      <c r="AR145" s="133">
        <f t="shared" si="216"/>
        <v>1.9272135954999579</v>
      </c>
      <c r="AS145" s="133">
        <f t="shared" si="216"/>
        <v>1.9272135954999579</v>
      </c>
      <c r="AT145" s="133">
        <f t="shared" si="216"/>
        <v>1.9272135954999579</v>
      </c>
      <c r="AU145" s="133">
        <f t="shared" si="216"/>
        <v>1.9272135954999579</v>
      </c>
      <c r="AV145" s="133">
        <f t="shared" si="216"/>
        <v>1.9272135954999579</v>
      </c>
      <c r="AW145" s="133">
        <f t="shared" si="216"/>
        <v>1.9272135954999579</v>
      </c>
      <c r="AX145" s="133">
        <f t="shared" si="216"/>
        <v>1.9272135954999579</v>
      </c>
      <c r="AY145" s="133">
        <f t="shared" si="216"/>
        <v>1.9272135954999579</v>
      </c>
      <c r="AZ145" s="133">
        <f t="shared" si="216"/>
        <v>1.9272135954999579</v>
      </c>
      <c r="BA145" s="133">
        <f t="shared" si="216"/>
        <v>1.9272135954999579</v>
      </c>
      <c r="BB145" s="133">
        <f t="shared" si="216"/>
        <v>1.9272135954999579</v>
      </c>
      <c r="BC145" s="133">
        <f t="shared" si="216"/>
        <v>1.9272135954999579</v>
      </c>
      <c r="BD145" s="133">
        <f t="shared" si="216"/>
        <v>1.9272135954999579</v>
      </c>
      <c r="BE145" s="133">
        <f t="shared" si="216"/>
        <v>1.9272135954999579</v>
      </c>
      <c r="BF145" s="133">
        <f t="shared" si="216"/>
        <v>1.9272135954999579</v>
      </c>
      <c r="BG145" s="133">
        <f t="shared" si="216"/>
        <v>1.9272135954999579</v>
      </c>
      <c r="BH145" s="133">
        <f t="shared" si="216"/>
        <v>1.9272135954999579</v>
      </c>
      <c r="BI145" s="133">
        <f t="shared" si="216"/>
        <v>1.9272135954999579</v>
      </c>
      <c r="BJ145" s="133">
        <f t="shared" si="216"/>
        <v>1.9272135954999579</v>
      </c>
      <c r="BK145" s="133">
        <f t="shared" si="216"/>
        <v>1.9272135954999579</v>
      </c>
      <c r="BL145" s="133">
        <f t="shared" si="216"/>
        <v>1.9272135954999579</v>
      </c>
      <c r="BM145" s="133">
        <f t="shared" si="216"/>
        <v>1.9272135954999579</v>
      </c>
      <c r="BN145" s="133">
        <f t="shared" si="216"/>
        <v>1.9272135954999579</v>
      </c>
      <c r="BO145" s="133">
        <f t="shared" si="216"/>
        <v>1.9272135954999579</v>
      </c>
      <c r="BP145" s="133">
        <f t="shared" si="216"/>
        <v>1.9272135954999579</v>
      </c>
      <c r="BQ145" s="133">
        <f t="shared" si="216"/>
        <v>1.9272135954999579</v>
      </c>
      <c r="BR145" s="133">
        <f t="shared" si="216"/>
        <v>1.9272135954999579</v>
      </c>
      <c r="BS145" s="133">
        <f t="shared" ref="BS145:DA145" si="217">1.48+BS142^(1/2)</f>
        <v>1.9272135954999579</v>
      </c>
      <c r="BT145" s="133">
        <f t="shared" si="217"/>
        <v>1.9272135954999579</v>
      </c>
      <c r="BU145" s="133">
        <f t="shared" si="217"/>
        <v>1.9272135954999579</v>
      </c>
      <c r="BV145" s="133">
        <f t="shared" si="217"/>
        <v>1.9272135954999579</v>
      </c>
      <c r="BW145" s="133">
        <f t="shared" si="217"/>
        <v>1.9272135954999579</v>
      </c>
      <c r="BX145" s="133">
        <f t="shared" si="217"/>
        <v>1.9272135954999579</v>
      </c>
      <c r="BY145" s="133">
        <f t="shared" si="217"/>
        <v>1.9272135954999579</v>
      </c>
      <c r="BZ145" s="133">
        <f t="shared" si="217"/>
        <v>1.9272135954999579</v>
      </c>
      <c r="CA145" s="133">
        <f t="shared" si="217"/>
        <v>1.9272135954999579</v>
      </c>
      <c r="CB145" s="133">
        <f t="shared" si="217"/>
        <v>1.9272135954999579</v>
      </c>
      <c r="CC145" s="133">
        <f t="shared" si="217"/>
        <v>1.9272135954999579</v>
      </c>
      <c r="CD145" s="133">
        <f t="shared" si="217"/>
        <v>1.9272135954999579</v>
      </c>
      <c r="CE145" s="133">
        <f t="shared" si="217"/>
        <v>1.9272135954999579</v>
      </c>
      <c r="CF145" s="133">
        <f t="shared" si="217"/>
        <v>1.9272135954999579</v>
      </c>
      <c r="CG145" s="133">
        <f t="shared" si="217"/>
        <v>1.9272135954999579</v>
      </c>
      <c r="CH145" s="133">
        <f t="shared" si="217"/>
        <v>1.9272135954999579</v>
      </c>
      <c r="CI145" s="133">
        <f t="shared" si="217"/>
        <v>1.9272135954999579</v>
      </c>
      <c r="CJ145" s="133">
        <f t="shared" si="217"/>
        <v>1.9272135954999579</v>
      </c>
      <c r="CK145" s="133">
        <f t="shared" si="217"/>
        <v>1.9272135954999579</v>
      </c>
      <c r="CL145" s="133">
        <f t="shared" si="217"/>
        <v>1.9272135954999579</v>
      </c>
      <c r="CM145" s="133">
        <f t="shared" si="217"/>
        <v>1.9272135954999579</v>
      </c>
      <c r="CN145" s="133">
        <f t="shared" si="217"/>
        <v>1.9272135954999579</v>
      </c>
      <c r="CO145" s="133">
        <f t="shared" si="217"/>
        <v>1.9272135954999579</v>
      </c>
      <c r="CP145" s="133">
        <f t="shared" si="217"/>
        <v>1.9272135954999579</v>
      </c>
      <c r="CQ145" s="133">
        <f t="shared" si="217"/>
        <v>1.9272135954999579</v>
      </c>
      <c r="CR145" s="133">
        <f t="shared" si="217"/>
        <v>1.9272135954999579</v>
      </c>
      <c r="CS145" s="133">
        <f t="shared" si="217"/>
        <v>1.9272135954999579</v>
      </c>
      <c r="CT145" s="133">
        <f t="shared" si="217"/>
        <v>1.9272135954999579</v>
      </c>
      <c r="CU145" s="133">
        <f t="shared" si="217"/>
        <v>1.9272135954999579</v>
      </c>
      <c r="CV145" s="133">
        <f t="shared" si="217"/>
        <v>1.9272135954999579</v>
      </c>
      <c r="CW145" s="133">
        <f t="shared" si="217"/>
        <v>1.9272135954999579</v>
      </c>
      <c r="CX145" s="133">
        <f t="shared" si="217"/>
        <v>1.9272135954999579</v>
      </c>
      <c r="CY145" s="133">
        <f t="shared" si="217"/>
        <v>1.9272135954999579</v>
      </c>
      <c r="CZ145" s="133">
        <f t="shared" si="217"/>
        <v>1.9272135954999579</v>
      </c>
      <c r="DA145" s="133">
        <f t="shared" si="217"/>
        <v>1.9272135954999579</v>
      </c>
    </row>
    <row r="146" spans="5:105">
      <c r="E146" s="137" t="s">
        <v>134</v>
      </c>
      <c r="F146" s="133">
        <f t="array" ref="F146:F148">MMULT($I$43:$K$45,F133:F135)</f>
        <v>114.97755907998041</v>
      </c>
      <c r="G146" s="133">
        <f t="array" ref="G146:G148">MMULT($I$43:$K$45,G133:G135)</f>
        <v>78.182210134759259</v>
      </c>
      <c r="H146" s="133">
        <f t="array" ref="H146:H148">MMULT($I$43:$K$45,H133:H135)</f>
        <v>38.130682056047782</v>
      </c>
      <c r="I146" s="133">
        <f t="array" ref="I146:I148">MMULT($I$43:$K$45,I133:I135)</f>
        <v>7.406950731562274</v>
      </c>
      <c r="J146" s="133">
        <f t="array" ref="J146:J148">MMULT($I$43:$K$45,J133:J135)</f>
        <v>47.813943809107705</v>
      </c>
      <c r="K146" s="133">
        <f t="array" ref="K146:K148">MMULT($I$43:$K$45,K133:K135)</f>
        <v>23.355512390138607</v>
      </c>
      <c r="L146" s="133">
        <f t="array" ref="L146:L148">MMULT($I$43:$K$45,L133:L135)</f>
        <v>22.109820893582082</v>
      </c>
      <c r="M146" s="133">
        <f t="array" ref="M146:M148">MMULT($I$43:$K$45,M133:M135)</f>
        <v>16.46324384526887</v>
      </c>
      <c r="N146" s="133">
        <f t="array" ref="N146:N148">MMULT($I$43:$K$45,N133:N135)</f>
        <v>15.039819286753936</v>
      </c>
      <c r="O146" s="133">
        <f t="array" ref="O146:O148">MMULT($I$43:$K$45,O133:O135)</f>
        <v>5.8036895032762255</v>
      </c>
      <c r="P146" s="133">
        <f t="array" ref="P146:P148">MMULT($I$43:$K$45,P133:P135)</f>
        <v>63.745776484550802</v>
      </c>
      <c r="Q146" s="133">
        <f t="array" ref="Q146:Q148">MMULT($I$43:$K$45,Q133:Q135)</f>
        <v>34.413322825275131</v>
      </c>
      <c r="R146" s="133">
        <f t="array" ref="R146:R148">MMULT($I$43:$K$45,R133:R135)</f>
        <v>44.147846260462295</v>
      </c>
      <c r="S146" s="133">
        <f t="array" ref="S146:S148">MMULT($I$43:$K$45,S133:S135)</f>
        <v>16.104109388140234</v>
      </c>
      <c r="T146" s="133">
        <f t="array" ref="T146:T148">MMULT($I$43:$K$45,T133:T135)</f>
        <v>50.985421383761647</v>
      </c>
      <c r="U146" s="133">
        <f t="array" ref="U146:U148">MMULT($I$43:$K$45,U133:U135)</f>
        <v>48.238187779627872</v>
      </c>
      <c r="V146" s="133">
        <f t="array" ref="V146:V148">MMULT($I$43:$K$45,V133:V135)</f>
        <v>19.487073557326863</v>
      </c>
      <c r="W146" s="133">
        <f t="array" ref="W146:W148">MMULT($I$43:$K$45,W133:W135)</f>
        <v>21.586390914436976</v>
      </c>
      <c r="X146" s="133">
        <f t="array" ref="X146:X148">MMULT($I$43:$K$45,X133:X135)</f>
        <v>27.476425471110385</v>
      </c>
      <c r="Y146" s="133">
        <f t="array" ref="Y146:Y148">MMULT($I$43:$K$45,Y133:Y135)</f>
        <v>52.497828286782543</v>
      </c>
      <c r="Z146" s="133">
        <f t="array" ref="Z146:Z148">MMULT($I$43:$K$45,Z133:Z135)</f>
        <v>45.018815229391528</v>
      </c>
      <c r="AA146" s="133">
        <f t="array" ref="AA146:AA148">MMULT($I$43:$K$45,AA133:AA135)</f>
        <v>86.581839976112633</v>
      </c>
      <c r="AB146" s="133">
        <f t="array" ref="AB146:AB148">MMULT($I$43:$K$45,AB133:AB135)</f>
        <v>67.874843341551085</v>
      </c>
      <c r="AC146" s="133">
        <f t="array" ref="AC146:AC148">MMULT($I$43:$K$45,AC133:AC135)</f>
        <v>91.920754517709142</v>
      </c>
      <c r="AD146" s="133">
        <f t="array" ref="AD146:AD148">MMULT($I$43:$K$45,AD133:AD135)</f>
        <v>94.149254394421035</v>
      </c>
      <c r="AE146" s="133">
        <f t="array" ref="AE146:AE148">MMULT($I$43:$K$45,AE133:AE135)</f>
        <v>52.764501964831062</v>
      </c>
      <c r="AF146" s="133">
        <f t="array" ref="AF146:AF148">MMULT($I$43:$K$45,AF133:AF135)</f>
        <v>92.782833594721751</v>
      </c>
      <c r="AG146" s="133">
        <f t="array" ref="AG146:AG148">MMULT($I$43:$K$45,AG133:AG135)</f>
        <v>50.061919314916345</v>
      </c>
      <c r="AH146" s="133">
        <f t="array" ref="AH146:AH148">MMULT($I$43:$K$45,AH133:AH135)</f>
        <v>13.578164001938791</v>
      </c>
      <c r="AI146" s="133">
        <f t="array" ref="AI146:AI148">MMULT($I$43:$K$45,AI133:AI135)</f>
        <v>82.290556604471377</v>
      </c>
      <c r="AJ146" s="133">
        <f t="array" ref="AJ146:AJ148">MMULT($I$43:$K$45,AJ133:AJ135)</f>
        <v>36.295932287429316</v>
      </c>
      <c r="AK146" s="133">
        <f t="array" ref="AK146:AK148">MMULT($I$43:$K$45,AK133:AK135)</f>
        <v>86.247444723582475</v>
      </c>
      <c r="AL146" s="133">
        <f t="array" ref="AL146:AL148">MMULT($I$43:$K$45,AL133:AL135)</f>
        <v>55.827398834381455</v>
      </c>
      <c r="AM146" s="133">
        <f t="array" ref="AM146:AM148">MMULT($I$43:$K$45,AM133:AM135)</f>
        <v>86.794980597176817</v>
      </c>
      <c r="AN146" s="133">
        <f t="array" ref="AN146:AN148">MMULT($I$43:$K$45,AN133:AN135)</f>
        <v>34.337307565499017</v>
      </c>
      <c r="AO146" s="133">
        <f t="array" ref="AO146:AO148">MMULT($I$43:$K$45,AO133:AO135)</f>
        <v>13.71483034111743</v>
      </c>
      <c r="AP146" s="133">
        <f t="array" ref="AP146:AP148">MMULT($I$43:$K$45,AP133:AP135)</f>
        <v>62.311737240782207</v>
      </c>
      <c r="AQ146" s="133">
        <f t="array" ref="AQ146:AQ148">MMULT($I$43:$K$45,AQ133:AQ135)</f>
        <v>18.046109754259664</v>
      </c>
      <c r="AR146" s="133">
        <f t="array" ref="AR146:AR148">MMULT($I$43:$K$45,AR133:AR135)</f>
        <v>76.28110971232347</v>
      </c>
      <c r="AS146" s="133">
        <f t="array" ref="AS146:AS148">MMULT($I$43:$K$45,AS133:AS135)</f>
        <v>8.7504256555913287</v>
      </c>
      <c r="AT146" s="133">
        <f t="array" ref="AT146:AT148">MMULT($I$43:$K$45,AT133:AT135)</f>
        <v>18.896527820365534</v>
      </c>
      <c r="AU146" s="133">
        <f t="array" ref="AU146:AU148">MMULT($I$43:$K$45,AU133:AU135)</f>
        <v>78.936505081472248</v>
      </c>
      <c r="AV146" s="133">
        <f t="array" ref="AV146:AV148">MMULT($I$43:$K$45,AV133:AV135)</f>
        <v>40.224134573997688</v>
      </c>
      <c r="AW146" s="133">
        <f t="array" ref="AW146:AW148">MMULT($I$43:$K$45,AW133:AW135)</f>
        <v>46.073754595493988</v>
      </c>
      <c r="AX146" s="133">
        <f t="array" ref="AX146:AX148">MMULT($I$43:$K$45,AX133:AX135)</f>
        <v>5.6747273022410063</v>
      </c>
      <c r="AY146" s="133">
        <f t="array" ref="AY146:AY148">MMULT($I$43:$K$45,AY133:AY135)</f>
        <v>26.008983945365625</v>
      </c>
      <c r="AZ146" s="133">
        <f t="array" ref="AZ146:AZ148">MMULT($I$43:$K$45,AZ133:AZ135)</f>
        <v>36.603147960967391</v>
      </c>
      <c r="BA146" s="133">
        <f t="array" ref="BA146:BA148">MMULT($I$43:$K$45,BA133:BA135)</f>
        <v>40.953451715988685</v>
      </c>
      <c r="BB146" s="133">
        <f t="array" ref="BB146:BB148">MMULT($I$43:$K$45,BB133:BB135)</f>
        <v>53.344903819480628</v>
      </c>
      <c r="BC146" s="133">
        <f t="array" ref="BC146:BC148">MMULT($I$43:$K$45,BC133:BC135)</f>
        <v>14.725224693301058</v>
      </c>
      <c r="BD146" s="133">
        <f t="array" ref="BD146:BD148">MMULT($I$43:$K$45,BD133:BD135)</f>
        <v>21.012799745090486</v>
      </c>
      <c r="BE146" s="133">
        <f t="array" ref="BE146:BE148">MMULT($I$43:$K$45,BE133:BE135)</f>
        <v>25.000174389943677</v>
      </c>
      <c r="BF146" s="133">
        <f t="array" ref="BF146:BF148">MMULT($I$43:$K$45,BF133:BF135)</f>
        <v>10.503223797330415</v>
      </c>
      <c r="BG146" s="133">
        <f t="array" ref="BG146:BG148">MMULT($I$43:$K$45,BG133:BG135)</f>
        <v>14.508473012179994</v>
      </c>
      <c r="BH146" s="133">
        <f t="array" ref="BH146:BH148">MMULT($I$43:$K$45,BH133:BH135)</f>
        <v>72.238594403865989</v>
      </c>
      <c r="BI146" s="133">
        <f t="array" ref="BI146:BI148">MMULT($I$43:$K$45,BI133:BI135)</f>
        <v>63.177828555810414</v>
      </c>
      <c r="BJ146" s="133">
        <f t="array" ref="BJ146:BJ148">MMULT($I$43:$K$45,BJ133:BJ135)</f>
        <v>36.503166167932889</v>
      </c>
      <c r="BK146" s="133">
        <f t="array" ref="BK146:BK148">MMULT($I$43:$K$45,BK133:BK135)</f>
        <v>20.340113218168263</v>
      </c>
      <c r="BL146" s="133">
        <f t="array" ref="BL146:BL148">MMULT($I$43:$K$45,BL133:BL135)</f>
        <v>16.949459589788432</v>
      </c>
      <c r="BM146" s="133">
        <f t="array" ref="BM146:BM148">MMULT($I$43:$K$45,BM133:BM135)</f>
        <v>71.154791219818691</v>
      </c>
      <c r="BN146" s="133">
        <f t="array" ref="BN146:BN148">MMULT($I$43:$K$45,BN133:BN135)</f>
        <v>77.407489021022215</v>
      </c>
      <c r="BO146" s="133">
        <f t="array" ref="BO146:BO148">MMULT($I$43:$K$45,BO133:BO135)</f>
        <v>50.219948346406021</v>
      </c>
      <c r="BP146" s="133">
        <f t="array" ref="BP146:BP148">MMULT($I$43:$K$45,BP133:BP135)</f>
        <v>36.57202468095457</v>
      </c>
      <c r="BQ146" s="133">
        <f t="array" ref="BQ146:BQ148">MMULT($I$43:$K$45,BQ133:BQ135)</f>
        <v>8.2897575660401799</v>
      </c>
      <c r="BR146" s="133">
        <f t="array" ref="BR146:BR148">MMULT($I$43:$K$45,BR133:BR135)</f>
        <v>20.265971345947342</v>
      </c>
      <c r="BS146" s="133">
        <f t="array" ref="BS146:BS148">MMULT($I$43:$K$45,BS133:BS135)</f>
        <v>9.9735739374024082</v>
      </c>
      <c r="BT146" s="133">
        <f t="array" ref="BT146:BT148">MMULT($I$43:$K$45,BT133:BT135)</f>
        <v>10.254708752661028</v>
      </c>
      <c r="BU146" s="133">
        <f t="array" ref="BU146:BU148">MMULT($I$43:$K$45,BU133:BU135)</f>
        <v>12.006266914291292</v>
      </c>
      <c r="BV146" s="133">
        <f t="array" ref="BV146:BV148">MMULT($I$43:$K$45,BV133:BV135)</f>
        <v>28.953320941986124</v>
      </c>
      <c r="BW146" s="133">
        <f t="array" ref="BW146:BW148">MMULT($I$43:$K$45,BW133:BW135)</f>
        <v>20.125824422281138</v>
      </c>
      <c r="BX146" s="133">
        <f t="array" ref="BX146:BX148">MMULT($I$43:$K$45,BX133:BX135)</f>
        <v>39.167364644790169</v>
      </c>
      <c r="BY146" s="133">
        <f t="array" ref="BY146:BY148">MMULT($I$43:$K$45,BY133:BY135)</f>
        <v>6.613421690372193</v>
      </c>
      <c r="BZ146" s="133">
        <f t="array" ref="BZ146:BZ148">MMULT($I$43:$K$45,BZ133:BZ135)</f>
        <v>51.828320780109422</v>
      </c>
      <c r="CA146" s="133">
        <f t="array" ref="CA146:CA148">MMULT($I$43:$K$45,CA133:CA135)</f>
        <v>19.599717791321886</v>
      </c>
      <c r="CB146" s="133">
        <f t="array" ref="CB146:CB148">MMULT($I$43:$K$45,CB133:CB135)</f>
        <v>5.3542104185260602</v>
      </c>
      <c r="CC146" s="133">
        <f t="array" ref="CC146:CC148">MMULT($I$43:$K$45,CC133:CC135)</f>
        <v>6.0127613495405257</v>
      </c>
      <c r="CD146" s="133">
        <f t="array" ref="CD146:CD148">MMULT($I$43:$K$45,CD133:CD135)</f>
        <v>12.437028716557137</v>
      </c>
      <c r="CE146" s="133">
        <f t="array" ref="CE146:CE148">MMULT($I$43:$K$45,CE133:CE135)</f>
        <v>11.777587368313803</v>
      </c>
      <c r="CF146" s="133">
        <f t="array" ref="CF146:CF148">MMULT($I$43:$K$45,CF133:CF135)</f>
        <v>10.630581267260681</v>
      </c>
      <c r="CG146" s="133">
        <f t="array" ref="CG146:CG148">MMULT($I$43:$K$45,CG133:CG135)</f>
        <v>44.731581905199675</v>
      </c>
      <c r="CH146" s="133">
        <f t="array" ref="CH146:CH148">MMULT($I$43:$K$45,CH133:CH135)</f>
        <v>33.6562710486619</v>
      </c>
      <c r="CI146" s="133">
        <f t="array" ref="CI146:CI148">MMULT($I$43:$K$45,CI133:CI135)</f>
        <v>12.164133137205113</v>
      </c>
      <c r="CJ146" s="133">
        <f t="array" ref="CJ146:CJ148">MMULT($I$43:$K$45,CJ133:CJ135)</f>
        <v>75.760177151918725</v>
      </c>
      <c r="CK146" s="133">
        <f t="array" ref="CK146:CK148">MMULT($I$43:$K$45,CK133:CK135)</f>
        <v>46.088460048738483</v>
      </c>
      <c r="CL146" s="133">
        <f t="array" ref="CL146:CL148">MMULT($I$43:$K$45,CL133:CL135)</f>
        <v>5.3552340060597352</v>
      </c>
      <c r="CM146" s="133">
        <f t="array" ref="CM146:CM148">MMULT($I$43:$K$45,CM133:CM135)</f>
        <v>11.86212151659924</v>
      </c>
      <c r="CN146" s="133">
        <f t="array" ref="CN146:CN148">MMULT($I$43:$K$45,CN133:CN135)</f>
        <v>34.115955775101412</v>
      </c>
      <c r="CO146" s="133">
        <f t="array" ref="CO146:CO148">MMULT($I$43:$K$45,CO133:CO135)</f>
        <v>11.092016893911998</v>
      </c>
      <c r="CP146" s="133">
        <f t="array" ref="CP146:CP148">MMULT($I$43:$K$45,CP133:CP135)</f>
        <v>32.679151118446093</v>
      </c>
      <c r="CQ146" s="133">
        <f t="array" ref="CQ146:CQ148">MMULT($I$43:$K$45,CQ133:CQ135)</f>
        <v>10.798958099160089</v>
      </c>
      <c r="CR146" s="133">
        <f t="array" ref="CR146:CR148">MMULT($I$43:$K$45,CR133:CR135)</f>
        <v>15.086790704978849</v>
      </c>
      <c r="CS146" s="133">
        <f t="array" ref="CS146:CS148">MMULT($I$43:$K$45,CS133:CS135)</f>
        <v>61.554520427831001</v>
      </c>
      <c r="CT146" s="133">
        <f t="array" ref="CT146:CT148">MMULT($I$43:$K$45,CT133:CT135)</f>
        <v>25.19539494434434</v>
      </c>
      <c r="CU146" s="133">
        <f t="array" ref="CU146:CU148">MMULT($I$43:$K$45,CU133:CU135)</f>
        <v>39.484417906223328</v>
      </c>
      <c r="CV146" s="133">
        <f t="array" ref="CV146:CV148">MMULT($I$43:$K$45,CV133:CV135)</f>
        <v>11.920818856303965</v>
      </c>
      <c r="CW146" s="133">
        <f t="array" ref="CW146:CW148">MMULT($I$43:$K$45,CW133:CW135)</f>
        <v>44.811902869697768</v>
      </c>
      <c r="CX146" s="133">
        <f t="array" ref="CX146:CX148">MMULT($I$43:$K$45,CX133:CX135)</f>
        <v>60.064405626180402</v>
      </c>
      <c r="CY146" s="133">
        <f t="array" ref="CY146:CY148">MMULT($I$43:$K$45,CY133:CY135)</f>
        <v>24.630560300939003</v>
      </c>
      <c r="CZ146" s="133">
        <f t="array" ref="CZ146:CZ148">MMULT($I$43:$K$45,CZ133:CZ135)</f>
        <v>41.510956917105155</v>
      </c>
      <c r="DA146" s="133">
        <f t="array" ref="DA146:DA148">MMULT($I$43:$K$45,DA133:DA135)</f>
        <v>25.595121820230009</v>
      </c>
    </row>
    <row r="147" spans="5:105">
      <c r="E147" s="137" t="s">
        <v>135</v>
      </c>
      <c r="F147" s="133">
        <v>93.48006996875273</v>
      </c>
      <c r="G147" s="133">
        <v>52.775421128993521</v>
      </c>
      <c r="H147" s="133">
        <v>17.024340262978058</v>
      </c>
      <c r="I147" s="133">
        <v>4.404821613621233</v>
      </c>
      <c r="J147" s="133">
        <v>28.71513290311184</v>
      </c>
      <c r="K147" s="133">
        <v>8.7357360614479109</v>
      </c>
      <c r="L147" s="133">
        <v>13.188538170408513</v>
      </c>
      <c r="M147" s="133">
        <v>5.7306917740458978</v>
      </c>
      <c r="N147" s="133">
        <v>5.8937159145865374</v>
      </c>
      <c r="O147" s="133">
        <v>4.427843615504913</v>
      </c>
      <c r="P147" s="133">
        <v>29.432162247062283</v>
      </c>
      <c r="Q147" s="133">
        <v>14.753199290806398</v>
      </c>
      <c r="R147" s="133">
        <v>18.471915782204153</v>
      </c>
      <c r="S147" s="133">
        <v>8.3532788893390997</v>
      </c>
      <c r="T147" s="133">
        <v>38.154793677350511</v>
      </c>
      <c r="U147" s="133">
        <v>32.233219811049857</v>
      </c>
      <c r="V147" s="133">
        <v>10.973710565873988</v>
      </c>
      <c r="W147" s="133">
        <v>12.821571350564872</v>
      </c>
      <c r="X147" s="133">
        <v>17.862083605391252</v>
      </c>
      <c r="Y147" s="133">
        <v>32.386817453298946</v>
      </c>
      <c r="Z147" s="133">
        <v>23.271368142951108</v>
      </c>
      <c r="AA147" s="133">
        <v>54.276995206412224</v>
      </c>
      <c r="AB147" s="133">
        <v>40.426630433668286</v>
      </c>
      <c r="AC147" s="133">
        <v>70.726785036417994</v>
      </c>
      <c r="AD147" s="133">
        <v>67.593936613405461</v>
      </c>
      <c r="AE147" s="133">
        <v>34.433170746806901</v>
      </c>
      <c r="AF147" s="133">
        <v>64.896475309605435</v>
      </c>
      <c r="AG147" s="133">
        <v>38.919187417064457</v>
      </c>
      <c r="AH147" s="133">
        <v>10.570910865007919</v>
      </c>
      <c r="AI147" s="133">
        <v>61.132589300563865</v>
      </c>
      <c r="AJ147" s="133">
        <v>27.559119599805292</v>
      </c>
      <c r="AK147" s="133">
        <v>65.336175488209307</v>
      </c>
      <c r="AL147" s="133">
        <v>42.568143362280516</v>
      </c>
      <c r="AM147" s="133">
        <v>67.963579851477434</v>
      </c>
      <c r="AN147" s="133">
        <v>27.128343974392646</v>
      </c>
      <c r="AO147" s="133">
        <v>11.220642291436601</v>
      </c>
      <c r="AP147" s="133">
        <v>50.028534015552907</v>
      </c>
      <c r="AQ147" s="133">
        <v>15.377616573646918</v>
      </c>
      <c r="AR147" s="133">
        <v>61.897976327007378</v>
      </c>
      <c r="AS147" s="133">
        <v>7.2360095829500546</v>
      </c>
      <c r="AT147" s="133">
        <v>15.919866240551476</v>
      </c>
      <c r="AU147" s="133">
        <v>65.449501553949048</v>
      </c>
      <c r="AV147" s="133">
        <v>39.069125980831188</v>
      </c>
      <c r="AW147" s="133">
        <v>44.094053023137441</v>
      </c>
      <c r="AX147" s="133">
        <v>4.662373184873684</v>
      </c>
      <c r="AY147" s="133">
        <v>26.320286870288985</v>
      </c>
      <c r="AZ147" s="133">
        <v>34.293772717851439</v>
      </c>
      <c r="BA147" s="133">
        <v>36.469677251518824</v>
      </c>
      <c r="BB147" s="133">
        <v>52.318022940230421</v>
      </c>
      <c r="BC147" s="133">
        <v>15.190355768885079</v>
      </c>
      <c r="BD147" s="133">
        <v>21.502425904905081</v>
      </c>
      <c r="BE147" s="133">
        <v>24.438224503875258</v>
      </c>
      <c r="BF147" s="133">
        <v>12.015574015504242</v>
      </c>
      <c r="BG147" s="133">
        <v>19.65614428980739</v>
      </c>
      <c r="BH147" s="133">
        <v>67.004063999625231</v>
      </c>
      <c r="BI147" s="133">
        <v>60.1851012272408</v>
      </c>
      <c r="BJ147" s="133">
        <v>43.533845056372002</v>
      </c>
      <c r="BK147" s="133">
        <v>27.079339194916805</v>
      </c>
      <c r="BL147" s="133">
        <v>23.20696874659258</v>
      </c>
      <c r="BM147" s="133">
        <v>65.934534555077178</v>
      </c>
      <c r="BN147" s="133">
        <v>65.749576566461016</v>
      </c>
      <c r="BO147" s="133">
        <v>46.592685561163634</v>
      </c>
      <c r="BP147" s="133">
        <v>31.289955316827889</v>
      </c>
      <c r="BQ147" s="133">
        <v>6.7153219544404958</v>
      </c>
      <c r="BR147" s="133">
        <v>26.30929071773226</v>
      </c>
      <c r="BS147" s="133">
        <v>10.533598367386171</v>
      </c>
      <c r="BT147" s="133">
        <v>13.588145891092804</v>
      </c>
      <c r="BU147" s="133">
        <v>15.813210067005379</v>
      </c>
      <c r="BV147" s="133">
        <v>29.183043395289193</v>
      </c>
      <c r="BW147" s="133">
        <v>17.81589919378796</v>
      </c>
      <c r="BX147" s="133">
        <v>39.668077659439199</v>
      </c>
      <c r="BY147" s="133">
        <v>7.1866787205145197</v>
      </c>
      <c r="BZ147" s="133">
        <v>44.28224729231944</v>
      </c>
      <c r="CA147" s="133">
        <v>22.83081120702343</v>
      </c>
      <c r="CB147" s="133">
        <v>4.4778515489663517</v>
      </c>
      <c r="CC147" s="133">
        <v>6.1750156434438601</v>
      </c>
      <c r="CD147" s="133">
        <v>13.296138937769099</v>
      </c>
      <c r="CE147" s="133">
        <v>11.53894081794458</v>
      </c>
      <c r="CF147" s="133">
        <v>11.009667613176253</v>
      </c>
      <c r="CG147" s="133">
        <v>38.606057675716151</v>
      </c>
      <c r="CH147" s="133">
        <v>27.635891223529978</v>
      </c>
      <c r="CI147" s="133">
        <v>9.6038038028055741</v>
      </c>
      <c r="CJ147" s="133">
        <v>61.55248260589044</v>
      </c>
      <c r="CK147" s="133">
        <v>36.895444647309837</v>
      </c>
      <c r="CL147" s="133">
        <v>4.0815099752112207</v>
      </c>
      <c r="CM147" s="133">
        <v>9.0705280037516314</v>
      </c>
      <c r="CN147" s="133">
        <v>25.644544433774755</v>
      </c>
      <c r="CO147" s="133">
        <v>6.7917344406260511</v>
      </c>
      <c r="CP147" s="133">
        <v>20.810186563921647</v>
      </c>
      <c r="CQ147" s="133">
        <v>6.3949461457624759</v>
      </c>
      <c r="CR147" s="133">
        <v>8.2995561765093306</v>
      </c>
      <c r="CS147" s="133">
        <v>48.697201821671051</v>
      </c>
      <c r="CT147" s="133">
        <v>16.938749163290975</v>
      </c>
      <c r="CU147" s="133">
        <v>27.963378988237928</v>
      </c>
      <c r="CV147" s="133">
        <v>6.2805959180718771</v>
      </c>
      <c r="CW147" s="133">
        <v>29.482776981351691</v>
      </c>
      <c r="CX147" s="133">
        <v>40.610187644904371</v>
      </c>
      <c r="CY147" s="133">
        <v>13.140818452181371</v>
      </c>
      <c r="CZ147" s="133">
        <v>19.711651243029966</v>
      </c>
      <c r="DA147" s="133">
        <v>10.303941099007206</v>
      </c>
    </row>
    <row r="148" spans="5:105">
      <c r="E148" s="137" t="s">
        <v>20</v>
      </c>
      <c r="F148" s="133">
        <v>48.432047232370344</v>
      </c>
      <c r="G148" s="133">
        <v>29.654053208617995</v>
      </c>
      <c r="H148" s="133">
        <v>10.981869469132706</v>
      </c>
      <c r="I148" s="133">
        <v>2.6911041586721689</v>
      </c>
      <c r="J148" s="133">
        <v>14.137308260402822</v>
      </c>
      <c r="K148" s="133">
        <v>4.5170745878609839</v>
      </c>
      <c r="L148" s="133">
        <v>6.2149449884384911</v>
      </c>
      <c r="M148" s="133">
        <v>2.7888701440436612</v>
      </c>
      <c r="N148" s="133">
        <v>2.849353170300299</v>
      </c>
      <c r="O148" s="133">
        <v>2.3519597771638967</v>
      </c>
      <c r="P148" s="133">
        <v>9.2423279845960966</v>
      </c>
      <c r="Q148" s="133">
        <v>3.7957906482497199</v>
      </c>
      <c r="R148" s="133">
        <v>4.5994526860631568</v>
      </c>
      <c r="S148" s="133">
        <v>2.4504890776218615</v>
      </c>
      <c r="T148" s="133">
        <v>17.451760274026206</v>
      </c>
      <c r="U148" s="133">
        <v>13.172735417592047</v>
      </c>
      <c r="V148" s="133">
        <v>2.8640801783639107</v>
      </c>
      <c r="W148" s="133">
        <v>3.136881353345975</v>
      </c>
      <c r="X148" s="133">
        <v>5.8837396362718781</v>
      </c>
      <c r="Y148" s="133">
        <v>6.5854689766664922</v>
      </c>
      <c r="Z148" s="133">
        <v>2.5797769896073279</v>
      </c>
      <c r="AA148" s="133">
        <v>9.4657757794282489</v>
      </c>
      <c r="AB148" s="133">
        <v>6.0932799656795371</v>
      </c>
      <c r="AC148" s="133">
        <v>26.843946388339127</v>
      </c>
      <c r="AD148" s="133">
        <v>15.14911344780891</v>
      </c>
      <c r="AE148" s="133">
        <v>3.321248484729896</v>
      </c>
      <c r="AF148" s="133">
        <v>11.143572649024218</v>
      </c>
      <c r="AG148" s="133">
        <v>12.780783155406315</v>
      </c>
      <c r="AH148" s="133">
        <v>2.4524160169705134</v>
      </c>
      <c r="AI148" s="133">
        <v>10.055569733207767</v>
      </c>
      <c r="AJ148" s="133">
        <v>7.7063413745042482</v>
      </c>
      <c r="AK148" s="133">
        <v>10.944081100630051</v>
      </c>
      <c r="AL148" s="133">
        <v>4.7092645357556204</v>
      </c>
      <c r="AM148" s="133">
        <v>19.050182771646625</v>
      </c>
      <c r="AN148" s="133">
        <v>3.1269910963334415</v>
      </c>
      <c r="AO148" s="133">
        <v>2.6062205572466732</v>
      </c>
      <c r="AP148" s="133">
        <v>22.999788391737553</v>
      </c>
      <c r="AQ148" s="133">
        <v>3.0363876091034552</v>
      </c>
      <c r="AR148" s="133">
        <v>20.423142372760882</v>
      </c>
      <c r="AS148" s="133">
        <v>2.7358203953649913</v>
      </c>
      <c r="AT148" s="133">
        <v>4.6827215012765988</v>
      </c>
      <c r="AU148" s="133">
        <v>27.651148608715658</v>
      </c>
      <c r="AV148" s="133">
        <v>4.711138235151588</v>
      </c>
      <c r="AW148" s="133">
        <v>5.018029790545075</v>
      </c>
      <c r="AX148" s="133">
        <v>2.2901310963478299</v>
      </c>
      <c r="AY148" s="133">
        <v>4.6871843739568089</v>
      </c>
      <c r="AZ148" s="133">
        <v>8.8783197380942802</v>
      </c>
      <c r="BA148" s="133">
        <v>12.564595941377345</v>
      </c>
      <c r="BB148" s="133">
        <v>15.450057037031158</v>
      </c>
      <c r="BC148" s="133">
        <v>3.5256439263850456</v>
      </c>
      <c r="BD148" s="133">
        <v>7.5737250062714718</v>
      </c>
      <c r="BE148" s="133">
        <v>9.4930373206299521</v>
      </c>
      <c r="BF148" s="133">
        <v>3.6139836965273955</v>
      </c>
      <c r="BG148" s="133">
        <v>6.3770774947642312</v>
      </c>
      <c r="BH148" s="133">
        <v>32.714860134999292</v>
      </c>
      <c r="BI148" s="133">
        <v>30.141613501081945</v>
      </c>
      <c r="BJ148" s="133">
        <v>20.195556042056257</v>
      </c>
      <c r="BK148" s="133">
        <v>12.37556821204171</v>
      </c>
      <c r="BL148" s="133">
        <v>11.452428555396104</v>
      </c>
      <c r="BM148" s="133">
        <v>33.79513256798586</v>
      </c>
      <c r="BN148" s="133">
        <v>35.037328734887595</v>
      </c>
      <c r="BO148" s="133">
        <v>25.628040831964498</v>
      </c>
      <c r="BP148" s="133">
        <v>17.403715737687062</v>
      </c>
      <c r="BQ148" s="133">
        <v>3.6856795604366637</v>
      </c>
      <c r="BR148" s="133">
        <v>18.17909185728525</v>
      </c>
      <c r="BS148" s="133">
        <v>6.79619659614327</v>
      </c>
      <c r="BT148" s="133">
        <v>11.235931411669583</v>
      </c>
      <c r="BU148" s="133">
        <v>13.613045971596664</v>
      </c>
      <c r="BV148" s="133">
        <v>20.987894193938054</v>
      </c>
      <c r="BW148" s="133">
        <v>11.881923859317336</v>
      </c>
      <c r="BX148" s="133">
        <v>32.893197356374195</v>
      </c>
      <c r="BY148" s="133">
        <v>8.1349662207905169</v>
      </c>
      <c r="BZ148" s="133">
        <v>26.090029291651909</v>
      </c>
      <c r="CA148" s="133">
        <v>25.823824898224704</v>
      </c>
      <c r="CB148" s="133">
        <v>2.620902523779769</v>
      </c>
      <c r="CC148" s="133">
        <v>7.7371884519585334</v>
      </c>
      <c r="CD148" s="133">
        <v>21.527752590733229</v>
      </c>
      <c r="CE148" s="133">
        <v>13.276103219770196</v>
      </c>
      <c r="CF148" s="133">
        <v>19.103525332496265</v>
      </c>
      <c r="CG148" s="133">
        <v>30.58167975995773</v>
      </c>
      <c r="CH148" s="133">
        <v>26.573438482838355</v>
      </c>
      <c r="CI148" s="133">
        <v>14.919065412445654</v>
      </c>
      <c r="CJ148" s="133">
        <v>37.531417948825109</v>
      </c>
      <c r="CK148" s="133">
        <v>27.545843411438589</v>
      </c>
      <c r="CL148" s="133">
        <v>2.8973099557542357</v>
      </c>
      <c r="CM148" s="133">
        <v>7.8210159755289315</v>
      </c>
      <c r="CN148" s="133">
        <v>25.768908378745611</v>
      </c>
      <c r="CO148" s="133">
        <v>10.325045968794857</v>
      </c>
      <c r="CP148" s="133">
        <v>20.86542224905758</v>
      </c>
      <c r="CQ148" s="133">
        <v>7.834213944615545</v>
      </c>
      <c r="CR148" s="133">
        <v>9.984403872611999</v>
      </c>
      <c r="CS148" s="133">
        <v>27.798998929998653</v>
      </c>
      <c r="CT148" s="133">
        <v>13.780774795185945</v>
      </c>
      <c r="CU148" s="133">
        <v>19.28553484334067</v>
      </c>
      <c r="CV148" s="133">
        <v>6.5610004053574791</v>
      </c>
      <c r="CW148" s="133">
        <v>21.484611181943997</v>
      </c>
      <c r="CX148" s="133">
        <v>26.967206173425357</v>
      </c>
      <c r="CY148" s="133">
        <v>10.132450686972911</v>
      </c>
      <c r="CZ148" s="133">
        <v>14.828995600510407</v>
      </c>
      <c r="DA148" s="133">
        <v>8.8423920492047241</v>
      </c>
    </row>
    <row r="149" spans="5:105">
      <c r="E149" s="137" t="s">
        <v>136</v>
      </c>
      <c r="F149" s="133">
        <f t="array" ref="F149:F151">MMULT($I$43:$K$45,F136:F138)</f>
        <v>114.97755907998041</v>
      </c>
      <c r="G149" s="133">
        <f t="array" ref="G149:G151">MMULT($I$43:$K$45,G136:G138)</f>
        <v>114.97755907998041</v>
      </c>
      <c r="H149" s="133">
        <f t="array" ref="H149:H151">MMULT($I$43:$K$45,H136:H138)</f>
        <v>114.97755907998041</v>
      </c>
      <c r="I149" s="133">
        <f t="array" ref="I149:I151">MMULT($I$43:$K$45,I136:I138)</f>
        <v>114.97755907998041</v>
      </c>
      <c r="J149" s="133">
        <f t="array" ref="J149:J151">MMULT($I$43:$K$45,J136:J138)</f>
        <v>114.97755907998041</v>
      </c>
      <c r="K149" s="133">
        <f t="array" ref="K149:K151">MMULT($I$43:$K$45,K136:K138)</f>
        <v>114.97755907998041</v>
      </c>
      <c r="L149" s="133">
        <f t="array" ref="L149:L151">MMULT($I$43:$K$45,L136:L138)</f>
        <v>114.97755907998041</v>
      </c>
      <c r="M149" s="133">
        <f t="array" ref="M149:M151">MMULT($I$43:$K$45,M136:M138)</f>
        <v>114.97755907998041</v>
      </c>
      <c r="N149" s="133">
        <f t="array" ref="N149:N151">MMULT($I$43:$K$45,N136:N138)</f>
        <v>114.97755907998041</v>
      </c>
      <c r="O149" s="133">
        <f t="array" ref="O149:O151">MMULT($I$43:$K$45,O136:O138)</f>
        <v>114.97755907998041</v>
      </c>
      <c r="P149" s="133">
        <f t="array" ref="P149:P151">MMULT($I$43:$K$45,P136:P138)</f>
        <v>114.97755907998041</v>
      </c>
      <c r="Q149" s="133">
        <f t="array" ref="Q149:Q151">MMULT($I$43:$K$45,Q136:Q138)</f>
        <v>114.97755907998041</v>
      </c>
      <c r="R149" s="133">
        <f t="array" ref="R149:R151">MMULT($I$43:$K$45,R136:R138)</f>
        <v>114.97755907998041</v>
      </c>
      <c r="S149" s="133">
        <f t="array" ref="S149:S151">MMULT($I$43:$K$45,S136:S138)</f>
        <v>114.97755907998041</v>
      </c>
      <c r="T149" s="133">
        <f t="array" ref="T149:T151">MMULT($I$43:$K$45,T136:T138)</f>
        <v>114.97755907998041</v>
      </c>
      <c r="U149" s="133">
        <f t="array" ref="U149:U151">MMULT($I$43:$K$45,U136:U138)</f>
        <v>114.97755907998041</v>
      </c>
      <c r="V149" s="133">
        <f t="array" ref="V149:V151">MMULT($I$43:$K$45,V136:V138)</f>
        <v>114.97755907998041</v>
      </c>
      <c r="W149" s="133">
        <f t="array" ref="W149:W151">MMULT($I$43:$K$45,W136:W138)</f>
        <v>114.97755907998041</v>
      </c>
      <c r="X149" s="133">
        <f t="array" ref="X149:X151">MMULT($I$43:$K$45,X136:X138)</f>
        <v>114.97755907998041</v>
      </c>
      <c r="Y149" s="133">
        <f t="array" ref="Y149:Y151">MMULT($I$43:$K$45,Y136:Y138)</f>
        <v>114.97755907998041</v>
      </c>
      <c r="Z149" s="133">
        <f t="array" ref="Z149:Z151">MMULT($I$43:$K$45,Z136:Z138)</f>
        <v>114.97755907998041</v>
      </c>
      <c r="AA149" s="133">
        <f t="array" ref="AA149:AA151">MMULT($I$43:$K$45,AA136:AA138)</f>
        <v>114.97755907998041</v>
      </c>
      <c r="AB149" s="133">
        <f t="array" ref="AB149:AB151">MMULT($I$43:$K$45,AB136:AB138)</f>
        <v>114.97755907998041</v>
      </c>
      <c r="AC149" s="133">
        <f t="array" ref="AC149:AC151">MMULT($I$43:$K$45,AC136:AC138)</f>
        <v>114.97755907998041</v>
      </c>
      <c r="AD149" s="133">
        <f t="array" ref="AD149:AD151">MMULT($I$43:$K$45,AD136:AD138)</f>
        <v>114.97755907998041</v>
      </c>
      <c r="AE149" s="133">
        <f t="array" ref="AE149:AE151">MMULT($I$43:$K$45,AE136:AE138)</f>
        <v>114.97755907998041</v>
      </c>
      <c r="AF149" s="133">
        <f t="array" ref="AF149:AF151">MMULT($I$43:$K$45,AF136:AF138)</f>
        <v>114.97755907998041</v>
      </c>
      <c r="AG149" s="133">
        <f t="array" ref="AG149:AG151">MMULT($I$43:$K$45,AG136:AG138)</f>
        <v>114.97755907998041</v>
      </c>
      <c r="AH149" s="133">
        <f t="array" ref="AH149:AH151">MMULT($I$43:$K$45,AH136:AH138)</f>
        <v>114.97755907998041</v>
      </c>
      <c r="AI149" s="133">
        <f t="array" ref="AI149:AI151">MMULT($I$43:$K$45,AI136:AI138)</f>
        <v>114.97755907998041</v>
      </c>
      <c r="AJ149" s="133">
        <f t="array" ref="AJ149:AJ151">MMULT($I$43:$K$45,AJ136:AJ138)</f>
        <v>114.97755907998041</v>
      </c>
      <c r="AK149" s="133">
        <f t="array" ref="AK149:AK151">MMULT($I$43:$K$45,AK136:AK138)</f>
        <v>114.97755907998041</v>
      </c>
      <c r="AL149" s="133">
        <f t="array" ref="AL149:AL151">MMULT($I$43:$K$45,AL136:AL138)</f>
        <v>114.97755907998041</v>
      </c>
      <c r="AM149" s="133">
        <f t="array" ref="AM149:AM151">MMULT($I$43:$K$45,AM136:AM138)</f>
        <v>114.97755907998041</v>
      </c>
      <c r="AN149" s="133">
        <f t="array" ref="AN149:AN151">MMULT($I$43:$K$45,AN136:AN138)</f>
        <v>114.97755907998041</v>
      </c>
      <c r="AO149" s="133">
        <f t="array" ref="AO149:AO151">MMULT($I$43:$K$45,AO136:AO138)</f>
        <v>114.97755907998041</v>
      </c>
      <c r="AP149" s="133">
        <f t="array" ref="AP149:AP151">MMULT($I$43:$K$45,AP136:AP138)</f>
        <v>114.97755907998041</v>
      </c>
      <c r="AQ149" s="133">
        <f t="array" ref="AQ149:AQ151">MMULT($I$43:$K$45,AQ136:AQ138)</f>
        <v>114.97755907998041</v>
      </c>
      <c r="AR149" s="133">
        <f t="array" ref="AR149:AR151">MMULT($I$43:$K$45,AR136:AR138)</f>
        <v>114.97755907998041</v>
      </c>
      <c r="AS149" s="133">
        <f t="array" ref="AS149:AS151">MMULT($I$43:$K$45,AS136:AS138)</f>
        <v>114.97755907998041</v>
      </c>
      <c r="AT149" s="133">
        <f t="array" ref="AT149:AT151">MMULT($I$43:$K$45,AT136:AT138)</f>
        <v>114.97755907998041</v>
      </c>
      <c r="AU149" s="133">
        <f t="array" ref="AU149:AU151">MMULT($I$43:$K$45,AU136:AU138)</f>
        <v>114.97755907998041</v>
      </c>
      <c r="AV149" s="133">
        <f t="array" ref="AV149:AV151">MMULT($I$43:$K$45,AV136:AV138)</f>
        <v>114.97755907998041</v>
      </c>
      <c r="AW149" s="133">
        <f t="array" ref="AW149:AW151">MMULT($I$43:$K$45,AW136:AW138)</f>
        <v>114.97755907998041</v>
      </c>
      <c r="AX149" s="133">
        <f t="array" ref="AX149:AX151">MMULT($I$43:$K$45,AX136:AX138)</f>
        <v>114.97755907998041</v>
      </c>
      <c r="AY149" s="133">
        <f t="array" ref="AY149:AY151">MMULT($I$43:$K$45,AY136:AY138)</f>
        <v>114.97755907998041</v>
      </c>
      <c r="AZ149" s="133">
        <f t="array" ref="AZ149:AZ151">MMULT($I$43:$K$45,AZ136:AZ138)</f>
        <v>114.97755907998041</v>
      </c>
      <c r="BA149" s="133">
        <f t="array" ref="BA149:BA151">MMULT($I$43:$K$45,BA136:BA138)</f>
        <v>114.97755907998041</v>
      </c>
      <c r="BB149" s="133">
        <f t="array" ref="BB149:BB151">MMULT($I$43:$K$45,BB136:BB138)</f>
        <v>114.97755907998041</v>
      </c>
      <c r="BC149" s="133">
        <f t="array" ref="BC149:BC151">MMULT($I$43:$K$45,BC136:BC138)</f>
        <v>114.97755907998041</v>
      </c>
      <c r="BD149" s="133">
        <f t="array" ref="BD149:BD151">MMULT($I$43:$K$45,BD136:BD138)</f>
        <v>114.97755907998041</v>
      </c>
      <c r="BE149" s="133">
        <f t="array" ref="BE149:BE151">MMULT($I$43:$K$45,BE136:BE138)</f>
        <v>114.97755907998041</v>
      </c>
      <c r="BF149" s="133">
        <f t="array" ref="BF149:BF151">MMULT($I$43:$K$45,BF136:BF138)</f>
        <v>114.97755907998041</v>
      </c>
      <c r="BG149" s="133">
        <f t="array" ref="BG149:BG151">MMULT($I$43:$K$45,BG136:BG138)</f>
        <v>114.97755907998041</v>
      </c>
      <c r="BH149" s="133">
        <f t="array" ref="BH149:BH151">MMULT($I$43:$K$45,BH136:BH138)</f>
        <v>114.97755907998041</v>
      </c>
      <c r="BI149" s="133">
        <f t="array" ref="BI149:BI151">MMULT($I$43:$K$45,BI136:BI138)</f>
        <v>114.97755907998041</v>
      </c>
      <c r="BJ149" s="133">
        <f t="array" ref="BJ149:BJ151">MMULT($I$43:$K$45,BJ136:BJ138)</f>
        <v>114.97755907998041</v>
      </c>
      <c r="BK149" s="133">
        <f t="array" ref="BK149:BK151">MMULT($I$43:$K$45,BK136:BK138)</f>
        <v>114.97755907998041</v>
      </c>
      <c r="BL149" s="133">
        <f t="array" ref="BL149:BL151">MMULT($I$43:$K$45,BL136:BL138)</f>
        <v>114.97755907998041</v>
      </c>
      <c r="BM149" s="133">
        <f t="array" ref="BM149:BM151">MMULT($I$43:$K$45,BM136:BM138)</f>
        <v>114.97755907998041</v>
      </c>
      <c r="BN149" s="133">
        <f t="array" ref="BN149:BN151">MMULT($I$43:$K$45,BN136:BN138)</f>
        <v>114.97755907998041</v>
      </c>
      <c r="BO149" s="133">
        <f t="array" ref="BO149:BO151">MMULT($I$43:$K$45,BO136:BO138)</f>
        <v>114.97755907998041</v>
      </c>
      <c r="BP149" s="133">
        <f t="array" ref="BP149:BP151">MMULT($I$43:$K$45,BP136:BP138)</f>
        <v>114.97755907998041</v>
      </c>
      <c r="BQ149" s="133">
        <f t="array" ref="BQ149:BQ151">MMULT($I$43:$K$45,BQ136:BQ138)</f>
        <v>114.97755907998041</v>
      </c>
      <c r="BR149" s="133">
        <f t="array" ref="BR149:BR151">MMULT($I$43:$K$45,BR136:BR138)</f>
        <v>114.97755907998041</v>
      </c>
      <c r="BS149" s="133">
        <f t="array" ref="BS149:BS151">MMULT($I$43:$K$45,BS136:BS138)</f>
        <v>114.97755907998041</v>
      </c>
      <c r="BT149" s="133">
        <f t="array" ref="BT149:BT151">MMULT($I$43:$K$45,BT136:BT138)</f>
        <v>114.97755907998041</v>
      </c>
      <c r="BU149" s="133">
        <f t="array" ref="BU149:BU151">MMULT($I$43:$K$45,BU136:BU138)</f>
        <v>114.97755907998041</v>
      </c>
      <c r="BV149" s="133">
        <f t="array" ref="BV149:BV151">MMULT($I$43:$K$45,BV136:BV138)</f>
        <v>114.97755907998041</v>
      </c>
      <c r="BW149" s="133">
        <f t="array" ref="BW149:BW151">MMULT($I$43:$K$45,BW136:BW138)</f>
        <v>114.97755907998041</v>
      </c>
      <c r="BX149" s="133">
        <f t="array" ref="BX149:BX151">MMULT($I$43:$K$45,BX136:BX138)</f>
        <v>114.97755907998041</v>
      </c>
      <c r="BY149" s="133">
        <f t="array" ref="BY149:BY151">MMULT($I$43:$K$45,BY136:BY138)</f>
        <v>114.97755907998041</v>
      </c>
      <c r="BZ149" s="133">
        <f t="array" ref="BZ149:BZ151">MMULT($I$43:$K$45,BZ136:BZ138)</f>
        <v>114.97755907998041</v>
      </c>
      <c r="CA149" s="133">
        <f t="array" ref="CA149:CA151">MMULT($I$43:$K$45,CA136:CA138)</f>
        <v>114.97755907998041</v>
      </c>
      <c r="CB149" s="133">
        <f t="array" ref="CB149:CB151">MMULT($I$43:$K$45,CB136:CB138)</f>
        <v>114.97755907998041</v>
      </c>
      <c r="CC149" s="133">
        <f t="array" ref="CC149:CC151">MMULT($I$43:$K$45,CC136:CC138)</f>
        <v>114.97755907998041</v>
      </c>
      <c r="CD149" s="133">
        <f t="array" ref="CD149:CD151">MMULT($I$43:$K$45,CD136:CD138)</f>
        <v>114.97755907998041</v>
      </c>
      <c r="CE149" s="133">
        <f t="array" ref="CE149:CE151">MMULT($I$43:$K$45,CE136:CE138)</f>
        <v>114.97755907998041</v>
      </c>
      <c r="CF149" s="133">
        <f t="array" ref="CF149:CF151">MMULT($I$43:$K$45,CF136:CF138)</f>
        <v>114.97755907998041</v>
      </c>
      <c r="CG149" s="133">
        <f t="array" ref="CG149:CG151">MMULT($I$43:$K$45,CG136:CG138)</f>
        <v>114.97755907998041</v>
      </c>
      <c r="CH149" s="133">
        <f t="array" ref="CH149:CH151">MMULT($I$43:$K$45,CH136:CH138)</f>
        <v>114.97755907998041</v>
      </c>
      <c r="CI149" s="133">
        <f t="array" ref="CI149:CI151">MMULT($I$43:$K$45,CI136:CI138)</f>
        <v>114.97755907998041</v>
      </c>
      <c r="CJ149" s="133">
        <f t="array" ref="CJ149:CJ151">MMULT($I$43:$K$45,CJ136:CJ138)</f>
        <v>114.97755907998041</v>
      </c>
      <c r="CK149" s="133">
        <f t="array" ref="CK149:CK151">MMULT($I$43:$K$45,CK136:CK138)</f>
        <v>114.97755907998041</v>
      </c>
      <c r="CL149" s="133">
        <f t="array" ref="CL149:CL151">MMULT($I$43:$K$45,CL136:CL138)</f>
        <v>114.97755907998041</v>
      </c>
      <c r="CM149" s="133">
        <f t="array" ref="CM149:CM151">MMULT($I$43:$K$45,CM136:CM138)</f>
        <v>114.97755907998041</v>
      </c>
      <c r="CN149" s="133">
        <f t="array" ref="CN149:CN151">MMULT($I$43:$K$45,CN136:CN138)</f>
        <v>114.97755907998041</v>
      </c>
      <c r="CO149" s="133">
        <f t="array" ref="CO149:CO151">MMULT($I$43:$K$45,CO136:CO138)</f>
        <v>114.97755907998041</v>
      </c>
      <c r="CP149" s="133">
        <f t="array" ref="CP149:CP151">MMULT($I$43:$K$45,CP136:CP138)</f>
        <v>114.97755907998041</v>
      </c>
      <c r="CQ149" s="133">
        <f t="array" ref="CQ149:CQ151">MMULT($I$43:$K$45,CQ136:CQ138)</f>
        <v>114.97755907998041</v>
      </c>
      <c r="CR149" s="133">
        <f t="array" ref="CR149:CR151">MMULT($I$43:$K$45,CR136:CR138)</f>
        <v>114.97755907998041</v>
      </c>
      <c r="CS149" s="133">
        <f t="array" ref="CS149:CS151">MMULT($I$43:$K$45,CS136:CS138)</f>
        <v>114.97755907998041</v>
      </c>
      <c r="CT149" s="133">
        <f t="array" ref="CT149:CT151">MMULT($I$43:$K$45,CT136:CT138)</f>
        <v>114.97755907998041</v>
      </c>
      <c r="CU149" s="133">
        <f t="array" ref="CU149:CU151">MMULT($I$43:$K$45,CU136:CU138)</f>
        <v>114.97755907998041</v>
      </c>
      <c r="CV149" s="133">
        <f t="array" ref="CV149:CV151">MMULT($I$43:$K$45,CV136:CV138)</f>
        <v>114.97755907998041</v>
      </c>
      <c r="CW149" s="133">
        <f t="array" ref="CW149:CW151">MMULT($I$43:$K$45,CW136:CW138)</f>
        <v>114.97755907998041</v>
      </c>
      <c r="CX149" s="133">
        <f t="array" ref="CX149:CX151">MMULT($I$43:$K$45,CX136:CX138)</f>
        <v>114.97755907998041</v>
      </c>
      <c r="CY149" s="133">
        <f t="array" ref="CY149:CY151">MMULT($I$43:$K$45,CY136:CY138)</f>
        <v>114.97755907998041</v>
      </c>
      <c r="CZ149" s="133">
        <f t="array" ref="CZ149:CZ151">MMULT($I$43:$K$45,CZ136:CZ138)</f>
        <v>114.97755907998041</v>
      </c>
      <c r="DA149" s="133">
        <f t="array" ref="DA149:DA151">MMULT($I$43:$K$45,DA136:DA138)</f>
        <v>114.97755907998041</v>
      </c>
    </row>
    <row r="150" spans="5:105">
      <c r="E150" s="137" t="s">
        <v>137</v>
      </c>
      <c r="F150" s="133">
        <v>93.48006996875273</v>
      </c>
      <c r="G150" s="133">
        <v>93.48006996875273</v>
      </c>
      <c r="H150" s="133">
        <v>93.48006996875273</v>
      </c>
      <c r="I150" s="133">
        <v>93.48006996875273</v>
      </c>
      <c r="J150" s="133">
        <v>93.48006996875273</v>
      </c>
      <c r="K150" s="133">
        <v>93.48006996875273</v>
      </c>
      <c r="L150" s="133">
        <v>93.48006996875273</v>
      </c>
      <c r="M150" s="133">
        <v>93.48006996875273</v>
      </c>
      <c r="N150" s="133">
        <v>93.48006996875273</v>
      </c>
      <c r="O150" s="133">
        <v>93.48006996875273</v>
      </c>
      <c r="P150" s="133">
        <v>93.48006996875273</v>
      </c>
      <c r="Q150" s="133">
        <v>93.48006996875273</v>
      </c>
      <c r="R150" s="133">
        <v>93.48006996875273</v>
      </c>
      <c r="S150" s="133">
        <v>93.48006996875273</v>
      </c>
      <c r="T150" s="133">
        <v>93.48006996875273</v>
      </c>
      <c r="U150" s="133">
        <v>93.48006996875273</v>
      </c>
      <c r="V150" s="133">
        <v>93.48006996875273</v>
      </c>
      <c r="W150" s="133">
        <v>93.48006996875273</v>
      </c>
      <c r="X150" s="133">
        <v>93.48006996875273</v>
      </c>
      <c r="Y150" s="133">
        <v>93.48006996875273</v>
      </c>
      <c r="Z150" s="133">
        <v>93.48006996875273</v>
      </c>
      <c r="AA150" s="133">
        <v>93.48006996875273</v>
      </c>
      <c r="AB150" s="133">
        <v>93.48006996875273</v>
      </c>
      <c r="AC150" s="133">
        <v>93.48006996875273</v>
      </c>
      <c r="AD150" s="133">
        <v>93.48006996875273</v>
      </c>
      <c r="AE150" s="133">
        <v>93.48006996875273</v>
      </c>
      <c r="AF150" s="133">
        <v>93.48006996875273</v>
      </c>
      <c r="AG150" s="133">
        <v>93.48006996875273</v>
      </c>
      <c r="AH150" s="133">
        <v>93.48006996875273</v>
      </c>
      <c r="AI150" s="133">
        <v>93.48006996875273</v>
      </c>
      <c r="AJ150" s="133">
        <v>93.48006996875273</v>
      </c>
      <c r="AK150" s="133">
        <v>93.48006996875273</v>
      </c>
      <c r="AL150" s="133">
        <v>93.48006996875273</v>
      </c>
      <c r="AM150" s="133">
        <v>93.48006996875273</v>
      </c>
      <c r="AN150" s="133">
        <v>93.48006996875273</v>
      </c>
      <c r="AO150" s="133">
        <v>93.48006996875273</v>
      </c>
      <c r="AP150" s="133">
        <v>93.48006996875273</v>
      </c>
      <c r="AQ150" s="133">
        <v>93.48006996875273</v>
      </c>
      <c r="AR150" s="133">
        <v>93.48006996875273</v>
      </c>
      <c r="AS150" s="133">
        <v>93.48006996875273</v>
      </c>
      <c r="AT150" s="133">
        <v>93.48006996875273</v>
      </c>
      <c r="AU150" s="133">
        <v>93.48006996875273</v>
      </c>
      <c r="AV150" s="133">
        <v>93.48006996875273</v>
      </c>
      <c r="AW150" s="133">
        <v>93.48006996875273</v>
      </c>
      <c r="AX150" s="133">
        <v>93.48006996875273</v>
      </c>
      <c r="AY150" s="133">
        <v>93.48006996875273</v>
      </c>
      <c r="AZ150" s="133">
        <v>93.48006996875273</v>
      </c>
      <c r="BA150" s="133">
        <v>93.48006996875273</v>
      </c>
      <c r="BB150" s="133">
        <v>93.48006996875273</v>
      </c>
      <c r="BC150" s="133">
        <v>93.48006996875273</v>
      </c>
      <c r="BD150" s="133">
        <v>93.48006996875273</v>
      </c>
      <c r="BE150" s="133">
        <v>93.48006996875273</v>
      </c>
      <c r="BF150" s="133">
        <v>93.48006996875273</v>
      </c>
      <c r="BG150" s="133">
        <v>93.48006996875273</v>
      </c>
      <c r="BH150" s="133">
        <v>93.48006996875273</v>
      </c>
      <c r="BI150" s="133">
        <v>93.48006996875273</v>
      </c>
      <c r="BJ150" s="133">
        <v>93.48006996875273</v>
      </c>
      <c r="BK150" s="133">
        <v>93.48006996875273</v>
      </c>
      <c r="BL150" s="133">
        <v>93.48006996875273</v>
      </c>
      <c r="BM150" s="133">
        <v>93.48006996875273</v>
      </c>
      <c r="BN150" s="133">
        <v>93.48006996875273</v>
      </c>
      <c r="BO150" s="133">
        <v>93.48006996875273</v>
      </c>
      <c r="BP150" s="133">
        <v>93.48006996875273</v>
      </c>
      <c r="BQ150" s="133">
        <v>93.48006996875273</v>
      </c>
      <c r="BR150" s="133">
        <v>93.48006996875273</v>
      </c>
      <c r="BS150" s="133">
        <v>93.48006996875273</v>
      </c>
      <c r="BT150" s="133">
        <v>93.48006996875273</v>
      </c>
      <c r="BU150" s="133">
        <v>93.48006996875273</v>
      </c>
      <c r="BV150" s="133">
        <v>93.48006996875273</v>
      </c>
      <c r="BW150" s="133">
        <v>93.48006996875273</v>
      </c>
      <c r="BX150" s="133">
        <v>93.48006996875273</v>
      </c>
      <c r="BY150" s="133">
        <v>93.48006996875273</v>
      </c>
      <c r="BZ150" s="133">
        <v>93.48006996875273</v>
      </c>
      <c r="CA150" s="133">
        <v>93.48006996875273</v>
      </c>
      <c r="CB150" s="133">
        <v>93.48006996875273</v>
      </c>
      <c r="CC150" s="133">
        <v>93.48006996875273</v>
      </c>
      <c r="CD150" s="133">
        <v>93.48006996875273</v>
      </c>
      <c r="CE150" s="133">
        <v>93.48006996875273</v>
      </c>
      <c r="CF150" s="133">
        <v>93.48006996875273</v>
      </c>
      <c r="CG150" s="133">
        <v>93.48006996875273</v>
      </c>
      <c r="CH150" s="133">
        <v>93.48006996875273</v>
      </c>
      <c r="CI150" s="133">
        <v>93.48006996875273</v>
      </c>
      <c r="CJ150" s="133">
        <v>93.48006996875273</v>
      </c>
      <c r="CK150" s="133">
        <v>93.48006996875273</v>
      </c>
      <c r="CL150" s="133">
        <v>93.48006996875273</v>
      </c>
      <c r="CM150" s="133">
        <v>93.48006996875273</v>
      </c>
      <c r="CN150" s="133">
        <v>93.48006996875273</v>
      </c>
      <c r="CO150" s="133">
        <v>93.48006996875273</v>
      </c>
      <c r="CP150" s="133">
        <v>93.48006996875273</v>
      </c>
      <c r="CQ150" s="133">
        <v>93.48006996875273</v>
      </c>
      <c r="CR150" s="133">
        <v>93.48006996875273</v>
      </c>
      <c r="CS150" s="133">
        <v>93.48006996875273</v>
      </c>
      <c r="CT150" s="133">
        <v>93.48006996875273</v>
      </c>
      <c r="CU150" s="133">
        <v>93.48006996875273</v>
      </c>
      <c r="CV150" s="133">
        <v>93.48006996875273</v>
      </c>
      <c r="CW150" s="133">
        <v>93.48006996875273</v>
      </c>
      <c r="CX150" s="133">
        <v>93.48006996875273</v>
      </c>
      <c r="CY150" s="133">
        <v>93.48006996875273</v>
      </c>
      <c r="CZ150" s="133">
        <v>93.48006996875273</v>
      </c>
      <c r="DA150" s="133">
        <v>93.48006996875273</v>
      </c>
    </row>
    <row r="151" spans="5:105">
      <c r="E151" s="137" t="s">
        <v>138</v>
      </c>
      <c r="F151" s="133">
        <v>48.432047232370344</v>
      </c>
      <c r="G151" s="133">
        <v>48.432047232370344</v>
      </c>
      <c r="H151" s="133">
        <v>48.432047232370344</v>
      </c>
      <c r="I151" s="133">
        <v>48.432047232370344</v>
      </c>
      <c r="J151" s="133">
        <v>48.432047232370344</v>
      </c>
      <c r="K151" s="133">
        <v>48.432047232370344</v>
      </c>
      <c r="L151" s="133">
        <v>48.432047232370344</v>
      </c>
      <c r="M151" s="133">
        <v>48.432047232370344</v>
      </c>
      <c r="N151" s="133">
        <v>48.432047232370344</v>
      </c>
      <c r="O151" s="133">
        <v>48.432047232370344</v>
      </c>
      <c r="P151" s="133">
        <v>48.432047232370344</v>
      </c>
      <c r="Q151" s="133">
        <v>48.432047232370344</v>
      </c>
      <c r="R151" s="133">
        <v>48.432047232370344</v>
      </c>
      <c r="S151" s="133">
        <v>48.432047232370344</v>
      </c>
      <c r="T151" s="133">
        <v>48.432047232370344</v>
      </c>
      <c r="U151" s="133">
        <v>48.432047232370344</v>
      </c>
      <c r="V151" s="133">
        <v>48.432047232370344</v>
      </c>
      <c r="W151" s="133">
        <v>48.432047232370344</v>
      </c>
      <c r="X151" s="133">
        <v>48.432047232370344</v>
      </c>
      <c r="Y151" s="133">
        <v>48.432047232370344</v>
      </c>
      <c r="Z151" s="133">
        <v>48.432047232370344</v>
      </c>
      <c r="AA151" s="133">
        <v>48.432047232370344</v>
      </c>
      <c r="AB151" s="133">
        <v>48.432047232370344</v>
      </c>
      <c r="AC151" s="133">
        <v>48.432047232370344</v>
      </c>
      <c r="AD151" s="133">
        <v>48.432047232370344</v>
      </c>
      <c r="AE151" s="133">
        <v>48.432047232370344</v>
      </c>
      <c r="AF151" s="133">
        <v>48.432047232370344</v>
      </c>
      <c r="AG151" s="133">
        <v>48.432047232370344</v>
      </c>
      <c r="AH151" s="133">
        <v>48.432047232370344</v>
      </c>
      <c r="AI151" s="133">
        <v>48.432047232370344</v>
      </c>
      <c r="AJ151" s="133">
        <v>48.432047232370344</v>
      </c>
      <c r="AK151" s="133">
        <v>48.432047232370344</v>
      </c>
      <c r="AL151" s="133">
        <v>48.432047232370344</v>
      </c>
      <c r="AM151" s="133">
        <v>48.432047232370344</v>
      </c>
      <c r="AN151" s="133">
        <v>48.432047232370344</v>
      </c>
      <c r="AO151" s="133">
        <v>48.432047232370344</v>
      </c>
      <c r="AP151" s="133">
        <v>48.432047232370344</v>
      </c>
      <c r="AQ151" s="133">
        <v>48.432047232370344</v>
      </c>
      <c r="AR151" s="133">
        <v>48.432047232370344</v>
      </c>
      <c r="AS151" s="133">
        <v>48.432047232370344</v>
      </c>
      <c r="AT151" s="133">
        <v>48.432047232370344</v>
      </c>
      <c r="AU151" s="133">
        <v>48.432047232370344</v>
      </c>
      <c r="AV151" s="133">
        <v>48.432047232370344</v>
      </c>
      <c r="AW151" s="133">
        <v>48.432047232370344</v>
      </c>
      <c r="AX151" s="133">
        <v>48.432047232370344</v>
      </c>
      <c r="AY151" s="133">
        <v>48.432047232370344</v>
      </c>
      <c r="AZ151" s="133">
        <v>48.432047232370344</v>
      </c>
      <c r="BA151" s="133">
        <v>48.432047232370344</v>
      </c>
      <c r="BB151" s="133">
        <v>48.432047232370344</v>
      </c>
      <c r="BC151" s="133">
        <v>48.432047232370344</v>
      </c>
      <c r="BD151" s="133">
        <v>48.432047232370344</v>
      </c>
      <c r="BE151" s="133">
        <v>48.432047232370344</v>
      </c>
      <c r="BF151" s="133">
        <v>48.432047232370344</v>
      </c>
      <c r="BG151" s="133">
        <v>48.432047232370344</v>
      </c>
      <c r="BH151" s="133">
        <v>48.432047232370344</v>
      </c>
      <c r="BI151" s="133">
        <v>48.432047232370344</v>
      </c>
      <c r="BJ151" s="133">
        <v>48.432047232370344</v>
      </c>
      <c r="BK151" s="133">
        <v>48.432047232370344</v>
      </c>
      <c r="BL151" s="133">
        <v>48.432047232370344</v>
      </c>
      <c r="BM151" s="133">
        <v>48.432047232370344</v>
      </c>
      <c r="BN151" s="133">
        <v>48.432047232370344</v>
      </c>
      <c r="BO151" s="133">
        <v>48.432047232370344</v>
      </c>
      <c r="BP151" s="133">
        <v>48.432047232370344</v>
      </c>
      <c r="BQ151" s="133">
        <v>48.432047232370344</v>
      </c>
      <c r="BR151" s="133">
        <v>48.432047232370344</v>
      </c>
      <c r="BS151" s="133">
        <v>48.432047232370344</v>
      </c>
      <c r="BT151" s="133">
        <v>48.432047232370344</v>
      </c>
      <c r="BU151" s="133">
        <v>48.432047232370344</v>
      </c>
      <c r="BV151" s="133">
        <v>48.432047232370344</v>
      </c>
      <c r="BW151" s="133">
        <v>48.432047232370344</v>
      </c>
      <c r="BX151" s="133">
        <v>48.432047232370344</v>
      </c>
      <c r="BY151" s="133">
        <v>48.432047232370344</v>
      </c>
      <c r="BZ151" s="133">
        <v>48.432047232370344</v>
      </c>
      <c r="CA151" s="133">
        <v>48.432047232370344</v>
      </c>
      <c r="CB151" s="133">
        <v>48.432047232370344</v>
      </c>
      <c r="CC151" s="133">
        <v>48.432047232370344</v>
      </c>
      <c r="CD151" s="133">
        <v>48.432047232370344</v>
      </c>
      <c r="CE151" s="133">
        <v>48.432047232370344</v>
      </c>
      <c r="CF151" s="133">
        <v>48.432047232370344</v>
      </c>
      <c r="CG151" s="133">
        <v>48.432047232370344</v>
      </c>
      <c r="CH151" s="133">
        <v>48.432047232370344</v>
      </c>
      <c r="CI151" s="133">
        <v>48.432047232370344</v>
      </c>
      <c r="CJ151" s="133">
        <v>48.432047232370344</v>
      </c>
      <c r="CK151" s="133">
        <v>48.432047232370344</v>
      </c>
      <c r="CL151" s="133">
        <v>48.432047232370344</v>
      </c>
      <c r="CM151" s="133">
        <v>48.432047232370344</v>
      </c>
      <c r="CN151" s="133">
        <v>48.432047232370344</v>
      </c>
      <c r="CO151" s="133">
        <v>48.432047232370344</v>
      </c>
      <c r="CP151" s="133">
        <v>48.432047232370344</v>
      </c>
      <c r="CQ151" s="133">
        <v>48.432047232370344</v>
      </c>
      <c r="CR151" s="133">
        <v>48.432047232370344</v>
      </c>
      <c r="CS151" s="133">
        <v>48.432047232370344</v>
      </c>
      <c r="CT151" s="133">
        <v>48.432047232370344</v>
      </c>
      <c r="CU151" s="133">
        <v>48.432047232370344</v>
      </c>
      <c r="CV151" s="133">
        <v>48.432047232370344</v>
      </c>
      <c r="CW151" s="133">
        <v>48.432047232370344</v>
      </c>
      <c r="CX151" s="133">
        <v>48.432047232370344</v>
      </c>
      <c r="CY151" s="133">
        <v>48.432047232370344</v>
      </c>
      <c r="CZ151" s="133">
        <v>48.432047232370344</v>
      </c>
      <c r="DA151" s="133">
        <v>48.432047232370344</v>
      </c>
    </row>
    <row r="152" spans="5:105">
      <c r="E152" s="137" t="s">
        <v>139</v>
      </c>
      <c r="F152" s="133">
        <f>($F$49*(F137/F149)+1-$F$49)*F146</f>
        <v>100</v>
      </c>
      <c r="G152" s="133">
        <f t="shared" ref="G152:BR152" si="218">($F$49*(G137/G149)+1-$F$49)*G146</f>
        <v>67.997799536146303</v>
      </c>
      <c r="H152" s="133">
        <f t="shared" si="218"/>
        <v>33.163586321678139</v>
      </c>
      <c r="I152" s="133">
        <f t="shared" si="218"/>
        <v>6.4420838212523446</v>
      </c>
      <c r="J152" s="133">
        <f t="shared" si="218"/>
        <v>41.585457363769123</v>
      </c>
      <c r="K152" s="133">
        <f t="shared" si="218"/>
        <v>20.313105076349814</v>
      </c>
      <c r="L152" s="133">
        <f t="shared" si="218"/>
        <v>19.229683662184986</v>
      </c>
      <c r="M152" s="133">
        <f t="shared" si="218"/>
        <v>14.318658333855174</v>
      </c>
      <c r="N152" s="133">
        <f t="shared" si="218"/>
        <v>13.080656266404104</v>
      </c>
      <c r="O152" s="133">
        <f t="shared" si="218"/>
        <v>5.0476715193084569</v>
      </c>
      <c r="P152" s="133">
        <f t="shared" si="218"/>
        <v>55.441928837790101</v>
      </c>
      <c r="Q152" s="133">
        <f t="shared" si="218"/>
        <v>29.930469128620675</v>
      </c>
      <c r="R152" s="133">
        <f t="shared" si="218"/>
        <v>38.396924246541261</v>
      </c>
      <c r="S152" s="133">
        <f t="shared" si="218"/>
        <v>14.006306549731095</v>
      </c>
      <c r="T152" s="133">
        <f t="shared" si="218"/>
        <v>44.343802209520987</v>
      </c>
      <c r="U152" s="133">
        <f t="shared" si="218"/>
        <v>41.954437166362652</v>
      </c>
      <c r="V152" s="133">
        <f t="shared" si="218"/>
        <v>16.948588675266027</v>
      </c>
      <c r="W152" s="133">
        <f t="shared" si="218"/>
        <v>18.774438322717483</v>
      </c>
      <c r="X152" s="133">
        <f t="shared" si="218"/>
        <v>23.897207151525372</v>
      </c>
      <c r="Y152" s="133">
        <f t="shared" si="218"/>
        <v>45.659195330685471</v>
      </c>
      <c r="Z152" s="133">
        <f t="shared" si="218"/>
        <v>39.154436387082853</v>
      </c>
      <c r="AA152" s="133">
        <f t="shared" si="218"/>
        <v>75.303251059526133</v>
      </c>
      <c r="AB152" s="133">
        <f t="shared" si="218"/>
        <v>59.033122536838825</v>
      </c>
      <c r="AC152" s="133">
        <f t="shared" si="218"/>
        <v>79.946691557234629</v>
      </c>
      <c r="AD152" s="133">
        <f t="shared" si="218"/>
        <v>81.884895755117896</v>
      </c>
      <c r="AE152" s="133">
        <f t="shared" si="218"/>
        <v>45.891130745024036</v>
      </c>
      <c r="AF152" s="133">
        <f t="shared" si="218"/>
        <v>80.696471848198129</v>
      </c>
      <c r="AG152" s="133">
        <f t="shared" si="218"/>
        <v>43.540600196680465</v>
      </c>
      <c r="AH152" s="133">
        <f t="shared" si="218"/>
        <v>11.809403600657049</v>
      </c>
      <c r="AI152" s="133">
        <f t="shared" si="218"/>
        <v>71.570971990480885</v>
      </c>
      <c r="AJ152" s="133">
        <f t="shared" si="218"/>
        <v>31.567840348899068</v>
      </c>
      <c r="AK152" s="133">
        <f t="shared" si="218"/>
        <v>75.01241582593282</v>
      </c>
      <c r="AL152" s="133">
        <f t="shared" si="218"/>
        <v>48.555039158160369</v>
      </c>
      <c r="AM152" s="133">
        <f t="shared" si="218"/>
        <v>75.488626903968893</v>
      </c>
      <c r="AN152" s="133">
        <f t="shared" si="218"/>
        <v>29.864356001516249</v>
      </c>
      <c r="AO152" s="133">
        <f t="shared" si="218"/>
        <v>11.928267090430364</v>
      </c>
      <c r="AP152" s="133">
        <f t="shared" si="218"/>
        <v>54.194694807738152</v>
      </c>
      <c r="AQ152" s="133">
        <f t="shared" si="218"/>
        <v>15.695332114074951</v>
      </c>
      <c r="AR152" s="133">
        <f t="shared" si="218"/>
        <v>66.344346081708863</v>
      </c>
      <c r="AS152" s="133">
        <f t="shared" si="218"/>
        <v>7.6105508984621766</v>
      </c>
      <c r="AT152" s="133">
        <f t="shared" si="218"/>
        <v>16.434970416462555</v>
      </c>
      <c r="AU152" s="133">
        <f t="shared" si="218"/>
        <v>68.653836203430473</v>
      </c>
      <c r="AV152" s="133">
        <f t="shared" si="218"/>
        <v>34.984335113617327</v>
      </c>
      <c r="AW152" s="133">
        <f t="shared" si="218"/>
        <v>40.071954009255215</v>
      </c>
      <c r="AX152" s="133">
        <f t="shared" si="218"/>
        <v>4.935508587631058</v>
      </c>
      <c r="AY152" s="133">
        <f t="shared" si="218"/>
        <v>22.620921989893105</v>
      </c>
      <c r="AZ152" s="133">
        <f t="shared" si="218"/>
        <v>31.83503655309433</v>
      </c>
      <c r="BA152" s="133">
        <f t="shared" si="218"/>
        <v>35.618647711507556</v>
      </c>
      <c r="BB152" s="133">
        <f t="shared" si="218"/>
        <v>46.395926514993228</v>
      </c>
      <c r="BC152" s="133">
        <f t="shared" si="218"/>
        <v>12.807042357768209</v>
      </c>
      <c r="BD152" s="133">
        <f t="shared" si="218"/>
        <v>18.2755660436952</v>
      </c>
      <c r="BE152" s="133">
        <f t="shared" si="218"/>
        <v>21.74352507566552</v>
      </c>
      <c r="BF152" s="133">
        <f t="shared" si="218"/>
        <v>9.1350206782735661</v>
      </c>
      <c r="BG152" s="133">
        <f t="shared" si="218"/>
        <v>12.618525848237608</v>
      </c>
      <c r="BH152" s="133">
        <f t="shared" si="218"/>
        <v>62.828429288201846</v>
      </c>
      <c r="BI152" s="133">
        <f t="shared" si="218"/>
        <v>54.947964682275796</v>
      </c>
      <c r="BJ152" s="133">
        <f t="shared" si="218"/>
        <v>31.74807889471775</v>
      </c>
      <c r="BK152" s="133">
        <f t="shared" si="218"/>
        <v>17.690507070183429</v>
      </c>
      <c r="BL152" s="133">
        <f t="shared" si="218"/>
        <v>14.741537153348412</v>
      </c>
      <c r="BM152" s="133">
        <f t="shared" si="218"/>
        <v>61.88580779517347</v>
      </c>
      <c r="BN152" s="133">
        <f t="shared" si="218"/>
        <v>67.323997517790588</v>
      </c>
      <c r="BO152" s="133">
        <f t="shared" si="218"/>
        <v>43.678043566285965</v>
      </c>
      <c r="BP152" s="133">
        <f t="shared" si="218"/>
        <v>31.807967549140987</v>
      </c>
      <c r="BQ152" s="133">
        <f t="shared" si="218"/>
        <v>7.2098917670305385</v>
      </c>
      <c r="BR152" s="133">
        <f t="shared" si="218"/>
        <v>17.626023293684622</v>
      </c>
      <c r="BS152" s="133">
        <f t="shared" ref="BS152:DA152" si="219">($F$49*(BS137/BS149)+1-$F$49)*BS146</f>
        <v>8.6743656911907614</v>
      </c>
      <c r="BT152" s="133">
        <f t="shared" si="219"/>
        <v>8.9188784617767656</v>
      </c>
      <c r="BU152" s="133">
        <f t="shared" si="219"/>
        <v>10.442269787567435</v>
      </c>
      <c r="BV152" s="133">
        <f t="shared" si="219"/>
        <v>25.181714739522072</v>
      </c>
      <c r="BW152" s="133">
        <f t="shared" si="219"/>
        <v>17.504132617984403</v>
      </c>
      <c r="BX152" s="133">
        <f t="shared" si="219"/>
        <v>34.065225386759742</v>
      </c>
      <c r="BY152" s="133">
        <f t="shared" si="219"/>
        <v>5.7519238913149833</v>
      </c>
      <c r="BZ152" s="133">
        <f t="shared" si="219"/>
        <v>45.076901262146933</v>
      </c>
      <c r="CA152" s="133">
        <f t="shared" si="219"/>
        <v>17.046559300922347</v>
      </c>
      <c r="CB152" s="133">
        <f t="shared" si="219"/>
        <v>4.6567438562524863</v>
      </c>
      <c r="CC152" s="133">
        <f t="shared" si="219"/>
        <v>5.2295086081606099</v>
      </c>
      <c r="CD152" s="133">
        <f t="shared" si="219"/>
        <v>10.816918376137837</v>
      </c>
      <c r="CE152" s="133">
        <f t="shared" si="219"/>
        <v>10.243379197258056</v>
      </c>
      <c r="CF152" s="133">
        <f t="shared" si="219"/>
        <v>9.2457879192459309</v>
      </c>
      <c r="CG152" s="133">
        <f t="shared" si="219"/>
        <v>38.904619530219463</v>
      </c>
      <c r="CH152" s="133">
        <f t="shared" si="219"/>
        <v>29.272034750059365</v>
      </c>
      <c r="CI152" s="133">
        <f t="shared" si="219"/>
        <v>10.579571556866613</v>
      </c>
      <c r="CJ152" s="133">
        <f t="shared" si="219"/>
        <v>65.891272834569932</v>
      </c>
      <c r="CK152" s="133">
        <f t="shared" si="219"/>
        <v>40.084743855693219</v>
      </c>
      <c r="CL152" s="133">
        <f t="shared" si="219"/>
        <v>4.6576341060906854</v>
      </c>
      <c r="CM152" s="133">
        <f t="shared" si="219"/>
        <v>10.316901499315827</v>
      </c>
      <c r="CN152" s="133">
        <f t="shared" si="219"/>
        <v>29.671838616237935</v>
      </c>
      <c r="CO152" s="133">
        <f t="shared" si="219"/>
        <v>9.647114604508344</v>
      </c>
      <c r="CP152" s="133">
        <f t="shared" si="219"/>
        <v>28.422199409985652</v>
      </c>
      <c r="CQ152" s="133">
        <f t="shared" si="219"/>
        <v>9.392231132379619</v>
      </c>
      <c r="CR152" s="133">
        <f t="shared" si="219"/>
        <v>13.121508949832736</v>
      </c>
      <c r="CS152" s="133">
        <f t="shared" si="219"/>
        <v>53.536116891307984</v>
      </c>
      <c r="CT152" s="133">
        <f t="shared" si="219"/>
        <v>21.913315212073673</v>
      </c>
      <c r="CU152" s="133">
        <f t="shared" si="219"/>
        <v>34.340977684834371</v>
      </c>
      <c r="CV152" s="133">
        <f t="shared" si="219"/>
        <v>10.367952626313484</v>
      </c>
      <c r="CW152" s="133">
        <f t="shared" si="219"/>
        <v>38.97447747914515</v>
      </c>
      <c r="CX152" s="133">
        <f t="shared" si="219"/>
        <v>52.240111989504449</v>
      </c>
      <c r="CY152" s="133">
        <f t="shared" si="219"/>
        <v>21.422058789581325</v>
      </c>
      <c r="CZ152" s="133">
        <f t="shared" si="219"/>
        <v>36.103529461979107</v>
      </c>
      <c r="DA152" s="133">
        <f t="shared" si="219"/>
        <v>22.260971640931771</v>
      </c>
    </row>
    <row r="153" spans="5:105">
      <c r="E153" s="137" t="s">
        <v>140</v>
      </c>
      <c r="F153" s="133">
        <f>($F$49*(F137/F150)+1-$F$49)*F147</f>
        <v>99.999999999999986</v>
      </c>
      <c r="G153" s="133">
        <f t="shared" ref="G153:BR153" si="220">($F$49*(G137/G150)+1-$F$49)*G147</f>
        <v>56.456334646127857</v>
      </c>
      <c r="H153" s="133">
        <f t="shared" si="220"/>
        <v>18.211732478023094</v>
      </c>
      <c r="I153" s="133">
        <f t="shared" si="220"/>
        <v>4.712043556550201</v>
      </c>
      <c r="J153" s="133">
        <f t="shared" si="220"/>
        <v>30.717919779810121</v>
      </c>
      <c r="K153" s="133">
        <f t="shared" si="220"/>
        <v>9.3450251635112966</v>
      </c>
      <c r="L153" s="133">
        <f t="shared" si="220"/>
        <v>14.108395698480969</v>
      </c>
      <c r="M153" s="133">
        <f t="shared" si="220"/>
        <v>6.1303888368520436</v>
      </c>
      <c r="N153" s="133">
        <f t="shared" si="220"/>
        <v>6.3047833795552455</v>
      </c>
      <c r="O153" s="133">
        <f t="shared" si="220"/>
        <v>4.7366712679879175</v>
      </c>
      <c r="P153" s="133">
        <f t="shared" si="220"/>
        <v>31.484959582187379</v>
      </c>
      <c r="Q153" s="133">
        <f t="shared" si="220"/>
        <v>15.782186829489856</v>
      </c>
      <c r="R153" s="133">
        <f t="shared" si="220"/>
        <v>19.760271669007839</v>
      </c>
      <c r="S153" s="133">
        <f t="shared" si="220"/>
        <v>8.9358928508839597</v>
      </c>
      <c r="T153" s="133">
        <f t="shared" si="220"/>
        <v>40.815966109251285</v>
      </c>
      <c r="U153" s="133">
        <f t="shared" si="220"/>
        <v>34.481381776697795</v>
      </c>
      <c r="V153" s="133">
        <f t="shared" si="220"/>
        <v>11.739091091333298</v>
      </c>
      <c r="W153" s="133">
        <f t="shared" si="220"/>
        <v>13.715834139673508</v>
      </c>
      <c r="X153" s="133">
        <f t="shared" si="220"/>
        <v>19.107905686593888</v>
      </c>
      <c r="Y153" s="133">
        <f t="shared" si="220"/>
        <v>34.645692353594484</v>
      </c>
      <c r="Z153" s="133">
        <f t="shared" si="220"/>
        <v>24.894470180360312</v>
      </c>
      <c r="AA153" s="133">
        <f t="shared" si="220"/>
        <v>58.062638618643739</v>
      </c>
      <c r="AB153" s="133">
        <f t="shared" si="220"/>
        <v>43.246256070605803</v>
      </c>
      <c r="AC153" s="133">
        <f t="shared" si="220"/>
        <v>75.659747644668627</v>
      </c>
      <c r="AD153" s="133">
        <f t="shared" si="220"/>
        <v>72.308393260723747</v>
      </c>
      <c r="AE153" s="133">
        <f t="shared" si="220"/>
        <v>36.834772115935252</v>
      </c>
      <c r="AF153" s="133">
        <f t="shared" si="220"/>
        <v>69.422792827709856</v>
      </c>
      <c r="AG153" s="133">
        <f t="shared" si="220"/>
        <v>41.6336738195359</v>
      </c>
      <c r="AH153" s="133">
        <f t="shared" si="220"/>
        <v>11.308197424907171</v>
      </c>
      <c r="AI153" s="133">
        <f t="shared" si="220"/>
        <v>65.396388043995302</v>
      </c>
      <c r="AJ153" s="133">
        <f t="shared" si="220"/>
        <v>29.481278318487973</v>
      </c>
      <c r="AK153" s="133">
        <f t="shared" si="220"/>
        <v>69.893160659859362</v>
      </c>
      <c r="AL153" s="133">
        <f t="shared" si="220"/>
        <v>45.537132542273042</v>
      </c>
      <c r="AM153" s="133">
        <f t="shared" si="220"/>
        <v>72.703817909202868</v>
      </c>
      <c r="AN153" s="133">
        <f t="shared" si="220"/>
        <v>29.020457498010796</v>
      </c>
      <c r="AO153" s="133">
        <f t="shared" si="220"/>
        <v>12.003245499481638</v>
      </c>
      <c r="AP153" s="133">
        <f t="shared" si="220"/>
        <v>53.517861114434091</v>
      </c>
      <c r="AQ153" s="133">
        <f t="shared" si="220"/>
        <v>16.450155181513171</v>
      </c>
      <c r="AR153" s="133">
        <f t="shared" si="220"/>
        <v>66.215158319519659</v>
      </c>
      <c r="AS153" s="133">
        <f t="shared" si="220"/>
        <v>7.7406976539157597</v>
      </c>
      <c r="AT153" s="133">
        <f t="shared" si="220"/>
        <v>17.030224994346874</v>
      </c>
      <c r="AU153" s="133">
        <f t="shared" si="220"/>
        <v>70.014390849115344</v>
      </c>
      <c r="AV153" s="133">
        <f t="shared" si="220"/>
        <v>41.79407010915876</v>
      </c>
      <c r="AW153" s="133">
        <f t="shared" si="220"/>
        <v>47.169469425810874</v>
      </c>
      <c r="AX153" s="133">
        <f t="shared" si="220"/>
        <v>4.987558509992728</v>
      </c>
      <c r="AY153" s="133">
        <f t="shared" si="220"/>
        <v>28.15604104606145</v>
      </c>
      <c r="AZ153" s="133">
        <f t="shared" si="220"/>
        <v>36.685651529052876</v>
      </c>
      <c r="BA153" s="133">
        <f t="shared" si="220"/>
        <v>39.013318308072954</v>
      </c>
      <c r="BB153" s="133">
        <f t="shared" si="220"/>
        <v>55.967034425325721</v>
      </c>
      <c r="BC153" s="133">
        <f t="shared" si="220"/>
        <v>16.249833546297843</v>
      </c>
      <c r="BD153" s="133">
        <f t="shared" si="220"/>
        <v>23.002149989931137</v>
      </c>
      <c r="BE153" s="133">
        <f t="shared" si="220"/>
        <v>26.142710967208451</v>
      </c>
      <c r="BF153" s="133">
        <f t="shared" si="220"/>
        <v>12.853621118940803</v>
      </c>
      <c r="BG153" s="133">
        <f t="shared" si="220"/>
        <v>21.027096253113395</v>
      </c>
      <c r="BH153" s="133">
        <f t="shared" si="220"/>
        <v>71.677378955773619</v>
      </c>
      <c r="BI153" s="133">
        <f t="shared" si="220"/>
        <v>64.382815767423651</v>
      </c>
      <c r="BJ153" s="133">
        <f t="shared" si="220"/>
        <v>46.570188780265042</v>
      </c>
      <c r="BK153" s="133">
        <f t="shared" si="220"/>
        <v>28.968034794976642</v>
      </c>
      <c r="BL153" s="133">
        <f t="shared" si="220"/>
        <v>24.825579136119487</v>
      </c>
      <c r="BM153" s="133">
        <f t="shared" si="220"/>
        <v>70.533253320324732</v>
      </c>
      <c r="BN153" s="133">
        <f t="shared" si="220"/>
        <v>70.335395115171494</v>
      </c>
      <c r="BO153" s="133">
        <f t="shared" si="220"/>
        <v>49.842373435041296</v>
      </c>
      <c r="BP153" s="133">
        <f t="shared" si="220"/>
        <v>33.472327660095964</v>
      </c>
      <c r="BQ153" s="133">
        <f t="shared" si="220"/>
        <v>7.1836937613388638</v>
      </c>
      <c r="BR153" s="133">
        <f t="shared" si="220"/>
        <v>28.144277947723587</v>
      </c>
      <c r="BS153" s="133">
        <f t="shared" ref="BS153:DA153" si="221">($F$49*(BS137/BS150)+1-$F$49)*BS147</f>
        <v>11.268282502256577</v>
      </c>
      <c r="BT153" s="133">
        <f t="shared" si="221"/>
        <v>14.535874754517049</v>
      </c>
      <c r="BU153" s="133">
        <f t="shared" si="221"/>
        <v>16.916129900513774</v>
      </c>
      <c r="BV153" s="133">
        <f t="shared" si="221"/>
        <v>31.218465502907844</v>
      </c>
      <c r="BW153" s="133">
        <f t="shared" si="221"/>
        <v>19.058500062893852</v>
      </c>
      <c r="BX153" s="133">
        <f t="shared" si="221"/>
        <v>42.434796714100564</v>
      </c>
      <c r="BY153" s="133">
        <f t="shared" si="221"/>
        <v>7.6879261246988637</v>
      </c>
      <c r="BZ153" s="133">
        <f t="shared" si="221"/>
        <v>47.370789631545534</v>
      </c>
      <c r="CA153" s="133">
        <f t="shared" si="221"/>
        <v>24.423185834857637</v>
      </c>
      <c r="CB153" s="133">
        <f t="shared" si="221"/>
        <v>4.7901670917267687</v>
      </c>
      <c r="CC153" s="133">
        <f t="shared" si="221"/>
        <v>6.605702847150158</v>
      </c>
      <c r="CD153" s="133">
        <f t="shared" si="221"/>
        <v>14.223501268466693</v>
      </c>
      <c r="CE153" s="133">
        <f t="shared" si="221"/>
        <v>12.34374431020608</v>
      </c>
      <c r="CF153" s="133">
        <f t="shared" si="221"/>
        <v>11.777556025424902</v>
      </c>
      <c r="CG153" s="133">
        <f t="shared" si="221"/>
        <v>41.298704299880029</v>
      </c>
      <c r="CH153" s="133">
        <f t="shared" si="221"/>
        <v>29.563404512606514</v>
      </c>
      <c r="CI153" s="133">
        <f t="shared" si="221"/>
        <v>10.273637798961644</v>
      </c>
      <c r="CJ153" s="133">
        <f t="shared" si="221"/>
        <v>65.845567538048883</v>
      </c>
      <c r="CK153" s="133">
        <f t="shared" si="221"/>
        <v>39.468781591244792</v>
      </c>
      <c r="CL153" s="133">
        <f t="shared" si="221"/>
        <v>4.3661819857168833</v>
      </c>
      <c r="CM153" s="133">
        <f t="shared" si="221"/>
        <v>9.7031677519963395</v>
      </c>
      <c r="CN153" s="133">
        <f t="shared" si="221"/>
        <v>27.433167778272807</v>
      </c>
      <c r="CO153" s="133">
        <f t="shared" si="221"/>
        <v>7.2654357692461078</v>
      </c>
      <c r="CP153" s="133">
        <f t="shared" si="221"/>
        <v>22.261629212384836</v>
      </c>
      <c r="CQ153" s="133">
        <f t="shared" si="221"/>
        <v>6.8409727847872723</v>
      </c>
      <c r="CR153" s="133">
        <f t="shared" si="221"/>
        <v>8.8784231540301519</v>
      </c>
      <c r="CS153" s="133">
        <f t="shared" si="221"/>
        <v>52.093672841653728</v>
      </c>
      <c r="CT153" s="133">
        <f t="shared" si="221"/>
        <v>18.120171678255087</v>
      </c>
      <c r="CU153" s="133">
        <f t="shared" si="221"/>
        <v>29.913733480928229</v>
      </c>
      <c r="CV153" s="133">
        <f t="shared" si="221"/>
        <v>6.7186470016242712</v>
      </c>
      <c r="CW153" s="133">
        <f t="shared" si="221"/>
        <v>31.539104529133102</v>
      </c>
      <c r="CX153" s="133">
        <f t="shared" si="221"/>
        <v>43.442615798724795</v>
      </c>
      <c r="CY153" s="133">
        <f t="shared" si="221"/>
        <v>14.057347685526878</v>
      </c>
      <c r="CZ153" s="133">
        <f t="shared" si="221"/>
        <v>21.0864746353088</v>
      </c>
      <c r="DA153" s="133">
        <f t="shared" si="221"/>
        <v>11.022607388346486</v>
      </c>
    </row>
    <row r="154" spans="5:105">
      <c r="E154" s="137" t="s">
        <v>141</v>
      </c>
      <c r="F154" s="133">
        <f>($F$49*(F137/F151)+1-$F$49)*F148</f>
        <v>100</v>
      </c>
      <c r="G154" s="133">
        <f t="shared" ref="G154:BR154" si="222">($F$49*(G137/G151)+1-$F$49)*G148</f>
        <v>61.228163794815238</v>
      </c>
      <c r="H154" s="133">
        <f t="shared" si="222"/>
        <v>22.674799222182777</v>
      </c>
      <c r="I154" s="133">
        <f t="shared" si="222"/>
        <v>5.5564534486031922</v>
      </c>
      <c r="J154" s="133">
        <f t="shared" si="222"/>
        <v>29.189986936901406</v>
      </c>
      <c r="K154" s="133">
        <f t="shared" si="222"/>
        <v>9.3266232711342507</v>
      </c>
      <c r="L154" s="133">
        <f t="shared" si="222"/>
        <v>12.832298743474613</v>
      </c>
      <c r="M154" s="133">
        <f t="shared" si="222"/>
        <v>5.7583156265582653</v>
      </c>
      <c r="N154" s="133">
        <f t="shared" si="222"/>
        <v>5.8831978681997308</v>
      </c>
      <c r="O154" s="133">
        <f t="shared" si="222"/>
        <v>4.856205573717574</v>
      </c>
      <c r="P154" s="133">
        <f t="shared" si="222"/>
        <v>19.083083439055695</v>
      </c>
      <c r="Q154" s="133">
        <f t="shared" si="222"/>
        <v>7.8373532922076059</v>
      </c>
      <c r="R154" s="133">
        <f t="shared" si="222"/>
        <v>9.4967133311454113</v>
      </c>
      <c r="S154" s="133">
        <f t="shared" si="222"/>
        <v>5.0596438054017208</v>
      </c>
      <c r="T154" s="133">
        <f t="shared" si="222"/>
        <v>36.033496974214295</v>
      </c>
      <c r="U154" s="133">
        <f t="shared" si="222"/>
        <v>27.19838654432893</v>
      </c>
      <c r="V154" s="133">
        <f t="shared" si="222"/>
        <v>5.9136054369588082</v>
      </c>
      <c r="W154" s="133">
        <f t="shared" si="222"/>
        <v>6.476871271403513</v>
      </c>
      <c r="X154" s="133">
        <f t="shared" si="222"/>
        <v>12.148442968025901</v>
      </c>
      <c r="Y154" s="133">
        <f t="shared" si="222"/>
        <v>13.597337616290122</v>
      </c>
      <c r="Z154" s="133">
        <f t="shared" si="222"/>
        <v>5.3265908360840299</v>
      </c>
      <c r="AA154" s="133">
        <f t="shared" si="222"/>
        <v>19.544446952681454</v>
      </c>
      <c r="AB154" s="133">
        <f t="shared" si="222"/>
        <v>12.581091062380272</v>
      </c>
      <c r="AC154" s="133">
        <f t="shared" si="222"/>
        <v>55.425999771485067</v>
      </c>
      <c r="AD154" s="133">
        <f t="shared" si="222"/>
        <v>31.27911024517616</v>
      </c>
      <c r="AE154" s="133">
        <f t="shared" si="222"/>
        <v>6.8575430412738898</v>
      </c>
      <c r="AF154" s="133">
        <f t="shared" si="222"/>
        <v>23.008675630742758</v>
      </c>
      <c r="AG154" s="133">
        <f t="shared" si="222"/>
        <v>26.389103673618965</v>
      </c>
      <c r="AH154" s="133">
        <f t="shared" si="222"/>
        <v>5.0636224506557745</v>
      </c>
      <c r="AI154" s="133">
        <f t="shared" si="222"/>
        <v>20.762223172112709</v>
      </c>
      <c r="AJ154" s="133">
        <f t="shared" si="222"/>
        <v>15.911657290740314</v>
      </c>
      <c r="AK154" s="133">
        <f t="shared" si="222"/>
        <v>22.596775742561213</v>
      </c>
      <c r="AL154" s="133">
        <f t="shared" si="222"/>
        <v>9.7234471901656612</v>
      </c>
      <c r="AM154" s="133">
        <f t="shared" si="222"/>
        <v>39.33383753167908</v>
      </c>
      <c r="AN154" s="133">
        <f t="shared" si="222"/>
        <v>6.45645037743411</v>
      </c>
      <c r="AO154" s="133">
        <f t="shared" si="222"/>
        <v>5.3811901544082641</v>
      </c>
      <c r="AP154" s="133">
        <f t="shared" si="222"/>
        <v>47.488780066198132</v>
      </c>
      <c r="AQ154" s="133">
        <f t="shared" si="222"/>
        <v>6.2693769572351181</v>
      </c>
      <c r="AR154" s="133">
        <f t="shared" si="222"/>
        <v>42.168653897229319</v>
      </c>
      <c r="AS154" s="133">
        <f t="shared" si="222"/>
        <v>5.6487812341256172</v>
      </c>
      <c r="AT154" s="133">
        <f t="shared" si="222"/>
        <v>9.6686424978269887</v>
      </c>
      <c r="AU154" s="133">
        <f t="shared" si="222"/>
        <v>57.092669397288176</v>
      </c>
      <c r="AV154" s="133">
        <f t="shared" si="222"/>
        <v>9.7273159083038365</v>
      </c>
      <c r="AW154" s="133">
        <f t="shared" si="222"/>
        <v>10.360969806767105</v>
      </c>
      <c r="AX154" s="133">
        <f t="shared" si="222"/>
        <v>4.7285448937561814</v>
      </c>
      <c r="AY154" s="133">
        <f t="shared" si="222"/>
        <v>9.6778572077871061</v>
      </c>
      <c r="AZ154" s="133">
        <f t="shared" si="222"/>
        <v>18.331497934616134</v>
      </c>
      <c r="BA154" s="133">
        <f t="shared" si="222"/>
        <v>25.942731433784186</v>
      </c>
      <c r="BB154" s="133">
        <f t="shared" si="222"/>
        <v>31.900483089025528</v>
      </c>
      <c r="BC154" s="133">
        <f t="shared" si="222"/>
        <v>7.2795682360266287</v>
      </c>
      <c r="BD154" s="133">
        <f t="shared" si="222"/>
        <v>15.63783783479929</v>
      </c>
      <c r="BE154" s="133">
        <f t="shared" si="222"/>
        <v>19.600735180744387</v>
      </c>
      <c r="BF154" s="133">
        <f t="shared" si="222"/>
        <v>7.4619676496184351</v>
      </c>
      <c r="BG154" s="133">
        <f t="shared" si="222"/>
        <v>13.16706160317338</v>
      </c>
      <c r="BH154" s="133">
        <f t="shared" si="222"/>
        <v>67.547960502346442</v>
      </c>
      <c r="BI154" s="133">
        <f t="shared" si="222"/>
        <v>62.23485320879913</v>
      </c>
      <c r="BJ154" s="133">
        <f t="shared" si="222"/>
        <v>41.698745347601637</v>
      </c>
      <c r="BK154" s="133">
        <f t="shared" si="222"/>
        <v>25.552436700983183</v>
      </c>
      <c r="BL154" s="133">
        <f t="shared" si="222"/>
        <v>23.646385420068899</v>
      </c>
      <c r="BM154" s="133">
        <f t="shared" si="222"/>
        <v>69.778451457650405</v>
      </c>
      <c r="BN154" s="133">
        <f t="shared" si="222"/>
        <v>72.343274210118111</v>
      </c>
      <c r="BO154" s="133">
        <f t="shared" si="222"/>
        <v>52.915460519363677</v>
      </c>
      <c r="BP154" s="133">
        <f t="shared" si="222"/>
        <v>35.934297086774819</v>
      </c>
      <c r="BQ154" s="133">
        <f t="shared" si="222"/>
        <v>7.6100015817074116</v>
      </c>
      <c r="BR154" s="133">
        <f t="shared" si="222"/>
        <v>37.535253816681447</v>
      </c>
      <c r="BS154" s="133">
        <f t="shared" ref="BS154:DA154" si="223">($F$49*(BS137/BS151)+1-$F$49)*BS148</f>
        <v>14.03243716611038</v>
      </c>
      <c r="BT154" s="133">
        <f t="shared" si="223"/>
        <v>23.199373253335999</v>
      </c>
      <c r="BU154" s="133">
        <f t="shared" si="223"/>
        <v>28.107517128654774</v>
      </c>
      <c r="BV154" s="133">
        <f t="shared" si="223"/>
        <v>43.334724409317253</v>
      </c>
      <c r="BW154" s="133">
        <f t="shared" si="223"/>
        <v>24.533185232310103</v>
      </c>
      <c r="BX154" s="133">
        <f t="shared" si="223"/>
        <v>67.916182024181481</v>
      </c>
      <c r="BY154" s="133">
        <f t="shared" si="223"/>
        <v>16.796659826829249</v>
      </c>
      <c r="BZ154" s="133">
        <f t="shared" si="223"/>
        <v>53.86935052832996</v>
      </c>
      <c r="CA154" s="133">
        <f t="shared" si="223"/>
        <v>53.31970538913113</v>
      </c>
      <c r="CB154" s="133">
        <f t="shared" si="223"/>
        <v>5.4115047237318645</v>
      </c>
      <c r="CC154" s="133">
        <f t="shared" si="223"/>
        <v>15.975348749633813</v>
      </c>
      <c r="CD154" s="133">
        <f t="shared" si="223"/>
        <v>44.449396259146376</v>
      </c>
      <c r="CE154" s="133">
        <f t="shared" si="223"/>
        <v>27.411815065494274</v>
      </c>
      <c r="CF154" s="133">
        <f t="shared" si="223"/>
        <v>39.443976507621414</v>
      </c>
      <c r="CG154" s="133">
        <f t="shared" si="223"/>
        <v>63.1434793851084</v>
      </c>
      <c r="CH154" s="133">
        <f t="shared" si="223"/>
        <v>54.867468961909928</v>
      </c>
      <c r="CI154" s="133">
        <f t="shared" si="223"/>
        <v>30.804118894388292</v>
      </c>
      <c r="CJ154" s="133">
        <f t="shared" si="223"/>
        <v>77.492941334390622</v>
      </c>
      <c r="CK154" s="133">
        <f t="shared" si="223"/>
        <v>56.87524064237342</v>
      </c>
      <c r="CL154" s="133">
        <f t="shared" si="223"/>
        <v>5.982216572124937</v>
      </c>
      <c r="CM154" s="133">
        <f t="shared" si="223"/>
        <v>16.148431508593401</v>
      </c>
      <c r="CN154" s="133">
        <f t="shared" si="223"/>
        <v>53.206316584368011</v>
      </c>
      <c r="CO154" s="133">
        <f t="shared" si="223"/>
        <v>21.318623842714508</v>
      </c>
      <c r="CP154" s="133">
        <f t="shared" si="223"/>
        <v>43.081850636930824</v>
      </c>
      <c r="CQ154" s="133">
        <f t="shared" si="223"/>
        <v>16.175681996319621</v>
      </c>
      <c r="CR154" s="133">
        <f t="shared" si="223"/>
        <v>20.615283563604475</v>
      </c>
      <c r="CS154" s="133">
        <f t="shared" si="223"/>
        <v>57.397943135921665</v>
      </c>
      <c r="CT154" s="133">
        <f t="shared" si="223"/>
        <v>28.453834976390056</v>
      </c>
      <c r="CU154" s="133">
        <f t="shared" si="223"/>
        <v>39.819780383867133</v>
      </c>
      <c r="CV154" s="133">
        <f t="shared" si="223"/>
        <v>13.546816168803883</v>
      </c>
      <c r="CW154" s="133">
        <f t="shared" si="223"/>
        <v>44.36032009727726</v>
      </c>
      <c r="CX154" s="133">
        <f t="shared" si="223"/>
        <v>55.680500235805411</v>
      </c>
      <c r="CY154" s="133">
        <f t="shared" si="223"/>
        <v>20.920963011038534</v>
      </c>
      <c r="CZ154" s="133">
        <f t="shared" si="223"/>
        <v>30.618147379488033</v>
      </c>
      <c r="DA154" s="133">
        <f t="shared" si="223"/>
        <v>18.257316290554755</v>
      </c>
    </row>
    <row r="155" spans="5:105">
      <c r="E155" s="137" t="s">
        <v>142</v>
      </c>
      <c r="F155" s="133">
        <f>($F$49*(F137/F149)+1-$F$49)*F149</f>
        <v>100</v>
      </c>
      <c r="G155" s="133">
        <f t="shared" ref="G155:BR155" si="224">($F$49*(G137/G149)+1-$F$49)*G149</f>
        <v>100</v>
      </c>
      <c r="H155" s="133">
        <f t="shared" si="224"/>
        <v>100</v>
      </c>
      <c r="I155" s="133">
        <f t="shared" si="224"/>
        <v>100</v>
      </c>
      <c r="J155" s="133">
        <f t="shared" si="224"/>
        <v>100</v>
      </c>
      <c r="K155" s="133">
        <f t="shared" si="224"/>
        <v>100</v>
      </c>
      <c r="L155" s="133">
        <f t="shared" si="224"/>
        <v>100</v>
      </c>
      <c r="M155" s="133">
        <f t="shared" si="224"/>
        <v>100</v>
      </c>
      <c r="N155" s="133">
        <f t="shared" si="224"/>
        <v>100</v>
      </c>
      <c r="O155" s="133">
        <f t="shared" si="224"/>
        <v>100</v>
      </c>
      <c r="P155" s="133">
        <f t="shared" si="224"/>
        <v>100</v>
      </c>
      <c r="Q155" s="133">
        <f t="shared" si="224"/>
        <v>100</v>
      </c>
      <c r="R155" s="133">
        <f t="shared" si="224"/>
        <v>100</v>
      </c>
      <c r="S155" s="133">
        <f t="shared" si="224"/>
        <v>100</v>
      </c>
      <c r="T155" s="133">
        <f t="shared" si="224"/>
        <v>100</v>
      </c>
      <c r="U155" s="133">
        <f t="shared" si="224"/>
        <v>100</v>
      </c>
      <c r="V155" s="133">
        <f t="shared" si="224"/>
        <v>100</v>
      </c>
      <c r="W155" s="133">
        <f t="shared" si="224"/>
        <v>100</v>
      </c>
      <c r="X155" s="133">
        <f t="shared" si="224"/>
        <v>100</v>
      </c>
      <c r="Y155" s="133">
        <f t="shared" si="224"/>
        <v>100</v>
      </c>
      <c r="Z155" s="133">
        <f t="shared" si="224"/>
        <v>100</v>
      </c>
      <c r="AA155" s="133">
        <f t="shared" si="224"/>
        <v>100</v>
      </c>
      <c r="AB155" s="133">
        <f t="shared" si="224"/>
        <v>100</v>
      </c>
      <c r="AC155" s="133">
        <f t="shared" si="224"/>
        <v>100</v>
      </c>
      <c r="AD155" s="133">
        <f t="shared" si="224"/>
        <v>100</v>
      </c>
      <c r="AE155" s="133">
        <f t="shared" si="224"/>
        <v>100</v>
      </c>
      <c r="AF155" s="133">
        <f t="shared" si="224"/>
        <v>100</v>
      </c>
      <c r="AG155" s="133">
        <f t="shared" si="224"/>
        <v>100</v>
      </c>
      <c r="AH155" s="133">
        <f t="shared" si="224"/>
        <v>100</v>
      </c>
      <c r="AI155" s="133">
        <f t="shared" si="224"/>
        <v>100</v>
      </c>
      <c r="AJ155" s="133">
        <f t="shared" si="224"/>
        <v>100</v>
      </c>
      <c r="AK155" s="133">
        <f t="shared" si="224"/>
        <v>100</v>
      </c>
      <c r="AL155" s="133">
        <f t="shared" si="224"/>
        <v>100</v>
      </c>
      <c r="AM155" s="133">
        <f t="shared" si="224"/>
        <v>100</v>
      </c>
      <c r="AN155" s="133">
        <f t="shared" si="224"/>
        <v>100</v>
      </c>
      <c r="AO155" s="133">
        <f t="shared" si="224"/>
        <v>100</v>
      </c>
      <c r="AP155" s="133">
        <f t="shared" si="224"/>
        <v>100</v>
      </c>
      <c r="AQ155" s="133">
        <f t="shared" si="224"/>
        <v>100</v>
      </c>
      <c r="AR155" s="133">
        <f t="shared" si="224"/>
        <v>100</v>
      </c>
      <c r="AS155" s="133">
        <f t="shared" si="224"/>
        <v>100</v>
      </c>
      <c r="AT155" s="133">
        <f t="shared" si="224"/>
        <v>100</v>
      </c>
      <c r="AU155" s="133">
        <f t="shared" si="224"/>
        <v>100</v>
      </c>
      <c r="AV155" s="133">
        <f t="shared" si="224"/>
        <v>100</v>
      </c>
      <c r="AW155" s="133">
        <f t="shared" si="224"/>
        <v>100</v>
      </c>
      <c r="AX155" s="133">
        <f t="shared" si="224"/>
        <v>100</v>
      </c>
      <c r="AY155" s="133">
        <f t="shared" si="224"/>
        <v>100</v>
      </c>
      <c r="AZ155" s="133">
        <f t="shared" si="224"/>
        <v>100</v>
      </c>
      <c r="BA155" s="133">
        <f t="shared" si="224"/>
        <v>100</v>
      </c>
      <c r="BB155" s="133">
        <f t="shared" si="224"/>
        <v>100</v>
      </c>
      <c r="BC155" s="133">
        <f t="shared" si="224"/>
        <v>100</v>
      </c>
      <c r="BD155" s="133">
        <f t="shared" si="224"/>
        <v>100</v>
      </c>
      <c r="BE155" s="133">
        <f t="shared" si="224"/>
        <v>100</v>
      </c>
      <c r="BF155" s="133">
        <f t="shared" si="224"/>
        <v>100</v>
      </c>
      <c r="BG155" s="133">
        <f t="shared" si="224"/>
        <v>100</v>
      </c>
      <c r="BH155" s="133">
        <f t="shared" si="224"/>
        <v>100</v>
      </c>
      <c r="BI155" s="133">
        <f t="shared" si="224"/>
        <v>100</v>
      </c>
      <c r="BJ155" s="133">
        <f t="shared" si="224"/>
        <v>100</v>
      </c>
      <c r="BK155" s="133">
        <f t="shared" si="224"/>
        <v>100</v>
      </c>
      <c r="BL155" s="133">
        <f t="shared" si="224"/>
        <v>100</v>
      </c>
      <c r="BM155" s="133">
        <f t="shared" si="224"/>
        <v>100</v>
      </c>
      <c r="BN155" s="133">
        <f t="shared" si="224"/>
        <v>100</v>
      </c>
      <c r="BO155" s="133">
        <f t="shared" si="224"/>
        <v>100</v>
      </c>
      <c r="BP155" s="133">
        <f t="shared" si="224"/>
        <v>100</v>
      </c>
      <c r="BQ155" s="133">
        <f t="shared" si="224"/>
        <v>100</v>
      </c>
      <c r="BR155" s="133">
        <f t="shared" si="224"/>
        <v>100</v>
      </c>
      <c r="BS155" s="133">
        <f t="shared" ref="BS155:DA155" si="225">($F$49*(BS137/BS149)+1-$F$49)*BS149</f>
        <v>100</v>
      </c>
      <c r="BT155" s="133">
        <f t="shared" si="225"/>
        <v>100</v>
      </c>
      <c r="BU155" s="133">
        <f t="shared" si="225"/>
        <v>100</v>
      </c>
      <c r="BV155" s="133">
        <f t="shared" si="225"/>
        <v>100</v>
      </c>
      <c r="BW155" s="133">
        <f t="shared" si="225"/>
        <v>100</v>
      </c>
      <c r="BX155" s="133">
        <f t="shared" si="225"/>
        <v>100</v>
      </c>
      <c r="BY155" s="133">
        <f t="shared" si="225"/>
        <v>100</v>
      </c>
      <c r="BZ155" s="133">
        <f t="shared" si="225"/>
        <v>100</v>
      </c>
      <c r="CA155" s="133">
        <f t="shared" si="225"/>
        <v>100</v>
      </c>
      <c r="CB155" s="133">
        <f t="shared" si="225"/>
        <v>100</v>
      </c>
      <c r="CC155" s="133">
        <f t="shared" si="225"/>
        <v>100</v>
      </c>
      <c r="CD155" s="133">
        <f t="shared" si="225"/>
        <v>100</v>
      </c>
      <c r="CE155" s="133">
        <f t="shared" si="225"/>
        <v>100</v>
      </c>
      <c r="CF155" s="133">
        <f t="shared" si="225"/>
        <v>100</v>
      </c>
      <c r="CG155" s="133">
        <f t="shared" si="225"/>
        <v>100</v>
      </c>
      <c r="CH155" s="133">
        <f t="shared" si="225"/>
        <v>100</v>
      </c>
      <c r="CI155" s="133">
        <f t="shared" si="225"/>
        <v>100</v>
      </c>
      <c r="CJ155" s="133">
        <f t="shared" si="225"/>
        <v>100</v>
      </c>
      <c r="CK155" s="133">
        <f t="shared" si="225"/>
        <v>100</v>
      </c>
      <c r="CL155" s="133">
        <f t="shared" si="225"/>
        <v>100</v>
      </c>
      <c r="CM155" s="133">
        <f t="shared" si="225"/>
        <v>100</v>
      </c>
      <c r="CN155" s="133">
        <f t="shared" si="225"/>
        <v>100</v>
      </c>
      <c r="CO155" s="133">
        <f t="shared" si="225"/>
        <v>100</v>
      </c>
      <c r="CP155" s="133">
        <f t="shared" si="225"/>
        <v>100</v>
      </c>
      <c r="CQ155" s="133">
        <f t="shared" si="225"/>
        <v>100</v>
      </c>
      <c r="CR155" s="133">
        <f t="shared" si="225"/>
        <v>100</v>
      </c>
      <c r="CS155" s="133">
        <f t="shared" si="225"/>
        <v>100</v>
      </c>
      <c r="CT155" s="133">
        <f t="shared" si="225"/>
        <v>100</v>
      </c>
      <c r="CU155" s="133">
        <f t="shared" si="225"/>
        <v>100</v>
      </c>
      <c r="CV155" s="133">
        <f t="shared" si="225"/>
        <v>100</v>
      </c>
      <c r="CW155" s="133">
        <f t="shared" si="225"/>
        <v>100</v>
      </c>
      <c r="CX155" s="133">
        <f t="shared" si="225"/>
        <v>100</v>
      </c>
      <c r="CY155" s="133">
        <f t="shared" si="225"/>
        <v>100</v>
      </c>
      <c r="CZ155" s="133">
        <f t="shared" si="225"/>
        <v>100</v>
      </c>
      <c r="DA155" s="133">
        <f t="shared" si="225"/>
        <v>100</v>
      </c>
    </row>
    <row r="156" spans="5:105">
      <c r="E156" s="137" t="s">
        <v>143</v>
      </c>
      <c r="F156" s="133">
        <f>($F$49*(F137/F150)+1-$F$49)*F150</f>
        <v>99.999999999999986</v>
      </c>
      <c r="G156" s="133">
        <f t="shared" ref="G156:BR156" si="226">($F$49*(G137/G150)+1-$F$49)*G150</f>
        <v>99.999999999999986</v>
      </c>
      <c r="H156" s="133">
        <f t="shared" si="226"/>
        <v>99.999999999999986</v>
      </c>
      <c r="I156" s="133">
        <f t="shared" si="226"/>
        <v>99.999999999999986</v>
      </c>
      <c r="J156" s="133">
        <f t="shared" si="226"/>
        <v>99.999999999999986</v>
      </c>
      <c r="K156" s="133">
        <f t="shared" si="226"/>
        <v>99.999999999999986</v>
      </c>
      <c r="L156" s="133">
        <f t="shared" si="226"/>
        <v>99.999999999999986</v>
      </c>
      <c r="M156" s="133">
        <f t="shared" si="226"/>
        <v>99.999999999999986</v>
      </c>
      <c r="N156" s="133">
        <f t="shared" si="226"/>
        <v>99.999999999999986</v>
      </c>
      <c r="O156" s="133">
        <f t="shared" si="226"/>
        <v>99.999999999999986</v>
      </c>
      <c r="P156" s="133">
        <f t="shared" si="226"/>
        <v>99.999999999999986</v>
      </c>
      <c r="Q156" s="133">
        <f t="shared" si="226"/>
        <v>99.999999999999986</v>
      </c>
      <c r="R156" s="133">
        <f t="shared" si="226"/>
        <v>99.999999999999986</v>
      </c>
      <c r="S156" s="133">
        <f t="shared" si="226"/>
        <v>99.999999999999986</v>
      </c>
      <c r="T156" s="133">
        <f t="shared" si="226"/>
        <v>99.999999999999986</v>
      </c>
      <c r="U156" s="133">
        <f t="shared" si="226"/>
        <v>99.999999999999986</v>
      </c>
      <c r="V156" s="133">
        <f t="shared" si="226"/>
        <v>99.999999999999986</v>
      </c>
      <c r="W156" s="133">
        <f t="shared" si="226"/>
        <v>99.999999999999986</v>
      </c>
      <c r="X156" s="133">
        <f t="shared" si="226"/>
        <v>99.999999999999986</v>
      </c>
      <c r="Y156" s="133">
        <f t="shared" si="226"/>
        <v>99.999999999999986</v>
      </c>
      <c r="Z156" s="133">
        <f t="shared" si="226"/>
        <v>99.999999999999986</v>
      </c>
      <c r="AA156" s="133">
        <f t="shared" si="226"/>
        <v>99.999999999999986</v>
      </c>
      <c r="AB156" s="133">
        <f t="shared" si="226"/>
        <v>99.999999999999986</v>
      </c>
      <c r="AC156" s="133">
        <f t="shared" si="226"/>
        <v>99.999999999999986</v>
      </c>
      <c r="AD156" s="133">
        <f t="shared" si="226"/>
        <v>99.999999999999986</v>
      </c>
      <c r="AE156" s="133">
        <f t="shared" si="226"/>
        <v>99.999999999999986</v>
      </c>
      <c r="AF156" s="133">
        <f t="shared" si="226"/>
        <v>99.999999999999986</v>
      </c>
      <c r="AG156" s="133">
        <f t="shared" si="226"/>
        <v>99.999999999999986</v>
      </c>
      <c r="AH156" s="133">
        <f t="shared" si="226"/>
        <v>99.999999999999986</v>
      </c>
      <c r="AI156" s="133">
        <f t="shared" si="226"/>
        <v>99.999999999999986</v>
      </c>
      <c r="AJ156" s="133">
        <f t="shared" si="226"/>
        <v>99.999999999999986</v>
      </c>
      <c r="AK156" s="133">
        <f t="shared" si="226"/>
        <v>99.999999999999986</v>
      </c>
      <c r="AL156" s="133">
        <f t="shared" si="226"/>
        <v>99.999999999999986</v>
      </c>
      <c r="AM156" s="133">
        <f t="shared" si="226"/>
        <v>99.999999999999986</v>
      </c>
      <c r="AN156" s="133">
        <f t="shared" si="226"/>
        <v>99.999999999999986</v>
      </c>
      <c r="AO156" s="133">
        <f t="shared" si="226"/>
        <v>99.999999999999986</v>
      </c>
      <c r="AP156" s="133">
        <f t="shared" si="226"/>
        <v>99.999999999999986</v>
      </c>
      <c r="AQ156" s="133">
        <f t="shared" si="226"/>
        <v>99.999999999999986</v>
      </c>
      <c r="AR156" s="133">
        <f t="shared" si="226"/>
        <v>99.999999999999986</v>
      </c>
      <c r="AS156" s="133">
        <f t="shared" si="226"/>
        <v>99.999999999999986</v>
      </c>
      <c r="AT156" s="133">
        <f t="shared" si="226"/>
        <v>99.999999999999986</v>
      </c>
      <c r="AU156" s="133">
        <f t="shared" si="226"/>
        <v>99.999999999999986</v>
      </c>
      <c r="AV156" s="133">
        <f t="shared" si="226"/>
        <v>99.999999999999986</v>
      </c>
      <c r="AW156" s="133">
        <f t="shared" si="226"/>
        <v>99.999999999999986</v>
      </c>
      <c r="AX156" s="133">
        <f t="shared" si="226"/>
        <v>99.999999999999986</v>
      </c>
      <c r="AY156" s="133">
        <f t="shared" si="226"/>
        <v>99.999999999999986</v>
      </c>
      <c r="AZ156" s="133">
        <f t="shared" si="226"/>
        <v>99.999999999999986</v>
      </c>
      <c r="BA156" s="133">
        <f t="shared" si="226"/>
        <v>99.999999999999986</v>
      </c>
      <c r="BB156" s="133">
        <f t="shared" si="226"/>
        <v>99.999999999999986</v>
      </c>
      <c r="BC156" s="133">
        <f t="shared" si="226"/>
        <v>99.999999999999986</v>
      </c>
      <c r="BD156" s="133">
        <f t="shared" si="226"/>
        <v>99.999999999999986</v>
      </c>
      <c r="BE156" s="133">
        <f t="shared" si="226"/>
        <v>99.999999999999986</v>
      </c>
      <c r="BF156" s="133">
        <f t="shared" si="226"/>
        <v>99.999999999999986</v>
      </c>
      <c r="BG156" s="133">
        <f t="shared" si="226"/>
        <v>99.999999999999986</v>
      </c>
      <c r="BH156" s="133">
        <f t="shared" si="226"/>
        <v>99.999999999999986</v>
      </c>
      <c r="BI156" s="133">
        <f t="shared" si="226"/>
        <v>99.999999999999986</v>
      </c>
      <c r="BJ156" s="133">
        <f t="shared" si="226"/>
        <v>99.999999999999986</v>
      </c>
      <c r="BK156" s="133">
        <f t="shared" si="226"/>
        <v>99.999999999999986</v>
      </c>
      <c r="BL156" s="133">
        <f t="shared" si="226"/>
        <v>99.999999999999986</v>
      </c>
      <c r="BM156" s="133">
        <f t="shared" si="226"/>
        <v>99.999999999999986</v>
      </c>
      <c r="BN156" s="133">
        <f t="shared" si="226"/>
        <v>99.999999999999986</v>
      </c>
      <c r="BO156" s="133">
        <f t="shared" si="226"/>
        <v>99.999999999999986</v>
      </c>
      <c r="BP156" s="133">
        <f t="shared" si="226"/>
        <v>99.999999999999986</v>
      </c>
      <c r="BQ156" s="133">
        <f t="shared" si="226"/>
        <v>99.999999999999986</v>
      </c>
      <c r="BR156" s="133">
        <f t="shared" si="226"/>
        <v>99.999999999999986</v>
      </c>
      <c r="BS156" s="133">
        <f t="shared" ref="BS156:DA156" si="227">($F$49*(BS137/BS150)+1-$F$49)*BS150</f>
        <v>99.999999999999986</v>
      </c>
      <c r="BT156" s="133">
        <f t="shared" si="227"/>
        <v>99.999999999999986</v>
      </c>
      <c r="BU156" s="133">
        <f t="shared" si="227"/>
        <v>99.999999999999986</v>
      </c>
      <c r="BV156" s="133">
        <f t="shared" si="227"/>
        <v>99.999999999999986</v>
      </c>
      <c r="BW156" s="133">
        <f t="shared" si="227"/>
        <v>99.999999999999986</v>
      </c>
      <c r="BX156" s="133">
        <f t="shared" si="227"/>
        <v>99.999999999999986</v>
      </c>
      <c r="BY156" s="133">
        <f t="shared" si="227"/>
        <v>99.999999999999986</v>
      </c>
      <c r="BZ156" s="133">
        <f t="shared" si="227"/>
        <v>99.999999999999986</v>
      </c>
      <c r="CA156" s="133">
        <f t="shared" si="227"/>
        <v>99.999999999999986</v>
      </c>
      <c r="CB156" s="133">
        <f t="shared" si="227"/>
        <v>99.999999999999986</v>
      </c>
      <c r="CC156" s="133">
        <f t="shared" si="227"/>
        <v>99.999999999999986</v>
      </c>
      <c r="CD156" s="133">
        <f t="shared" si="227"/>
        <v>99.999999999999986</v>
      </c>
      <c r="CE156" s="133">
        <f t="shared" si="227"/>
        <v>99.999999999999986</v>
      </c>
      <c r="CF156" s="133">
        <f t="shared" si="227"/>
        <v>99.999999999999986</v>
      </c>
      <c r="CG156" s="133">
        <f t="shared" si="227"/>
        <v>99.999999999999986</v>
      </c>
      <c r="CH156" s="133">
        <f t="shared" si="227"/>
        <v>99.999999999999986</v>
      </c>
      <c r="CI156" s="133">
        <f t="shared" si="227"/>
        <v>99.999999999999986</v>
      </c>
      <c r="CJ156" s="133">
        <f t="shared" si="227"/>
        <v>99.999999999999986</v>
      </c>
      <c r="CK156" s="133">
        <f t="shared" si="227"/>
        <v>99.999999999999986</v>
      </c>
      <c r="CL156" s="133">
        <f t="shared" si="227"/>
        <v>99.999999999999986</v>
      </c>
      <c r="CM156" s="133">
        <f t="shared" si="227"/>
        <v>99.999999999999986</v>
      </c>
      <c r="CN156" s="133">
        <f t="shared" si="227"/>
        <v>99.999999999999986</v>
      </c>
      <c r="CO156" s="133">
        <f t="shared" si="227"/>
        <v>99.999999999999986</v>
      </c>
      <c r="CP156" s="133">
        <f t="shared" si="227"/>
        <v>99.999999999999986</v>
      </c>
      <c r="CQ156" s="133">
        <f t="shared" si="227"/>
        <v>99.999999999999986</v>
      </c>
      <c r="CR156" s="133">
        <f t="shared" si="227"/>
        <v>99.999999999999986</v>
      </c>
      <c r="CS156" s="133">
        <f t="shared" si="227"/>
        <v>99.999999999999986</v>
      </c>
      <c r="CT156" s="133">
        <f t="shared" si="227"/>
        <v>99.999999999999986</v>
      </c>
      <c r="CU156" s="133">
        <f t="shared" si="227"/>
        <v>99.999999999999986</v>
      </c>
      <c r="CV156" s="133">
        <f t="shared" si="227"/>
        <v>99.999999999999986</v>
      </c>
      <c r="CW156" s="133">
        <f t="shared" si="227"/>
        <v>99.999999999999986</v>
      </c>
      <c r="CX156" s="133">
        <f t="shared" si="227"/>
        <v>99.999999999999986</v>
      </c>
      <c r="CY156" s="133">
        <f t="shared" si="227"/>
        <v>99.999999999999986</v>
      </c>
      <c r="CZ156" s="133">
        <f t="shared" si="227"/>
        <v>99.999999999999986</v>
      </c>
      <c r="DA156" s="133">
        <f t="shared" si="227"/>
        <v>99.999999999999986</v>
      </c>
    </row>
    <row r="157" spans="5:105">
      <c r="E157" s="137" t="s">
        <v>144</v>
      </c>
      <c r="F157" s="133">
        <f>($F$49*(F137/F151)+1-$F$49)*F151</f>
        <v>100</v>
      </c>
      <c r="G157" s="133">
        <f t="shared" ref="G157:BR157" si="228">($F$49*(G137/G151)+1-$F$49)*G151</f>
        <v>100</v>
      </c>
      <c r="H157" s="133">
        <f t="shared" si="228"/>
        <v>100</v>
      </c>
      <c r="I157" s="133">
        <f t="shared" si="228"/>
        <v>100</v>
      </c>
      <c r="J157" s="133">
        <f t="shared" si="228"/>
        <v>100</v>
      </c>
      <c r="K157" s="133">
        <f t="shared" si="228"/>
        <v>100</v>
      </c>
      <c r="L157" s="133">
        <f t="shared" si="228"/>
        <v>100</v>
      </c>
      <c r="M157" s="133">
        <f t="shared" si="228"/>
        <v>100</v>
      </c>
      <c r="N157" s="133">
        <f t="shared" si="228"/>
        <v>100</v>
      </c>
      <c r="O157" s="133">
        <f t="shared" si="228"/>
        <v>100</v>
      </c>
      <c r="P157" s="133">
        <f t="shared" si="228"/>
        <v>100</v>
      </c>
      <c r="Q157" s="133">
        <f t="shared" si="228"/>
        <v>100</v>
      </c>
      <c r="R157" s="133">
        <f t="shared" si="228"/>
        <v>100</v>
      </c>
      <c r="S157" s="133">
        <f t="shared" si="228"/>
        <v>100</v>
      </c>
      <c r="T157" s="133">
        <f t="shared" si="228"/>
        <v>100</v>
      </c>
      <c r="U157" s="133">
        <f t="shared" si="228"/>
        <v>100</v>
      </c>
      <c r="V157" s="133">
        <f t="shared" si="228"/>
        <v>100</v>
      </c>
      <c r="W157" s="133">
        <f t="shared" si="228"/>
        <v>100</v>
      </c>
      <c r="X157" s="133">
        <f t="shared" si="228"/>
        <v>100</v>
      </c>
      <c r="Y157" s="133">
        <f t="shared" si="228"/>
        <v>100</v>
      </c>
      <c r="Z157" s="133">
        <f t="shared" si="228"/>
        <v>100</v>
      </c>
      <c r="AA157" s="133">
        <f t="shared" si="228"/>
        <v>100</v>
      </c>
      <c r="AB157" s="133">
        <f t="shared" si="228"/>
        <v>100</v>
      </c>
      <c r="AC157" s="133">
        <f t="shared" si="228"/>
        <v>100</v>
      </c>
      <c r="AD157" s="133">
        <f t="shared" si="228"/>
        <v>100</v>
      </c>
      <c r="AE157" s="133">
        <f t="shared" si="228"/>
        <v>100</v>
      </c>
      <c r="AF157" s="133">
        <f t="shared" si="228"/>
        <v>100</v>
      </c>
      <c r="AG157" s="133">
        <f t="shared" si="228"/>
        <v>100</v>
      </c>
      <c r="AH157" s="133">
        <f t="shared" si="228"/>
        <v>100</v>
      </c>
      <c r="AI157" s="133">
        <f t="shared" si="228"/>
        <v>100</v>
      </c>
      <c r="AJ157" s="133">
        <f t="shared" si="228"/>
        <v>100</v>
      </c>
      <c r="AK157" s="133">
        <f t="shared" si="228"/>
        <v>100</v>
      </c>
      <c r="AL157" s="133">
        <f t="shared" si="228"/>
        <v>100</v>
      </c>
      <c r="AM157" s="133">
        <f t="shared" si="228"/>
        <v>100</v>
      </c>
      <c r="AN157" s="133">
        <f t="shared" si="228"/>
        <v>100</v>
      </c>
      <c r="AO157" s="133">
        <f t="shared" si="228"/>
        <v>100</v>
      </c>
      <c r="AP157" s="133">
        <f t="shared" si="228"/>
        <v>100</v>
      </c>
      <c r="AQ157" s="133">
        <f t="shared" si="228"/>
        <v>100</v>
      </c>
      <c r="AR157" s="133">
        <f t="shared" si="228"/>
        <v>100</v>
      </c>
      <c r="AS157" s="133">
        <f t="shared" si="228"/>
        <v>100</v>
      </c>
      <c r="AT157" s="133">
        <f t="shared" si="228"/>
        <v>100</v>
      </c>
      <c r="AU157" s="133">
        <f t="shared" si="228"/>
        <v>100</v>
      </c>
      <c r="AV157" s="133">
        <f t="shared" si="228"/>
        <v>100</v>
      </c>
      <c r="AW157" s="133">
        <f t="shared" si="228"/>
        <v>100</v>
      </c>
      <c r="AX157" s="133">
        <f t="shared" si="228"/>
        <v>100</v>
      </c>
      <c r="AY157" s="133">
        <f t="shared" si="228"/>
        <v>100</v>
      </c>
      <c r="AZ157" s="133">
        <f t="shared" si="228"/>
        <v>100</v>
      </c>
      <c r="BA157" s="133">
        <f t="shared" si="228"/>
        <v>100</v>
      </c>
      <c r="BB157" s="133">
        <f t="shared" si="228"/>
        <v>100</v>
      </c>
      <c r="BC157" s="133">
        <f t="shared" si="228"/>
        <v>100</v>
      </c>
      <c r="BD157" s="133">
        <f t="shared" si="228"/>
        <v>100</v>
      </c>
      <c r="BE157" s="133">
        <f t="shared" si="228"/>
        <v>100</v>
      </c>
      <c r="BF157" s="133">
        <f t="shared" si="228"/>
        <v>100</v>
      </c>
      <c r="BG157" s="133">
        <f t="shared" si="228"/>
        <v>100</v>
      </c>
      <c r="BH157" s="133">
        <f t="shared" si="228"/>
        <v>100</v>
      </c>
      <c r="BI157" s="133">
        <f t="shared" si="228"/>
        <v>100</v>
      </c>
      <c r="BJ157" s="133">
        <f t="shared" si="228"/>
        <v>100</v>
      </c>
      <c r="BK157" s="133">
        <f t="shared" si="228"/>
        <v>100</v>
      </c>
      <c r="BL157" s="133">
        <f t="shared" si="228"/>
        <v>100</v>
      </c>
      <c r="BM157" s="133">
        <f t="shared" si="228"/>
        <v>100</v>
      </c>
      <c r="BN157" s="133">
        <f t="shared" si="228"/>
        <v>100</v>
      </c>
      <c r="BO157" s="133">
        <f t="shared" si="228"/>
        <v>100</v>
      </c>
      <c r="BP157" s="133">
        <f t="shared" si="228"/>
        <v>100</v>
      </c>
      <c r="BQ157" s="133">
        <f t="shared" si="228"/>
        <v>100</v>
      </c>
      <c r="BR157" s="133">
        <f t="shared" si="228"/>
        <v>100</v>
      </c>
      <c r="BS157" s="133">
        <f t="shared" ref="BS157:DA157" si="229">($F$49*(BS137/BS151)+1-$F$49)*BS151</f>
        <v>100</v>
      </c>
      <c r="BT157" s="133">
        <f t="shared" si="229"/>
        <v>100</v>
      </c>
      <c r="BU157" s="133">
        <f t="shared" si="229"/>
        <v>100</v>
      </c>
      <c r="BV157" s="133">
        <f t="shared" si="229"/>
        <v>100</v>
      </c>
      <c r="BW157" s="133">
        <f t="shared" si="229"/>
        <v>100</v>
      </c>
      <c r="BX157" s="133">
        <f t="shared" si="229"/>
        <v>100</v>
      </c>
      <c r="BY157" s="133">
        <f t="shared" si="229"/>
        <v>100</v>
      </c>
      <c r="BZ157" s="133">
        <f t="shared" si="229"/>
        <v>100</v>
      </c>
      <c r="CA157" s="133">
        <f t="shared" si="229"/>
        <v>100</v>
      </c>
      <c r="CB157" s="133">
        <f t="shared" si="229"/>
        <v>100</v>
      </c>
      <c r="CC157" s="133">
        <f t="shared" si="229"/>
        <v>100</v>
      </c>
      <c r="CD157" s="133">
        <f t="shared" si="229"/>
        <v>100</v>
      </c>
      <c r="CE157" s="133">
        <f t="shared" si="229"/>
        <v>100</v>
      </c>
      <c r="CF157" s="133">
        <f t="shared" si="229"/>
        <v>100</v>
      </c>
      <c r="CG157" s="133">
        <f t="shared" si="229"/>
        <v>100</v>
      </c>
      <c r="CH157" s="133">
        <f t="shared" si="229"/>
        <v>100</v>
      </c>
      <c r="CI157" s="133">
        <f t="shared" si="229"/>
        <v>100</v>
      </c>
      <c r="CJ157" s="133">
        <f t="shared" si="229"/>
        <v>100</v>
      </c>
      <c r="CK157" s="133">
        <f t="shared" si="229"/>
        <v>100</v>
      </c>
      <c r="CL157" s="133">
        <f t="shared" si="229"/>
        <v>100</v>
      </c>
      <c r="CM157" s="133">
        <f t="shared" si="229"/>
        <v>100</v>
      </c>
      <c r="CN157" s="133">
        <f t="shared" si="229"/>
        <v>100</v>
      </c>
      <c r="CO157" s="133">
        <f t="shared" si="229"/>
        <v>100</v>
      </c>
      <c r="CP157" s="133">
        <f t="shared" si="229"/>
        <v>100</v>
      </c>
      <c r="CQ157" s="133">
        <f t="shared" si="229"/>
        <v>100</v>
      </c>
      <c r="CR157" s="133">
        <f t="shared" si="229"/>
        <v>100</v>
      </c>
      <c r="CS157" s="133">
        <f t="shared" si="229"/>
        <v>100</v>
      </c>
      <c r="CT157" s="133">
        <f t="shared" si="229"/>
        <v>100</v>
      </c>
      <c r="CU157" s="133">
        <f t="shared" si="229"/>
        <v>100</v>
      </c>
      <c r="CV157" s="133">
        <f t="shared" si="229"/>
        <v>100</v>
      </c>
      <c r="CW157" s="133">
        <f t="shared" si="229"/>
        <v>100</v>
      </c>
      <c r="CX157" s="133">
        <f t="shared" si="229"/>
        <v>100</v>
      </c>
      <c r="CY157" s="133">
        <f t="shared" si="229"/>
        <v>100</v>
      </c>
      <c r="CZ157" s="133">
        <f t="shared" si="229"/>
        <v>100</v>
      </c>
      <c r="DA157" s="133">
        <f t="shared" si="229"/>
        <v>100</v>
      </c>
    </row>
    <row r="158" spans="5:105">
      <c r="E158" s="137" t="s">
        <v>145</v>
      </c>
      <c r="F158" s="133">
        <f t="array" ref="F158:F160">MMULT($M$43:$O$45,F152:F154)</f>
        <v>100</v>
      </c>
      <c r="G158" s="133">
        <f t="array" ref="G158:G160">MMULT($M$43:$O$45,G152:G154)</f>
        <v>69.979238013174637</v>
      </c>
      <c r="H158" s="133">
        <f t="array" ref="H158:H160">MMULT($M$43:$O$45,H152:H154)</f>
        <v>35.416419574463184</v>
      </c>
      <c r="I158" s="133">
        <f t="array" ref="I158:I160">MMULT($M$43:$O$45,I152:I154)</f>
        <v>6.7626937388906105</v>
      </c>
      <c r="J158" s="133">
        <f t="array" ref="J158:J160">MMULT($M$43:$O$45,J152:J154)</f>
        <v>42.350864237950631</v>
      </c>
      <c r="K158" s="133">
        <f t="array" ref="K158:K160">MMULT($M$43:$O$45,K152:K154)</f>
        <v>21.36403596767768</v>
      </c>
      <c r="L158" s="133">
        <f t="array" ref="L158:L160">MMULT($M$43:$O$45,L152:L154)</f>
        <v>19.488760861902698</v>
      </c>
      <c r="M158" s="133">
        <f t="array" ref="M158:M160">MMULT($M$43:$O$45,M152:M154)</f>
        <v>15.037751498379347</v>
      </c>
      <c r="N158" s="133">
        <f t="array" ref="N158:N160">MMULT($M$43:$O$45,N152:N154)</f>
        <v>13.654936337885941</v>
      </c>
      <c r="O158" s="133">
        <f t="array" ref="O158:O160">MMULT($M$43:$O$45,O152:O154)</f>
        <v>5.0994103698891529</v>
      </c>
      <c r="P158" s="133">
        <f t="array" ref="P158:P160">MMULT($M$43:$O$45,P152:P154)</f>
        <v>55.478381177818044</v>
      </c>
      <c r="Q158" s="133">
        <f t="array" ref="Q158:Q160">MMULT($M$43:$O$45,Q152:Q154)</f>
        <v>29.838576051535686</v>
      </c>
      <c r="R158" s="133">
        <f t="array" ref="R158:R160">MMULT($M$43:$O$45,R152:R154)</f>
        <v>38.312734690319573</v>
      </c>
      <c r="S158" s="133">
        <f t="array" ref="S158:S160">MMULT($M$43:$O$45,S152:S154)</f>
        <v>13.78532826053206</v>
      </c>
      <c r="T158" s="133">
        <f t="array" ref="T158:T160">MMULT($M$43:$O$45,T152:T154)</f>
        <v>43.808938114785462</v>
      </c>
      <c r="U158" s="133">
        <f t="array" ref="U158:U160">MMULT($M$43:$O$45,U152:U154)</f>
        <v>41.341843533549543</v>
      </c>
      <c r="V158" s="133">
        <f t="array" ref="V158:V160">MMULT($M$43:$O$45,V152:V154)</f>
        <v>16.384766066766581</v>
      </c>
      <c r="W158" s="133">
        <f t="array" ref="W158:W160">MMULT($M$43:$O$45,W152:W154)</f>
        <v>17.93780511697895</v>
      </c>
      <c r="X158" s="133">
        <f t="array" ref="X158:X160">MMULT($M$43:$O$45,X152:X154)</f>
        <v>23.085764844555285</v>
      </c>
      <c r="Y158" s="133">
        <f t="array" ref="Y158:Y160">MMULT($M$43:$O$45,Y152:Y154)</f>
        <v>42.871369955445843</v>
      </c>
      <c r="Z158" s="133">
        <f t="array" ref="Z158:Z160">MMULT($M$43:$O$45,Z152:Z154)</f>
        <v>36.949223202948104</v>
      </c>
      <c r="AA158" s="133">
        <f t="array" ref="AA158:AA160">MMULT($M$43:$O$45,AA152:AA154)</f>
        <v>69.921470755391738</v>
      </c>
      <c r="AB158" s="133">
        <f t="array" ref="AB158:AB160">MMULT($M$43:$O$45,AB152:AB154)</f>
        <v>54.94670538036268</v>
      </c>
      <c r="AC158" s="133">
        <f t="array" ref="AC158:AC160">MMULT($M$43:$O$45,AC152:AC154)</f>
        <v>76.661149101147288</v>
      </c>
      <c r="AD158" s="133">
        <f t="array" ref="AD158:AD160">MMULT($M$43:$O$45,AD152:AD154)</f>
        <v>75.30752208049708</v>
      </c>
      <c r="AE158" s="133">
        <f t="array" ref="AE158:AE160">MMULT($M$43:$O$45,AE152:AE154)</f>
        <v>41.283468434661266</v>
      </c>
      <c r="AF158" s="133">
        <f t="array" ref="AF158:AF160">MMULT($M$43:$O$45,AF152:AF154)</f>
        <v>73.298184777467839</v>
      </c>
      <c r="AG158" s="133">
        <f t="array" ref="AG158:AG160">MMULT($M$43:$O$45,AG152:AG154)</f>
        <v>40.938029540174767</v>
      </c>
      <c r="AH158" s="133">
        <f t="array" ref="AH158:AH160">MMULT($M$43:$O$45,AH152:AH154)</f>
        <v>10.716415479457737</v>
      </c>
      <c r="AI158" s="133">
        <f t="array" ref="AI158:AI160">MMULT($M$43:$O$45,AI152:AI154)</f>
        <v>64.007818125374257</v>
      </c>
      <c r="AJ158" s="133">
        <f t="array" ref="AJ158:AJ160">MMULT($M$43:$O$45,AJ152:AJ154)</f>
        <v>29.288625834800495</v>
      </c>
      <c r="AK158" s="133">
        <f t="array" ref="AK158:AK160">MMULT($M$43:$O$45,AK152:AK154)</f>
        <v>66.861311846459415</v>
      </c>
      <c r="AL158" s="133">
        <f t="array" ref="AL158:AL160">MMULT($M$43:$O$45,AL152:AL154)</f>
        <v>42.300353518975179</v>
      </c>
      <c r="AM158" s="133">
        <f t="array" ref="AM158:AM160">MMULT($M$43:$O$45,AM152:AM154)</f>
        <v>69.658110334752706</v>
      </c>
      <c r="AN158" s="133">
        <f t="array" ref="AN158:AN160">MMULT($M$43:$O$45,AN152:AN154)</f>
        <v>25.822011221226614</v>
      </c>
      <c r="AO158" s="133">
        <f t="array" ref="AO158:AO160">MMULT($M$43:$O$45,AO152:AO154)</f>
        <v>10.710911187354101</v>
      </c>
      <c r="AP158" s="133">
        <f t="array" ref="AP158:AP160">MMULT($M$43:$O$45,AP152:AP154)</f>
        <v>53.157969150735596</v>
      </c>
      <c r="AQ158" s="133">
        <f t="array" ref="AQ158:AQ160">MMULT($M$43:$O$45,AQ152:AQ154)</f>
        <v>13.762287493926083</v>
      </c>
      <c r="AR158" s="133">
        <f t="array" ref="AR158:AR160">MMULT($M$43:$O$45,AR152:AR154)</f>
        <v>61.962381338835584</v>
      </c>
      <c r="AS158" s="133">
        <f t="array" ref="AS158:AS160">MMULT($M$43:$O$45,AS152:AS154)</f>
        <v>7.2157530536703156</v>
      </c>
      <c r="AT158" s="133">
        <f t="array" ref="AT158:AT160">MMULT($M$43:$O$45,AT152:AT154)</f>
        <v>15.032458558198874</v>
      </c>
      <c r="AU158" s="133">
        <f t="array" ref="AU158:AU160">MMULT($M$43:$O$45,AU152:AU154)</f>
        <v>66.161672187783353</v>
      </c>
      <c r="AV158" s="133">
        <f t="array" ref="AV158:AV160">MMULT($M$43:$O$45,AV152:AV154)</f>
        <v>28.469712618310048</v>
      </c>
      <c r="AW158" s="133">
        <f t="array" ref="AW158:AW160">MMULT($M$43:$O$45,AW152:AW154)</f>
        <v>32.663137843284026</v>
      </c>
      <c r="AX158" s="133">
        <f t="array" ref="AX158:AX160">MMULT($M$43:$O$45,AX152:AX154)</f>
        <v>4.8831718604577343</v>
      </c>
      <c r="AY158" s="133">
        <f t="array" ref="AY158:AY160">MMULT($M$43:$O$45,AY152:AY154)</f>
        <v>18.712066177241436</v>
      </c>
      <c r="AZ158" s="133">
        <f t="array" ref="AZ158:AZ160">MMULT($M$43:$O$45,AZ152:AZ154)</f>
        <v>28.014643817168913</v>
      </c>
      <c r="BA158" s="133">
        <f t="array" ref="BA158:BA160">MMULT($M$43:$O$45,BA152:BA154)</f>
        <v>32.903752260307691</v>
      </c>
      <c r="BB158" s="133">
        <f t="array" ref="BB158:BB160">MMULT($M$43:$O$45,BB152:BB154)</f>
        <v>41.077868811946153</v>
      </c>
      <c r="BC158" s="133">
        <f t="array" ref="BC158:BC160">MMULT($M$43:$O$45,BC152:BC154)</f>
        <v>10.83683537115132</v>
      </c>
      <c r="BD158" s="133">
        <f t="array" ref="BD158:BD160">MMULT($M$43:$O$45,BD152:BD154)</f>
        <v>16.475436189462894</v>
      </c>
      <c r="BE158" s="133">
        <f t="array" ref="BE158:BE160">MMULT($M$43:$O$45,BE152:BE154)</f>
        <v>20.125143980589591</v>
      </c>
      <c r="BF158" s="133">
        <f t="array" ref="BF158:BF160">MMULT($M$43:$O$45,BF152:BF154)</f>
        <v>7.7922759153349386</v>
      </c>
      <c r="BG158" s="133">
        <f t="array" ref="BG158:BG160">MMULT($M$43:$O$45,BG152:BG154)</f>
        <v>10.37387849109842</v>
      </c>
      <c r="BH158" s="133">
        <f t="array" ref="BH158:BH160">MMULT($M$43:$O$45,BH152:BH154)</f>
        <v>61.223203119755603</v>
      </c>
      <c r="BI158" s="133">
        <f t="array" ref="BI158:BI160">MMULT($M$43:$O$45,BI152:BI154)</f>
        <v>53.648520943873969</v>
      </c>
      <c r="BJ158" s="133">
        <f t="array" ref="BJ158:BJ160">MMULT($M$43:$O$45,BJ152:BJ154)</f>
        <v>29.433088255719991</v>
      </c>
      <c r="BK158" s="133">
        <f t="array" ref="BK158:BK160">MMULT($M$43:$O$45,BK152:BK154)</f>
        <v>15.982283929311571</v>
      </c>
      <c r="BL158" s="133">
        <f t="array" ref="BL158:BL160">MMULT($M$43:$O$45,BL152:BL154)</f>
        <v>13.556728541332019</v>
      </c>
      <c r="BM158" s="133">
        <f t="array" ref="BM158:BM160">MMULT($M$43:$O$45,BM152:BM154)</f>
        <v>60.91664588903609</v>
      </c>
      <c r="BN158" s="133">
        <f t="array" ref="BN158:BN160">MMULT($M$43:$O$45,BN152:BN154)</f>
        <v>67.401460700060383</v>
      </c>
      <c r="BO158" s="133">
        <f t="array" ref="BO158:BO160">MMULT($M$43:$O$45,BO152:BO154)</f>
        <v>43.647096476894092</v>
      </c>
      <c r="BP158" s="133">
        <f t="array" ref="BP158:BP160">MMULT($M$43:$O$45,BP152:BP154)</f>
        <v>32.097895940543104</v>
      </c>
      <c r="BQ158" s="133">
        <f t="array" ref="BQ158:BQ160">MMULT($M$43:$O$45,BQ152:BQ154)</f>
        <v>7.2903157185414216</v>
      </c>
      <c r="BR158" s="133">
        <f t="array" ref="BR158:BR160">MMULT($M$43:$O$45,BR152:BR154)</f>
        <v>18.331124037569463</v>
      </c>
      <c r="BS158" s="133">
        <f t="array" ref="BS158:BS160">MMULT($M$43:$O$45,BS152:BS154)</f>
        <v>8.9301644362693349</v>
      </c>
      <c r="BT158" s="133">
        <f t="array" ref="BT158:BT160">MMULT($M$43:$O$45,BT152:BT154)</f>
        <v>9.9621639037487064</v>
      </c>
      <c r="BU158" s="133">
        <f t="array" ref="BU158:BU160">MMULT($M$43:$O$45,BU152:BU154)</f>
        <v>11.865149684505102</v>
      </c>
      <c r="BV158" s="133">
        <f t="array" ref="BV158:BV160">MMULT($M$43:$O$45,BV152:BV154)</f>
        <v>26.815627098013636</v>
      </c>
      <c r="BW158" s="133">
        <f t="array" ref="BW158:BW160">MMULT($M$43:$O$45,BW152:BW154)</f>
        <v>18.355193203546552</v>
      </c>
      <c r="BX158" s="133">
        <f t="array" ref="BX158:BX160">MMULT($M$43:$O$45,BX152:BX154)</f>
        <v>37.91731054143267</v>
      </c>
      <c r="BY158" s="133">
        <f t="array" ref="BY158:BY160">MMULT($M$43:$O$45,BY152:BY154)</f>
        <v>7.2304051338417636</v>
      </c>
      <c r="BZ158" s="133">
        <f t="array" ref="BZ158:BZ160">MMULT($M$43:$O$45,BZ152:BZ154)</f>
        <v>46.043984624322938</v>
      </c>
      <c r="CA158" s="133">
        <f t="array" ref="CA158:CA160">MMULT($M$43:$O$45,CA152:CA154)</f>
        <v>21.618189423087369</v>
      </c>
      <c r="CB158" s="133">
        <f t="array" ref="CB158:CB160">MMULT($M$43:$O$45,CB152:CB154)</f>
        <v>4.7574651620885007</v>
      </c>
      <c r="CC158" s="133">
        <f t="array" ref="CC158:CC160">MMULT($M$43:$O$45,CC152:CC154)</f>
        <v>6.8094811808995512</v>
      </c>
      <c r="CD158" s="133">
        <f t="array" ref="CD158:CD160">MMULT($M$43:$O$45,CD152:CD154)</f>
        <v>16.013101214610909</v>
      </c>
      <c r="CE158" s="133">
        <f t="array" ref="CE158:CE160">MMULT($M$43:$O$45,CE152:CE154)</f>
        <v>12.795101370579332</v>
      </c>
      <c r="CF158" s="133">
        <f t="array" ref="CF158:CF160">MMULT($M$43:$O$45,CF152:CF154)</f>
        <v>14.058329669308741</v>
      </c>
      <c r="CG158" s="133">
        <f t="array" ref="CG158:CG160">MMULT($M$43:$O$45,CG152:CG154)</f>
        <v>42.666518296281964</v>
      </c>
      <c r="CH158" s="133">
        <f t="array" ref="CH158:CH160">MMULT($M$43:$O$45,CH152:CH154)</f>
        <v>33.868222972108597</v>
      </c>
      <c r="CI158" s="133">
        <f t="array" ref="CI158:CI160">MMULT($M$43:$O$45,CI152:CI154)</f>
        <v>14.360825529197379</v>
      </c>
      <c r="CJ158" s="133">
        <f t="array" ref="CJ158:CJ160">MMULT($M$43:$O$45,CJ152:CJ154)</f>
        <v>68.024167616054626</v>
      </c>
      <c r="CK158" s="133">
        <f t="array" ref="CK158:CK160">MMULT($M$43:$O$45,CK152:CK154)</f>
        <v>43.324898983759887</v>
      </c>
      <c r="CL158" s="133">
        <f t="array" ref="CL158:CL160">MMULT($M$43:$O$45,CL152:CL154)</f>
        <v>4.9809721278735326</v>
      </c>
      <c r="CM158" s="133">
        <f t="array" ref="CM158:CM160">MMULT($M$43:$O$45,CM152:CM154)</f>
        <v>11.55373681345249</v>
      </c>
      <c r="CN158" s="133">
        <f t="array" ref="CN158:CN160">MMULT($M$43:$O$45,CN152:CN154)</f>
        <v>34.596946912604956</v>
      </c>
      <c r="CO158" s="133">
        <f t="array" ref="CO158:CO160">MMULT($M$43:$O$45,CO152:CO154)</f>
        <v>12.444203049542656</v>
      </c>
      <c r="CP158" s="133">
        <f t="array" ref="CP158:CP160">MMULT($M$43:$O$45,CP152:CP154)</f>
        <v>32.819172054922149</v>
      </c>
      <c r="CQ158" s="133">
        <f t="array" ref="CQ158:CQ160">MMULT($M$43:$O$45,CQ152:CQ154)</f>
        <v>11.343340942036198</v>
      </c>
      <c r="CR158" s="133">
        <f t="array" ref="CR158:CR160">MMULT($M$43:$O$45,CR152:CR154)</f>
        <v>15.674225229596406</v>
      </c>
      <c r="CS158" s="133">
        <f t="array" ref="CS158:CS160">MMULT($M$43:$O$45,CS152:CS154)</f>
        <v>54.644099951122911</v>
      </c>
      <c r="CT158" s="133">
        <f t="array" ref="CT158:CT160">MMULT($M$43:$O$45,CT152:CT154)</f>
        <v>24.166353814620692</v>
      </c>
      <c r="CU158" s="133">
        <f t="array" ref="CU158:CU160">MMULT($M$43:$O$45,CU152:CU154)</f>
        <v>36.576823631737447</v>
      </c>
      <c r="CV158" s="133">
        <f t="array" ref="CV158:CV160">MMULT($M$43:$O$45,CV152:CV154)</f>
        <v>11.966552825667302</v>
      </c>
      <c r="CW158" s="133">
        <f t="array" ref="CW158:CW160">MMULT($M$43:$O$45,CW152:CW154)</f>
        <v>42.03220927534305</v>
      </c>
      <c r="CX158" s="133">
        <f t="array" ref="CX158:CX160">MMULT($M$43:$O$45,CX152:CX154)</f>
        <v>55.322175323868009</v>
      </c>
      <c r="CY158" s="133">
        <f t="array" ref="CY158:CY160">MMULT($M$43:$O$45,CY152:CY154)</f>
        <v>23.384275574127756</v>
      </c>
      <c r="CZ158" s="133">
        <f t="array" ref="CZ158:CZ160">MMULT($M$43:$O$45,CZ152:CZ154)</f>
        <v>39.28889339506798</v>
      </c>
      <c r="DA158" s="133">
        <f t="array" ref="DA158:DA160">MMULT($M$43:$O$45,DA152:DA154)</f>
        <v>24.663354328947722</v>
      </c>
    </row>
    <row r="159" spans="5:105">
      <c r="E159" s="137" t="s">
        <v>146</v>
      </c>
      <c r="F159" s="133">
        <v>100</v>
      </c>
      <c r="G159" s="133">
        <v>62.044457392531996</v>
      </c>
      <c r="H159" s="133">
        <v>25.327169294817548</v>
      </c>
      <c r="I159" s="133">
        <v>5.5590003928558342</v>
      </c>
      <c r="J159" s="133">
        <v>35.545631818263644</v>
      </c>
      <c r="K159" s="133">
        <v>14.327254389792291</v>
      </c>
      <c r="L159" s="133">
        <v>16.343346616442897</v>
      </c>
      <c r="M159" s="133">
        <v>9.8240593423572129</v>
      </c>
      <c r="N159" s="133">
        <v>9.3531348622518351</v>
      </c>
      <c r="O159" s="133">
        <v>4.8865983151464985</v>
      </c>
      <c r="P159" s="133">
        <v>41.476116719595829</v>
      </c>
      <c r="Q159" s="133">
        <v>21.637923254405823</v>
      </c>
      <c r="R159" s="133">
        <v>27.488209631805773</v>
      </c>
      <c r="S159" s="133">
        <v>10.960262822807595</v>
      </c>
      <c r="T159" s="133">
        <v>42.074100097395316</v>
      </c>
      <c r="U159" s="133">
        <v>37.351818833991764</v>
      </c>
      <c r="V159" s="133">
        <v>13.686120796451137</v>
      </c>
      <c r="W159" s="133">
        <v>15.492393952062903</v>
      </c>
      <c r="X159" s="133">
        <v>20.782254027885301</v>
      </c>
      <c r="Y159" s="133">
        <v>38.132347001667306</v>
      </c>
      <c r="Z159" s="133">
        <v>29.962956240183775</v>
      </c>
      <c r="AA159" s="133">
        <v>63.119162154200772</v>
      </c>
      <c r="AB159" s="133">
        <v>48.208428414941537</v>
      </c>
      <c r="AC159" s="133">
        <v>76.148793460598654</v>
      </c>
      <c r="AD159" s="133">
        <v>73.70153833106265</v>
      </c>
      <c r="AE159" s="133">
        <v>38.788408732208261</v>
      </c>
      <c r="AF159" s="133">
        <v>71.198847652411416</v>
      </c>
      <c r="AG159" s="133">
        <v>41.401022104502772</v>
      </c>
      <c r="AH159" s="133">
        <v>11.085709854023678</v>
      </c>
      <c r="AI159" s="133">
        <v>64.98390257834096</v>
      </c>
      <c r="AJ159" s="133">
        <v>29.451007635892289</v>
      </c>
      <c r="AK159" s="133">
        <v>68.809226248993696</v>
      </c>
      <c r="AL159" s="133">
        <v>44.326287823198022</v>
      </c>
      <c r="AM159" s="133">
        <v>71.563246608932559</v>
      </c>
      <c r="AN159" s="133">
        <v>27.777083496119513</v>
      </c>
      <c r="AO159" s="133">
        <v>11.491741985118447</v>
      </c>
      <c r="AP159" s="133">
        <v>53.390709889226322</v>
      </c>
      <c r="AQ159" s="133">
        <v>15.373175197397726</v>
      </c>
      <c r="AR159" s="133">
        <v>64.540157083336737</v>
      </c>
      <c r="AS159" s="133">
        <v>7.5307404178972357</v>
      </c>
      <c r="AT159" s="133">
        <v>16.229005812179849</v>
      </c>
      <c r="AU159" s="133">
        <v>68.46456920127784</v>
      </c>
      <c r="AV159" s="133">
        <v>36.38799479290666</v>
      </c>
      <c r="AW159" s="133">
        <v>41.290766164925621</v>
      </c>
      <c r="AX159" s="133">
        <v>4.945234323770852</v>
      </c>
      <c r="AY159" s="133">
        <v>24.308817831867909</v>
      </c>
      <c r="AZ159" s="133">
        <v>33.158388086187685</v>
      </c>
      <c r="BA159" s="133">
        <v>36.52852447435815</v>
      </c>
      <c r="BB159" s="133">
        <v>49.883073799069976</v>
      </c>
      <c r="BC159" s="133">
        <v>14.038799384613021</v>
      </c>
      <c r="BD159" s="133">
        <v>20.323585838190702</v>
      </c>
      <c r="BE159" s="133">
        <v>23.672195002021223</v>
      </c>
      <c r="BF159" s="133">
        <v>10.775277825683162</v>
      </c>
      <c r="BG159" s="133">
        <v>16.639810938465633</v>
      </c>
      <c r="BH159" s="133">
        <v>67.358968171709364</v>
      </c>
      <c r="BI159" s="133">
        <v>59.941048135741177</v>
      </c>
      <c r="BJ159" s="133">
        <v>39.484260539087671</v>
      </c>
      <c r="BK159" s="133">
        <v>23.597618205854115</v>
      </c>
      <c r="BL159" s="133">
        <v>20.158685364084089</v>
      </c>
      <c r="BM159" s="133">
        <v>66.549702224987158</v>
      </c>
      <c r="BN159" s="133">
        <v>69.111872946718023</v>
      </c>
      <c r="BO159" s="133">
        <v>47.263055607566272</v>
      </c>
      <c r="BP159" s="133">
        <v>32.893596539461861</v>
      </c>
      <c r="BQ159" s="133">
        <v>7.2263331816427065</v>
      </c>
      <c r="BR159" s="133">
        <v>24.042177392228403</v>
      </c>
      <c r="BS159" s="133">
        <v>10.288976486247417</v>
      </c>
      <c r="BT159" s="133">
        <v>12.608304744477863</v>
      </c>
      <c r="BU159" s="133">
        <v>14.781482722809871</v>
      </c>
      <c r="BV159" s="133">
        <v>29.349108498325666</v>
      </c>
      <c r="BW159" s="133">
        <v>18.746956392830857</v>
      </c>
      <c r="BX159" s="133">
        <v>40.469074524881584</v>
      </c>
      <c r="BY159" s="133">
        <v>7.4649863392227811</v>
      </c>
      <c r="BZ159" s="133">
        <v>46.797049738724297</v>
      </c>
      <c r="CA159" s="133">
        <v>23.15485069855853</v>
      </c>
      <c r="CB159" s="133">
        <v>4.7743407826814979</v>
      </c>
      <c r="CC159" s="133">
        <v>6.655933680385675</v>
      </c>
      <c r="CD159" s="133">
        <v>14.854876107485186</v>
      </c>
      <c r="CE159" s="133">
        <v>12.475778233749509</v>
      </c>
      <c r="CF159" s="133">
        <v>12.621887130000324</v>
      </c>
      <c r="CG159" s="133">
        <v>41.785866603023372</v>
      </c>
      <c r="CH159" s="133">
        <v>31.255382584651372</v>
      </c>
      <c r="CI159" s="133">
        <v>11.892847223687198</v>
      </c>
      <c r="CJ159" s="133">
        <v>66.706084679632198</v>
      </c>
      <c r="CK159" s="133">
        <v>41.003623243315459</v>
      </c>
      <c r="CL159" s="133">
        <v>4.6151213508439159</v>
      </c>
      <c r="CM159" s="133">
        <v>10.446718728022748</v>
      </c>
      <c r="CN159" s="133">
        <v>30.30853792601399</v>
      </c>
      <c r="CO159" s="133">
        <v>9.3608008952394304</v>
      </c>
      <c r="CP159" s="133">
        <v>26.561893828706836</v>
      </c>
      <c r="CQ159" s="133">
        <v>8.6731976285049157</v>
      </c>
      <c r="CR159" s="133">
        <v>11.652551840154233</v>
      </c>
      <c r="CS159" s="133">
        <v>53.131501001137451</v>
      </c>
      <c r="CT159" s="133">
        <v>20.588693099940137</v>
      </c>
      <c r="CU159" s="133">
        <v>32.639540413669778</v>
      </c>
      <c r="CV159" s="133">
        <v>8.8690745025529498</v>
      </c>
      <c r="CW159" s="133">
        <v>35.841889296607917</v>
      </c>
      <c r="CX159" s="133">
        <v>48.322250304769995</v>
      </c>
      <c r="CY159" s="133">
        <v>17.89849600483069</v>
      </c>
      <c r="CZ159" s="133">
        <v>28.596972120801126</v>
      </c>
      <c r="DA159" s="133">
        <v>16.650578809546488</v>
      </c>
    </row>
    <row r="160" spans="5:105">
      <c r="E160" s="137" t="s">
        <v>147</v>
      </c>
      <c r="F160" s="133">
        <v>99.999999999999986</v>
      </c>
      <c r="G160" s="133">
        <v>61.190178422043196</v>
      </c>
      <c r="H160" s="133">
        <v>22.599247977475969</v>
      </c>
      <c r="I160" s="133">
        <v>5.5527384198125702</v>
      </c>
      <c r="J160" s="133">
        <v>29.06194198846773</v>
      </c>
      <c r="K160" s="133">
        <v>9.2207448683445623</v>
      </c>
      <c r="L160" s="133">
        <v>12.763435984243728</v>
      </c>
      <c r="M160" s="133">
        <v>5.6737799115386096</v>
      </c>
      <c r="N160" s="133">
        <v>5.8115013474267316</v>
      </c>
      <c r="O160" s="133">
        <v>4.8550433247121356</v>
      </c>
      <c r="P160" s="133">
        <v>18.662368423973703</v>
      </c>
      <c r="Q160" s="133">
        <v>7.5793795076195645</v>
      </c>
      <c r="R160" s="133">
        <v>9.1599913321963538</v>
      </c>
      <c r="S160" s="133">
        <v>4.9514218489220472</v>
      </c>
      <c r="T160" s="133">
        <v>35.926237948490297</v>
      </c>
      <c r="U160" s="133">
        <v>27.01482232823469</v>
      </c>
      <c r="V160" s="133">
        <v>5.7741711367976132</v>
      </c>
      <c r="W160" s="133">
        <v>6.3172272710031727</v>
      </c>
      <c r="X160" s="133">
        <v>11.995675227489317</v>
      </c>
      <c r="Y160" s="133">
        <v>13.168724412447741</v>
      </c>
      <c r="Z160" s="133">
        <v>4.889411187318168</v>
      </c>
      <c r="AA160" s="133">
        <v>18.788145144517131</v>
      </c>
      <c r="AB160" s="133">
        <v>11.959138010774842</v>
      </c>
      <c r="AC160" s="133">
        <v>55.074631617975882</v>
      </c>
      <c r="AD160" s="133">
        <v>30.558111406988218</v>
      </c>
      <c r="AE160" s="133">
        <v>6.3109317441650123</v>
      </c>
      <c r="AF160" s="133">
        <v>22.188811011122187</v>
      </c>
      <c r="AG160" s="133">
        <v>26.137111739248734</v>
      </c>
      <c r="AH160" s="133">
        <v>4.9630949259738442</v>
      </c>
      <c r="AI160" s="133">
        <v>20.018729553255184</v>
      </c>
      <c r="AJ160" s="133">
        <v>15.6836055617122</v>
      </c>
      <c r="AK160" s="133">
        <v>21.822642190396095</v>
      </c>
      <c r="AL160" s="133">
        <v>9.1455243189070998</v>
      </c>
      <c r="AM160" s="133">
        <v>38.795610175710124</v>
      </c>
      <c r="AN160" s="133">
        <v>6.102517803765716</v>
      </c>
      <c r="AO160" s="133">
        <v>5.280424781216789</v>
      </c>
      <c r="AP160" s="133">
        <v>47.38986425081599</v>
      </c>
      <c r="AQ160" s="133">
        <v>6.1206171568728198</v>
      </c>
      <c r="AR160" s="133">
        <v>41.798882059059821</v>
      </c>
      <c r="AS160" s="133">
        <v>5.6179742783010003</v>
      </c>
      <c r="AT160" s="133">
        <v>9.5615524131652894</v>
      </c>
      <c r="AU160" s="133">
        <v>56.907734634520487</v>
      </c>
      <c r="AV160" s="133">
        <v>9.301433843060174</v>
      </c>
      <c r="AW160" s="133">
        <v>9.8651880957842835</v>
      </c>
      <c r="AX160" s="133">
        <v>4.72507646061778</v>
      </c>
      <c r="AY160" s="133">
        <v>9.4479571758612746</v>
      </c>
      <c r="AZ160" s="133">
        <v>18.096908608086714</v>
      </c>
      <c r="BA160" s="133">
        <v>25.775098885653843</v>
      </c>
      <c r="BB160" s="133">
        <v>31.623794670451833</v>
      </c>
      <c r="BC160" s="133">
        <v>7.1752390261159622</v>
      </c>
      <c r="BD160" s="133">
        <v>15.570480739100578</v>
      </c>
      <c r="BE160" s="133">
        <v>19.542828855781096</v>
      </c>
      <c r="BF160" s="133">
        <v>7.4151383398852335</v>
      </c>
      <c r="BG160" s="133">
        <v>13.127555968005849</v>
      </c>
      <c r="BH160" s="133">
        <v>67.569868747053007</v>
      </c>
      <c r="BI160" s="133">
        <v>62.292769362742959</v>
      </c>
      <c r="BJ160" s="133">
        <v>41.766788834149764</v>
      </c>
      <c r="BK160" s="133">
        <v>25.608666098836316</v>
      </c>
      <c r="BL160" s="133">
        <v>23.725398732452064</v>
      </c>
      <c r="BM160" s="133">
        <v>69.850137858169077</v>
      </c>
      <c r="BN160" s="133">
        <v>72.403038800022941</v>
      </c>
      <c r="BO160" s="133">
        <v>53.021905301677947</v>
      </c>
      <c r="BP160" s="133">
        <v>35.98805215173531</v>
      </c>
      <c r="BQ160" s="133">
        <v>7.6162827977236587</v>
      </c>
      <c r="BR160" s="133">
        <v>37.780442172091142</v>
      </c>
      <c r="BS160" s="133">
        <v>14.099772821424249</v>
      </c>
      <c r="BT160" s="133">
        <v>23.386225154667329</v>
      </c>
      <c r="BU160" s="133">
        <v>28.341360092099901</v>
      </c>
      <c r="BV160" s="133">
        <v>43.578533305314203</v>
      </c>
      <c r="BW160" s="133">
        <v>24.632053127676389</v>
      </c>
      <c r="BX160" s="133">
        <v>68.387279519034763</v>
      </c>
      <c r="BY160" s="133">
        <v>16.954896072009653</v>
      </c>
      <c r="BZ160" s="133">
        <v>53.991029792566948</v>
      </c>
      <c r="CA160" s="133">
        <v>53.833582317837568</v>
      </c>
      <c r="CB160" s="133">
        <v>5.4223116672779446</v>
      </c>
      <c r="CC160" s="133">
        <v>16.132194028917905</v>
      </c>
      <c r="CD160" s="133">
        <v>44.945424690299717</v>
      </c>
      <c r="CE160" s="133">
        <v>27.662964386214703</v>
      </c>
      <c r="CF160" s="133">
        <v>39.892356979505266</v>
      </c>
      <c r="CG160" s="133">
        <v>63.501313854401502</v>
      </c>
      <c r="CH160" s="133">
        <v>55.25807513711851</v>
      </c>
      <c r="CI160" s="133">
        <v>31.115816245229361</v>
      </c>
      <c r="CJ160" s="133">
        <v>77.671004758897155</v>
      </c>
      <c r="CK160" s="133">
        <v>57.136075522994759</v>
      </c>
      <c r="CL160" s="133">
        <v>6.0041773493693702</v>
      </c>
      <c r="CM160" s="133">
        <v>16.241300511950307</v>
      </c>
      <c r="CN160" s="133">
        <v>53.579753536543016</v>
      </c>
      <c r="CO160" s="133">
        <v>21.511068071375455</v>
      </c>
      <c r="CP160" s="133">
        <v>43.34162229478914</v>
      </c>
      <c r="CQ160" s="133">
        <v>16.294179871614649</v>
      </c>
      <c r="CR160" s="133">
        <v>20.754307690552761</v>
      </c>
      <c r="CS160" s="133">
        <v>57.465347185736043</v>
      </c>
      <c r="CT160" s="133">
        <v>28.575686077676433</v>
      </c>
      <c r="CU160" s="133">
        <v>39.928973117089704</v>
      </c>
      <c r="CV160" s="133">
        <v>13.616328144287328</v>
      </c>
      <c r="CW160" s="133">
        <v>44.4852285692672</v>
      </c>
      <c r="CX160" s="133">
        <v>55.783354795290762</v>
      </c>
      <c r="CY160" s="133">
        <v>20.955247751322403</v>
      </c>
      <c r="CZ160" s="133">
        <v>30.619648035855125</v>
      </c>
      <c r="DA160" s="133">
        <v>18.259994260482081</v>
      </c>
    </row>
    <row r="161" spans="5:105">
      <c r="E161" s="137" t="s">
        <v>148</v>
      </c>
      <c r="F161" s="133">
        <f t="array" ref="F161:F163">MMULT($M$43:$O$45,F155:F157)</f>
        <v>100</v>
      </c>
      <c r="G161" s="133">
        <f t="array" ref="G161:G163">MMULT($M$43:$O$45,G155:G157)</f>
        <v>100</v>
      </c>
      <c r="H161" s="133">
        <f t="array" ref="H161:H163">MMULT($M$43:$O$45,H155:H157)</f>
        <v>100</v>
      </c>
      <c r="I161" s="133">
        <f t="array" ref="I161:I163">MMULT($M$43:$O$45,I155:I157)</f>
        <v>100</v>
      </c>
      <c r="J161" s="133">
        <f t="array" ref="J161:J163">MMULT($M$43:$O$45,J155:J157)</f>
        <v>100</v>
      </c>
      <c r="K161" s="133">
        <f t="array" ref="K161:K163">MMULT($M$43:$O$45,K155:K157)</f>
        <v>100</v>
      </c>
      <c r="L161" s="133">
        <f t="array" ref="L161:L163">MMULT($M$43:$O$45,L155:L157)</f>
        <v>100</v>
      </c>
      <c r="M161" s="133">
        <f t="array" ref="M161:M163">MMULT($M$43:$O$45,M155:M157)</f>
        <v>100</v>
      </c>
      <c r="N161" s="133">
        <f t="array" ref="N161:N163">MMULT($M$43:$O$45,N155:N157)</f>
        <v>100</v>
      </c>
      <c r="O161" s="133">
        <f t="array" ref="O161:O163">MMULT($M$43:$O$45,O155:O157)</f>
        <v>100</v>
      </c>
      <c r="P161" s="133">
        <f t="array" ref="P161:P163">MMULT($M$43:$O$45,P155:P157)</f>
        <v>100</v>
      </c>
      <c r="Q161" s="133">
        <f t="array" ref="Q161:Q163">MMULT($M$43:$O$45,Q155:Q157)</f>
        <v>100</v>
      </c>
      <c r="R161" s="133">
        <f t="array" ref="R161:R163">MMULT($M$43:$O$45,R155:R157)</f>
        <v>100</v>
      </c>
      <c r="S161" s="133">
        <f t="array" ref="S161:S163">MMULT($M$43:$O$45,S155:S157)</f>
        <v>100</v>
      </c>
      <c r="T161" s="133">
        <f t="array" ref="T161:T163">MMULT($M$43:$O$45,T155:T157)</f>
        <v>100</v>
      </c>
      <c r="U161" s="133">
        <f t="array" ref="U161:U163">MMULT($M$43:$O$45,U155:U157)</f>
        <v>100</v>
      </c>
      <c r="V161" s="133">
        <f t="array" ref="V161:V163">MMULT($M$43:$O$45,V155:V157)</f>
        <v>100</v>
      </c>
      <c r="W161" s="133">
        <f t="array" ref="W161:W163">MMULT($M$43:$O$45,W155:W157)</f>
        <v>100</v>
      </c>
      <c r="X161" s="133">
        <f t="array" ref="X161:X163">MMULT($M$43:$O$45,X155:X157)</f>
        <v>100</v>
      </c>
      <c r="Y161" s="133">
        <f t="array" ref="Y161:Y163">MMULT($M$43:$O$45,Y155:Y157)</f>
        <v>100</v>
      </c>
      <c r="Z161" s="133">
        <f t="array" ref="Z161:Z163">MMULT($M$43:$O$45,Z155:Z157)</f>
        <v>100</v>
      </c>
      <c r="AA161" s="133">
        <f t="array" ref="AA161:AA163">MMULT($M$43:$O$45,AA155:AA157)</f>
        <v>100</v>
      </c>
      <c r="AB161" s="133">
        <f t="array" ref="AB161:AB163">MMULT($M$43:$O$45,AB155:AB157)</f>
        <v>100</v>
      </c>
      <c r="AC161" s="133">
        <f t="array" ref="AC161:AC163">MMULT($M$43:$O$45,AC155:AC157)</f>
        <v>100</v>
      </c>
      <c r="AD161" s="133">
        <f t="array" ref="AD161:AD163">MMULT($M$43:$O$45,AD155:AD157)</f>
        <v>100</v>
      </c>
      <c r="AE161" s="133">
        <f t="array" ref="AE161:AE163">MMULT($M$43:$O$45,AE155:AE157)</f>
        <v>100</v>
      </c>
      <c r="AF161" s="133">
        <f t="array" ref="AF161:AF163">MMULT($M$43:$O$45,AF155:AF157)</f>
        <v>100</v>
      </c>
      <c r="AG161" s="133">
        <f t="array" ref="AG161:AG163">MMULT($M$43:$O$45,AG155:AG157)</f>
        <v>100</v>
      </c>
      <c r="AH161" s="133">
        <f t="array" ref="AH161:AH163">MMULT($M$43:$O$45,AH155:AH157)</f>
        <v>100</v>
      </c>
      <c r="AI161" s="133">
        <f t="array" ref="AI161:AI163">MMULT($M$43:$O$45,AI155:AI157)</f>
        <v>100</v>
      </c>
      <c r="AJ161" s="133">
        <f t="array" ref="AJ161:AJ163">MMULT($M$43:$O$45,AJ155:AJ157)</f>
        <v>100</v>
      </c>
      <c r="AK161" s="133">
        <f t="array" ref="AK161:AK163">MMULT($M$43:$O$45,AK155:AK157)</f>
        <v>100</v>
      </c>
      <c r="AL161" s="133">
        <f t="array" ref="AL161:AL163">MMULT($M$43:$O$45,AL155:AL157)</f>
        <v>100</v>
      </c>
      <c r="AM161" s="133">
        <f t="array" ref="AM161:AM163">MMULT($M$43:$O$45,AM155:AM157)</f>
        <v>100</v>
      </c>
      <c r="AN161" s="133">
        <f t="array" ref="AN161:AN163">MMULT($M$43:$O$45,AN155:AN157)</f>
        <v>100</v>
      </c>
      <c r="AO161" s="133">
        <f t="array" ref="AO161:AO163">MMULT($M$43:$O$45,AO155:AO157)</f>
        <v>100</v>
      </c>
      <c r="AP161" s="133">
        <f t="array" ref="AP161:AP163">MMULT($M$43:$O$45,AP155:AP157)</f>
        <v>100</v>
      </c>
      <c r="AQ161" s="133">
        <f t="array" ref="AQ161:AQ163">MMULT($M$43:$O$45,AQ155:AQ157)</f>
        <v>100</v>
      </c>
      <c r="AR161" s="133">
        <f t="array" ref="AR161:AR163">MMULT($M$43:$O$45,AR155:AR157)</f>
        <v>100</v>
      </c>
      <c r="AS161" s="133">
        <f t="array" ref="AS161:AS163">MMULT($M$43:$O$45,AS155:AS157)</f>
        <v>100</v>
      </c>
      <c r="AT161" s="133">
        <f t="array" ref="AT161:AT163">MMULT($M$43:$O$45,AT155:AT157)</f>
        <v>100</v>
      </c>
      <c r="AU161" s="133">
        <f t="array" ref="AU161:AU163">MMULT($M$43:$O$45,AU155:AU157)</f>
        <v>100</v>
      </c>
      <c r="AV161" s="133">
        <f t="array" ref="AV161:AV163">MMULT($M$43:$O$45,AV155:AV157)</f>
        <v>100</v>
      </c>
      <c r="AW161" s="133">
        <f t="array" ref="AW161:AW163">MMULT($M$43:$O$45,AW155:AW157)</f>
        <v>100</v>
      </c>
      <c r="AX161" s="133">
        <f t="array" ref="AX161:AX163">MMULT($M$43:$O$45,AX155:AX157)</f>
        <v>100</v>
      </c>
      <c r="AY161" s="133">
        <f t="array" ref="AY161:AY163">MMULT($M$43:$O$45,AY155:AY157)</f>
        <v>100</v>
      </c>
      <c r="AZ161" s="133">
        <f t="array" ref="AZ161:AZ163">MMULT($M$43:$O$45,AZ155:AZ157)</f>
        <v>100</v>
      </c>
      <c r="BA161" s="133">
        <f t="array" ref="BA161:BA163">MMULT($M$43:$O$45,BA155:BA157)</f>
        <v>100</v>
      </c>
      <c r="BB161" s="133">
        <f t="array" ref="BB161:BB163">MMULT($M$43:$O$45,BB155:BB157)</f>
        <v>100</v>
      </c>
      <c r="BC161" s="133">
        <f t="array" ref="BC161:BC163">MMULT($M$43:$O$45,BC155:BC157)</f>
        <v>100</v>
      </c>
      <c r="BD161" s="133">
        <f t="array" ref="BD161:BD163">MMULT($M$43:$O$45,BD155:BD157)</f>
        <v>100</v>
      </c>
      <c r="BE161" s="133">
        <f t="array" ref="BE161:BE163">MMULT($M$43:$O$45,BE155:BE157)</f>
        <v>100</v>
      </c>
      <c r="BF161" s="133">
        <f t="array" ref="BF161:BF163">MMULT($M$43:$O$45,BF155:BF157)</f>
        <v>100</v>
      </c>
      <c r="BG161" s="133">
        <f t="array" ref="BG161:BG163">MMULT($M$43:$O$45,BG155:BG157)</f>
        <v>100</v>
      </c>
      <c r="BH161" s="133">
        <f t="array" ref="BH161:BH163">MMULT($M$43:$O$45,BH155:BH157)</f>
        <v>100</v>
      </c>
      <c r="BI161" s="133">
        <f t="array" ref="BI161:BI163">MMULT($M$43:$O$45,BI155:BI157)</f>
        <v>100</v>
      </c>
      <c r="BJ161" s="133">
        <f t="array" ref="BJ161:BJ163">MMULT($M$43:$O$45,BJ155:BJ157)</f>
        <v>100</v>
      </c>
      <c r="BK161" s="133">
        <f t="array" ref="BK161:BK163">MMULT($M$43:$O$45,BK155:BK157)</f>
        <v>100</v>
      </c>
      <c r="BL161" s="133">
        <f t="array" ref="BL161:BL163">MMULT($M$43:$O$45,BL155:BL157)</f>
        <v>100</v>
      </c>
      <c r="BM161" s="133">
        <f t="array" ref="BM161:BM163">MMULT($M$43:$O$45,BM155:BM157)</f>
        <v>100</v>
      </c>
      <c r="BN161" s="133">
        <f t="array" ref="BN161:BN163">MMULT($M$43:$O$45,BN155:BN157)</f>
        <v>100</v>
      </c>
      <c r="BO161" s="133">
        <f t="array" ref="BO161:BO163">MMULT($M$43:$O$45,BO155:BO157)</f>
        <v>100</v>
      </c>
      <c r="BP161" s="133">
        <f t="array" ref="BP161:BP163">MMULT($M$43:$O$45,BP155:BP157)</f>
        <v>100</v>
      </c>
      <c r="BQ161" s="133">
        <f t="array" ref="BQ161:BQ163">MMULT($M$43:$O$45,BQ155:BQ157)</f>
        <v>100</v>
      </c>
      <c r="BR161" s="133">
        <f t="array" ref="BR161:BR163">MMULT($M$43:$O$45,BR155:BR157)</f>
        <v>100</v>
      </c>
      <c r="BS161" s="133">
        <f t="array" ref="BS161:BS163">MMULT($M$43:$O$45,BS155:BS157)</f>
        <v>100</v>
      </c>
      <c r="BT161" s="133">
        <f t="array" ref="BT161:BT163">MMULT($M$43:$O$45,BT155:BT157)</f>
        <v>100</v>
      </c>
      <c r="BU161" s="133">
        <f t="array" ref="BU161:BU163">MMULT($M$43:$O$45,BU155:BU157)</f>
        <v>100</v>
      </c>
      <c r="BV161" s="133">
        <f t="array" ref="BV161:BV163">MMULT($M$43:$O$45,BV155:BV157)</f>
        <v>100</v>
      </c>
      <c r="BW161" s="133">
        <f t="array" ref="BW161:BW163">MMULT($M$43:$O$45,BW155:BW157)</f>
        <v>100</v>
      </c>
      <c r="BX161" s="133">
        <f t="array" ref="BX161:BX163">MMULT($M$43:$O$45,BX155:BX157)</f>
        <v>100</v>
      </c>
      <c r="BY161" s="133">
        <f t="array" ref="BY161:BY163">MMULT($M$43:$O$45,BY155:BY157)</f>
        <v>100</v>
      </c>
      <c r="BZ161" s="133">
        <f t="array" ref="BZ161:BZ163">MMULT($M$43:$O$45,BZ155:BZ157)</f>
        <v>100</v>
      </c>
      <c r="CA161" s="133">
        <f t="array" ref="CA161:CA163">MMULT($M$43:$O$45,CA155:CA157)</f>
        <v>100</v>
      </c>
      <c r="CB161" s="133">
        <f t="array" ref="CB161:CB163">MMULT($M$43:$O$45,CB155:CB157)</f>
        <v>100</v>
      </c>
      <c r="CC161" s="133">
        <f t="array" ref="CC161:CC163">MMULT($M$43:$O$45,CC155:CC157)</f>
        <v>100</v>
      </c>
      <c r="CD161" s="133">
        <f t="array" ref="CD161:CD163">MMULT($M$43:$O$45,CD155:CD157)</f>
        <v>100</v>
      </c>
      <c r="CE161" s="133">
        <f t="array" ref="CE161:CE163">MMULT($M$43:$O$45,CE155:CE157)</f>
        <v>100</v>
      </c>
      <c r="CF161" s="133">
        <f t="array" ref="CF161:CF163">MMULT($M$43:$O$45,CF155:CF157)</f>
        <v>100</v>
      </c>
      <c r="CG161" s="133">
        <f t="array" ref="CG161:CG163">MMULT($M$43:$O$45,CG155:CG157)</f>
        <v>100</v>
      </c>
      <c r="CH161" s="133">
        <f t="array" ref="CH161:CH163">MMULT($M$43:$O$45,CH155:CH157)</f>
        <v>100</v>
      </c>
      <c r="CI161" s="133">
        <f t="array" ref="CI161:CI163">MMULT($M$43:$O$45,CI155:CI157)</f>
        <v>100</v>
      </c>
      <c r="CJ161" s="133">
        <f t="array" ref="CJ161:CJ163">MMULT($M$43:$O$45,CJ155:CJ157)</f>
        <v>100</v>
      </c>
      <c r="CK161" s="133">
        <f t="array" ref="CK161:CK163">MMULT($M$43:$O$45,CK155:CK157)</f>
        <v>100</v>
      </c>
      <c r="CL161" s="133">
        <f t="array" ref="CL161:CL163">MMULT($M$43:$O$45,CL155:CL157)</f>
        <v>100</v>
      </c>
      <c r="CM161" s="133">
        <f t="array" ref="CM161:CM163">MMULT($M$43:$O$45,CM155:CM157)</f>
        <v>100</v>
      </c>
      <c r="CN161" s="133">
        <f t="array" ref="CN161:CN163">MMULT($M$43:$O$45,CN155:CN157)</f>
        <v>100</v>
      </c>
      <c r="CO161" s="133">
        <f t="array" ref="CO161:CO163">MMULT($M$43:$O$45,CO155:CO157)</f>
        <v>100</v>
      </c>
      <c r="CP161" s="133">
        <f t="array" ref="CP161:CP163">MMULT($M$43:$O$45,CP155:CP157)</f>
        <v>100</v>
      </c>
      <c r="CQ161" s="133">
        <f t="array" ref="CQ161:CQ163">MMULT($M$43:$O$45,CQ155:CQ157)</f>
        <v>100</v>
      </c>
      <c r="CR161" s="133">
        <f t="array" ref="CR161:CR163">MMULT($M$43:$O$45,CR155:CR157)</f>
        <v>100</v>
      </c>
      <c r="CS161" s="133">
        <f t="array" ref="CS161:CS163">MMULT($M$43:$O$45,CS155:CS157)</f>
        <v>100</v>
      </c>
      <c r="CT161" s="133">
        <f t="array" ref="CT161:CT163">MMULT($M$43:$O$45,CT155:CT157)</f>
        <v>100</v>
      </c>
      <c r="CU161" s="133">
        <f t="array" ref="CU161:CU163">MMULT($M$43:$O$45,CU155:CU157)</f>
        <v>100</v>
      </c>
      <c r="CV161" s="133">
        <f t="array" ref="CV161:CV163">MMULT($M$43:$O$45,CV155:CV157)</f>
        <v>100</v>
      </c>
      <c r="CW161" s="133">
        <f t="array" ref="CW161:CW163">MMULT($M$43:$O$45,CW155:CW157)</f>
        <v>100</v>
      </c>
      <c r="CX161" s="133">
        <f t="array" ref="CX161:CX163">MMULT($M$43:$O$45,CX155:CX157)</f>
        <v>100</v>
      </c>
      <c r="CY161" s="133">
        <f t="array" ref="CY161:CY163">MMULT($M$43:$O$45,CY155:CY157)</f>
        <v>100</v>
      </c>
      <c r="CZ161" s="133">
        <f t="array" ref="CZ161:CZ163">MMULT($M$43:$O$45,CZ155:CZ157)</f>
        <v>100</v>
      </c>
      <c r="DA161" s="133">
        <f t="array" ref="DA161:DA163">MMULT($M$43:$O$45,DA155:DA157)</f>
        <v>100</v>
      </c>
    </row>
    <row r="162" spans="5:105">
      <c r="E162" s="137" t="s">
        <v>149</v>
      </c>
      <c r="F162" s="133">
        <v>100</v>
      </c>
      <c r="G162" s="133">
        <v>100</v>
      </c>
      <c r="H162" s="133">
        <v>100</v>
      </c>
      <c r="I162" s="133">
        <v>100</v>
      </c>
      <c r="J162" s="133">
        <v>100</v>
      </c>
      <c r="K162" s="133">
        <v>100</v>
      </c>
      <c r="L162" s="133">
        <v>100</v>
      </c>
      <c r="M162" s="133">
        <v>100</v>
      </c>
      <c r="N162" s="133">
        <v>100</v>
      </c>
      <c r="O162" s="133">
        <v>100</v>
      </c>
      <c r="P162" s="133">
        <v>100</v>
      </c>
      <c r="Q162" s="133">
        <v>100</v>
      </c>
      <c r="R162" s="133">
        <v>100</v>
      </c>
      <c r="S162" s="133">
        <v>100</v>
      </c>
      <c r="T162" s="133">
        <v>100</v>
      </c>
      <c r="U162" s="133">
        <v>100</v>
      </c>
      <c r="V162" s="133">
        <v>100</v>
      </c>
      <c r="W162" s="133">
        <v>100</v>
      </c>
      <c r="X162" s="133">
        <v>100</v>
      </c>
      <c r="Y162" s="133">
        <v>100</v>
      </c>
      <c r="Z162" s="133">
        <v>100</v>
      </c>
      <c r="AA162" s="133">
        <v>100</v>
      </c>
      <c r="AB162" s="133">
        <v>100</v>
      </c>
      <c r="AC162" s="133">
        <v>100</v>
      </c>
      <c r="AD162" s="133">
        <v>100</v>
      </c>
      <c r="AE162" s="133">
        <v>100</v>
      </c>
      <c r="AF162" s="133">
        <v>100</v>
      </c>
      <c r="AG162" s="133">
        <v>100</v>
      </c>
      <c r="AH162" s="133">
        <v>100</v>
      </c>
      <c r="AI162" s="133">
        <v>100</v>
      </c>
      <c r="AJ162" s="133">
        <v>100</v>
      </c>
      <c r="AK162" s="133">
        <v>100</v>
      </c>
      <c r="AL162" s="133">
        <v>100</v>
      </c>
      <c r="AM162" s="133">
        <v>100</v>
      </c>
      <c r="AN162" s="133">
        <v>100</v>
      </c>
      <c r="AO162" s="133">
        <v>100</v>
      </c>
      <c r="AP162" s="133">
        <v>100</v>
      </c>
      <c r="AQ162" s="133">
        <v>100</v>
      </c>
      <c r="AR162" s="133">
        <v>100</v>
      </c>
      <c r="AS162" s="133">
        <v>100</v>
      </c>
      <c r="AT162" s="133">
        <v>100</v>
      </c>
      <c r="AU162" s="133">
        <v>100</v>
      </c>
      <c r="AV162" s="133">
        <v>100</v>
      </c>
      <c r="AW162" s="133">
        <v>100</v>
      </c>
      <c r="AX162" s="133">
        <v>100</v>
      </c>
      <c r="AY162" s="133">
        <v>100</v>
      </c>
      <c r="AZ162" s="133">
        <v>100</v>
      </c>
      <c r="BA162" s="133">
        <v>100</v>
      </c>
      <c r="BB162" s="133">
        <v>100</v>
      </c>
      <c r="BC162" s="133">
        <v>100</v>
      </c>
      <c r="BD162" s="133">
        <v>100</v>
      </c>
      <c r="BE162" s="133">
        <v>100</v>
      </c>
      <c r="BF162" s="133">
        <v>100</v>
      </c>
      <c r="BG162" s="133">
        <v>100</v>
      </c>
      <c r="BH162" s="133">
        <v>100</v>
      </c>
      <c r="BI162" s="133">
        <v>100</v>
      </c>
      <c r="BJ162" s="133">
        <v>100</v>
      </c>
      <c r="BK162" s="133">
        <v>100</v>
      </c>
      <c r="BL162" s="133">
        <v>100</v>
      </c>
      <c r="BM162" s="133">
        <v>100</v>
      </c>
      <c r="BN162" s="133">
        <v>100</v>
      </c>
      <c r="BO162" s="133">
        <v>100</v>
      </c>
      <c r="BP162" s="133">
        <v>100</v>
      </c>
      <c r="BQ162" s="133">
        <v>100</v>
      </c>
      <c r="BR162" s="133">
        <v>100</v>
      </c>
      <c r="BS162" s="133">
        <v>100</v>
      </c>
      <c r="BT162" s="133">
        <v>100</v>
      </c>
      <c r="BU162" s="133">
        <v>100</v>
      </c>
      <c r="BV162" s="133">
        <v>100</v>
      </c>
      <c r="BW162" s="133">
        <v>100</v>
      </c>
      <c r="BX162" s="133">
        <v>100</v>
      </c>
      <c r="BY162" s="133">
        <v>100</v>
      </c>
      <c r="BZ162" s="133">
        <v>100</v>
      </c>
      <c r="CA162" s="133">
        <v>100</v>
      </c>
      <c r="CB162" s="133">
        <v>100</v>
      </c>
      <c r="CC162" s="133">
        <v>100</v>
      </c>
      <c r="CD162" s="133">
        <v>100</v>
      </c>
      <c r="CE162" s="133">
        <v>100</v>
      </c>
      <c r="CF162" s="133">
        <v>100</v>
      </c>
      <c r="CG162" s="133">
        <v>100</v>
      </c>
      <c r="CH162" s="133">
        <v>100</v>
      </c>
      <c r="CI162" s="133">
        <v>100</v>
      </c>
      <c r="CJ162" s="133">
        <v>100</v>
      </c>
      <c r="CK162" s="133">
        <v>100</v>
      </c>
      <c r="CL162" s="133">
        <v>100</v>
      </c>
      <c r="CM162" s="133">
        <v>100</v>
      </c>
      <c r="CN162" s="133">
        <v>100</v>
      </c>
      <c r="CO162" s="133">
        <v>100</v>
      </c>
      <c r="CP162" s="133">
        <v>100</v>
      </c>
      <c r="CQ162" s="133">
        <v>100</v>
      </c>
      <c r="CR162" s="133">
        <v>100</v>
      </c>
      <c r="CS162" s="133">
        <v>100</v>
      </c>
      <c r="CT162" s="133">
        <v>100</v>
      </c>
      <c r="CU162" s="133">
        <v>100</v>
      </c>
      <c r="CV162" s="133">
        <v>100</v>
      </c>
      <c r="CW162" s="133">
        <v>100</v>
      </c>
      <c r="CX162" s="133">
        <v>100</v>
      </c>
      <c r="CY162" s="133">
        <v>100</v>
      </c>
      <c r="CZ162" s="133">
        <v>100</v>
      </c>
      <c r="DA162" s="133">
        <v>100</v>
      </c>
    </row>
    <row r="163" spans="5:105">
      <c r="E163" s="137" t="s">
        <v>150</v>
      </c>
      <c r="F163" s="133">
        <v>99.999999999999986</v>
      </c>
      <c r="G163" s="133">
        <v>99.999999999999986</v>
      </c>
      <c r="H163" s="133">
        <v>99.999999999999986</v>
      </c>
      <c r="I163" s="133">
        <v>99.999999999999986</v>
      </c>
      <c r="J163" s="133">
        <v>99.999999999999986</v>
      </c>
      <c r="K163" s="133">
        <v>99.999999999999986</v>
      </c>
      <c r="L163" s="133">
        <v>99.999999999999986</v>
      </c>
      <c r="M163" s="133">
        <v>99.999999999999986</v>
      </c>
      <c r="N163" s="133">
        <v>99.999999999999986</v>
      </c>
      <c r="O163" s="133">
        <v>99.999999999999986</v>
      </c>
      <c r="P163" s="133">
        <v>99.999999999999986</v>
      </c>
      <c r="Q163" s="133">
        <v>99.999999999999986</v>
      </c>
      <c r="R163" s="133">
        <v>99.999999999999986</v>
      </c>
      <c r="S163" s="133">
        <v>99.999999999999986</v>
      </c>
      <c r="T163" s="133">
        <v>99.999999999999986</v>
      </c>
      <c r="U163" s="133">
        <v>99.999999999999986</v>
      </c>
      <c r="V163" s="133">
        <v>99.999999999999986</v>
      </c>
      <c r="W163" s="133">
        <v>99.999999999999986</v>
      </c>
      <c r="X163" s="133">
        <v>99.999999999999986</v>
      </c>
      <c r="Y163" s="133">
        <v>99.999999999999986</v>
      </c>
      <c r="Z163" s="133">
        <v>99.999999999999986</v>
      </c>
      <c r="AA163" s="133">
        <v>99.999999999999986</v>
      </c>
      <c r="AB163" s="133">
        <v>99.999999999999986</v>
      </c>
      <c r="AC163" s="133">
        <v>99.999999999999986</v>
      </c>
      <c r="AD163" s="133">
        <v>99.999999999999986</v>
      </c>
      <c r="AE163" s="133">
        <v>99.999999999999986</v>
      </c>
      <c r="AF163" s="133">
        <v>99.999999999999986</v>
      </c>
      <c r="AG163" s="133">
        <v>99.999999999999986</v>
      </c>
      <c r="AH163" s="133">
        <v>99.999999999999986</v>
      </c>
      <c r="AI163" s="133">
        <v>99.999999999999986</v>
      </c>
      <c r="AJ163" s="133">
        <v>99.999999999999986</v>
      </c>
      <c r="AK163" s="133">
        <v>99.999999999999986</v>
      </c>
      <c r="AL163" s="133">
        <v>99.999999999999986</v>
      </c>
      <c r="AM163" s="133">
        <v>99.999999999999986</v>
      </c>
      <c r="AN163" s="133">
        <v>99.999999999999986</v>
      </c>
      <c r="AO163" s="133">
        <v>99.999999999999986</v>
      </c>
      <c r="AP163" s="133">
        <v>99.999999999999986</v>
      </c>
      <c r="AQ163" s="133">
        <v>99.999999999999986</v>
      </c>
      <c r="AR163" s="133">
        <v>99.999999999999986</v>
      </c>
      <c r="AS163" s="133">
        <v>99.999999999999986</v>
      </c>
      <c r="AT163" s="133">
        <v>99.999999999999986</v>
      </c>
      <c r="AU163" s="133">
        <v>99.999999999999986</v>
      </c>
      <c r="AV163" s="133">
        <v>99.999999999999986</v>
      </c>
      <c r="AW163" s="133">
        <v>99.999999999999986</v>
      </c>
      <c r="AX163" s="133">
        <v>99.999999999999986</v>
      </c>
      <c r="AY163" s="133">
        <v>99.999999999999986</v>
      </c>
      <c r="AZ163" s="133">
        <v>99.999999999999986</v>
      </c>
      <c r="BA163" s="133">
        <v>99.999999999999986</v>
      </c>
      <c r="BB163" s="133">
        <v>99.999999999999986</v>
      </c>
      <c r="BC163" s="133">
        <v>99.999999999999986</v>
      </c>
      <c r="BD163" s="133">
        <v>99.999999999999986</v>
      </c>
      <c r="BE163" s="133">
        <v>99.999999999999986</v>
      </c>
      <c r="BF163" s="133">
        <v>99.999999999999986</v>
      </c>
      <c r="BG163" s="133">
        <v>99.999999999999986</v>
      </c>
      <c r="BH163" s="133">
        <v>99.999999999999986</v>
      </c>
      <c r="BI163" s="133">
        <v>99.999999999999986</v>
      </c>
      <c r="BJ163" s="133">
        <v>99.999999999999986</v>
      </c>
      <c r="BK163" s="133">
        <v>99.999999999999986</v>
      </c>
      <c r="BL163" s="133">
        <v>99.999999999999986</v>
      </c>
      <c r="BM163" s="133">
        <v>99.999999999999986</v>
      </c>
      <c r="BN163" s="133">
        <v>99.999999999999986</v>
      </c>
      <c r="BO163" s="133">
        <v>99.999999999999986</v>
      </c>
      <c r="BP163" s="133">
        <v>99.999999999999986</v>
      </c>
      <c r="BQ163" s="133">
        <v>99.999999999999986</v>
      </c>
      <c r="BR163" s="133">
        <v>99.999999999999986</v>
      </c>
      <c r="BS163" s="133">
        <v>99.999999999999986</v>
      </c>
      <c r="BT163" s="133">
        <v>99.999999999999986</v>
      </c>
      <c r="BU163" s="133">
        <v>99.999999999999986</v>
      </c>
      <c r="BV163" s="133">
        <v>99.999999999999986</v>
      </c>
      <c r="BW163" s="133">
        <v>99.999999999999986</v>
      </c>
      <c r="BX163" s="133">
        <v>99.999999999999986</v>
      </c>
      <c r="BY163" s="133">
        <v>99.999999999999986</v>
      </c>
      <c r="BZ163" s="133">
        <v>99.999999999999986</v>
      </c>
      <c r="CA163" s="133">
        <v>99.999999999999986</v>
      </c>
      <c r="CB163" s="133">
        <v>99.999999999999986</v>
      </c>
      <c r="CC163" s="133">
        <v>99.999999999999986</v>
      </c>
      <c r="CD163" s="133">
        <v>99.999999999999986</v>
      </c>
      <c r="CE163" s="133">
        <v>99.999999999999986</v>
      </c>
      <c r="CF163" s="133">
        <v>99.999999999999986</v>
      </c>
      <c r="CG163" s="133">
        <v>99.999999999999986</v>
      </c>
      <c r="CH163" s="133">
        <v>99.999999999999986</v>
      </c>
      <c r="CI163" s="133">
        <v>99.999999999999986</v>
      </c>
      <c r="CJ163" s="133">
        <v>99.999999999999986</v>
      </c>
      <c r="CK163" s="133">
        <v>99.999999999999986</v>
      </c>
      <c r="CL163" s="133">
        <v>99.999999999999986</v>
      </c>
      <c r="CM163" s="133">
        <v>99.999999999999986</v>
      </c>
      <c r="CN163" s="133">
        <v>99.999999999999986</v>
      </c>
      <c r="CO163" s="133">
        <v>99.999999999999986</v>
      </c>
      <c r="CP163" s="133">
        <v>99.999999999999986</v>
      </c>
      <c r="CQ163" s="133">
        <v>99.999999999999986</v>
      </c>
      <c r="CR163" s="133">
        <v>99.999999999999986</v>
      </c>
      <c r="CS163" s="133">
        <v>99.999999999999986</v>
      </c>
      <c r="CT163" s="133">
        <v>99.999999999999986</v>
      </c>
      <c r="CU163" s="133">
        <v>99.999999999999986</v>
      </c>
      <c r="CV163" s="133">
        <v>99.999999999999986</v>
      </c>
      <c r="CW163" s="133">
        <v>99.999999999999986</v>
      </c>
      <c r="CX163" s="133">
        <v>99.999999999999986</v>
      </c>
      <c r="CY163" s="133">
        <v>99.999999999999986</v>
      </c>
      <c r="CZ163" s="133">
        <v>99.999999999999986</v>
      </c>
      <c r="DA163" s="133">
        <v>99.999999999999986</v>
      </c>
    </row>
    <row r="164" spans="5:105">
      <c r="E164" s="137" t="s">
        <v>151</v>
      </c>
      <c r="F164" s="133">
        <f t="array" ref="F164:F166">MMULT($Q$43:$S$45,F158:F160)</f>
        <v>100.00100000000002</v>
      </c>
      <c r="G164" s="133">
        <f t="array" ref="G164:G166">MMULT($Q$43:$S$45,G158:G160)</f>
        <v>65.20455586217463</v>
      </c>
      <c r="H164" s="133">
        <f t="array" ref="H164:H166">MMULT($Q$43:$S$45,H158:H160)</f>
        <v>29.473937142239635</v>
      </c>
      <c r="I164" s="133">
        <f t="array" ref="I164:I166">MMULT($Q$43:$S$45,I158:I160)</f>
        <v>6.0286400087820198</v>
      </c>
      <c r="J164" s="133">
        <f t="array" ref="J164:J166">MMULT($Q$43:$S$45,J158:J160)</f>
        <v>38.708191116666391</v>
      </c>
      <c r="K164" s="133">
        <f t="array" ref="K164:K166">MMULT($Q$43:$S$45,K158:K160)</f>
        <v>17.471481980201411</v>
      </c>
      <c r="L164" s="133">
        <f t="array" ref="L164:L166">MMULT($Q$43:$S$45,L158:L160)</f>
        <v>17.850976804048631</v>
      </c>
      <c r="M164" s="133">
        <f t="array" ref="M164:M166">MMULT($Q$43:$S$45,M158:M160)</f>
        <v>12.182529538690829</v>
      </c>
      <c r="N164" s="133">
        <f t="array" ref="N164:N166">MMULT($Q$43:$S$45,N158:N160)</f>
        <v>11.308339171616264</v>
      </c>
      <c r="O164" s="133">
        <f t="array" ref="O164:O166">MMULT($Q$43:$S$45,O158:O160)</f>
        <v>4.9720649136307857</v>
      </c>
      <c r="P164" s="133">
        <f t="array" ref="P164:P166">MMULT($Q$43:$S$45,P158:P160)</f>
        <v>48.728339678676356</v>
      </c>
      <c r="Q164" s="133">
        <f t="array" ref="Q164:Q166">MMULT($Q$43:$S$45,Q158:Q160)</f>
        <v>25.94014225720499</v>
      </c>
      <c r="R164" s="133">
        <f t="array" ref="R164:R166">MMULT($Q$43:$S$45,R158:R160)</f>
        <v>33.148974390268776</v>
      </c>
      <c r="S164" s="133">
        <f t="array" ref="S164:S166">MMULT($Q$43:$S$45,S158:S160)</f>
        <v>12.53410428499674</v>
      </c>
      <c r="T164" s="133">
        <f t="array" ref="T164:T166">MMULT($Q$43:$S$45,T158:T160)</f>
        <v>43.234318356029256</v>
      </c>
      <c r="U164" s="133">
        <f t="array" ref="U164:U166">MMULT($Q$43:$S$45,U158:U160)</f>
        <v>39.720459762917741</v>
      </c>
      <c r="V164" s="133">
        <f t="array" ref="V164:V166">MMULT($Q$43:$S$45,V158:V160)</f>
        <v>15.360458905175273</v>
      </c>
      <c r="W164" s="133">
        <f t="array" ref="W164:W166">MMULT($Q$43:$S$45,W158:W160)</f>
        <v>17.167452175547641</v>
      </c>
      <c r="X164" s="133">
        <f t="array" ref="X164:X166">MMULT($Q$43:$S$45,X158:X160)</f>
        <v>22.371491070805199</v>
      </c>
      <c r="Y164" s="133">
        <f t="array" ref="Y164:Y166">MMULT($Q$43:$S$45,Y158:Y160)</f>
        <v>41.943710785774151</v>
      </c>
      <c r="Z164" s="133">
        <f t="array" ref="Z164:Z166">MMULT($Q$43:$S$45,Z158:Z160)</f>
        <v>34.658660492564529</v>
      </c>
      <c r="AA164" s="133">
        <f t="array" ref="AA164:AA166">MMULT($Q$43:$S$45,AA158:AA160)</f>
        <v>69.258685449114367</v>
      </c>
      <c r="AB164" s="133">
        <f t="array" ref="AB164:AB166">MMULT($Q$43:$S$45,AB158:AB160)</f>
        <v>53.686978584419791</v>
      </c>
      <c r="AC164" s="133">
        <f t="array" ref="AC164:AC166">MMULT($Q$43:$S$45,AC158:AC160)</f>
        <v>78.007340118989035</v>
      </c>
      <c r="AD164" s="133">
        <f t="array" ref="AD164:AD166">MMULT($Q$43:$S$45,AD158:AD160)</f>
        <v>77.722668103824219</v>
      </c>
      <c r="AE164" s="133">
        <f t="array" ref="AE164:AE166">MMULT($Q$43:$S$45,AE158:AE160)</f>
        <v>42.316474222357783</v>
      </c>
      <c r="AF164" s="133">
        <f t="array" ref="AF164:AF166">MMULT($Q$43:$S$45,AF158:AF160)</f>
        <v>75.873801994830316</v>
      </c>
      <c r="AG164" s="133">
        <f t="array" ref="AG164:AG166">MMULT($Q$43:$S$45,AG158:AG160)</f>
        <v>42.421967750017743</v>
      </c>
      <c r="AH164" s="133">
        <f t="array" ref="AH164:AH166">MMULT($Q$43:$S$45,AH158:AH160)</f>
        <v>11.423630342949087</v>
      </c>
      <c r="AI164" s="133">
        <f t="array" ref="AI164:AI166">MMULT($Q$43:$S$45,AI158:AI160)</f>
        <v>68.142022358814842</v>
      </c>
      <c r="AJ164" s="133">
        <f t="array" ref="AJ164:AJ166">MMULT($Q$43:$S$45,AJ158:AJ160)</f>
        <v>30.471239529461656</v>
      </c>
      <c r="AK164" s="133">
        <f t="array" ref="AK164:AK166">MMULT($Q$43:$S$45,AK158:AK160)</f>
        <v>71.747697053175017</v>
      </c>
      <c r="AL164" s="133">
        <f t="array" ref="AL164:AL166">MMULT($Q$43:$S$45,AL158:AL160)</f>
        <v>46.305226700895176</v>
      </c>
      <c r="AM164" s="133">
        <f t="array" ref="AM164:AM166">MMULT($Q$43:$S$45,AM158:AM160)</f>
        <v>73.399669218553967</v>
      </c>
      <c r="AN164" s="133">
        <f t="array" ref="AN164:AN166">MMULT($Q$43:$S$45,AN158:AN160)</f>
        <v>28.72080487938036</v>
      </c>
      <c r="AO164" s="133">
        <f t="array" ref="AO164:AO166">MMULT($Q$43:$S$45,AO158:AO160)</f>
        <v>11.676265769944539</v>
      </c>
      <c r="AP164" s="133">
        <f t="array" ref="AP164:AP166">MMULT($Q$43:$S$45,AP158:AP160)</f>
        <v>53.772688937958122</v>
      </c>
      <c r="AQ164" s="133">
        <f t="array" ref="AQ164:AQ166">MMULT($Q$43:$S$45,AQ158:AQ160)</f>
        <v>15.473541148858265</v>
      </c>
      <c r="AR164" s="133">
        <f t="array" ref="AR164:AR166">MMULT($Q$43:$S$45,AR158:AR160)</f>
        <v>65.325501018428128</v>
      </c>
      <c r="AS164" s="133">
        <f t="array" ref="AS164:AS166">MMULT($Q$43:$S$45,AS158:AS160)</f>
        <v>7.5585584394519731</v>
      </c>
      <c r="AT164" s="133">
        <f t="array" ref="AT164:AT166">MMULT($Q$43:$S$45,AT158:AT160)</f>
        <v>16.287456905323509</v>
      </c>
      <c r="AU164" s="133">
        <f t="array" ref="AU164:AU166">MMULT($Q$43:$S$45,AU158:AU160)</f>
        <v>68.477083595553395</v>
      </c>
      <c r="AV164" s="133">
        <f t="array" ref="AV164:AV166">MMULT($Q$43:$S$45,AV158:AV160)</f>
        <v>35.433695542126465</v>
      </c>
      <c r="AW164" s="133">
        <f t="array" ref="AW164:AW166">MMULT($Q$43:$S$45,AW158:AW160)</f>
        <v>40.401470521840366</v>
      </c>
      <c r="AX164" s="133">
        <f t="array" ref="AX164:AX166">MMULT($Q$43:$S$45,AX158:AX160)</f>
        <v>4.9384194342092185</v>
      </c>
      <c r="AY164" s="133">
        <f t="array" ref="AY164:AY166">MMULT($Q$43:$S$45,AY158:AY160)</f>
        <v>23.297203349136346</v>
      </c>
      <c r="AZ164" s="133">
        <f t="array" ref="AZ164:AZ166">MMULT($Q$43:$S$45,AZ158:AZ160)</f>
        <v>32.339188296326228</v>
      </c>
      <c r="BA164" s="133">
        <f t="array" ref="BA164:BA166">MMULT($Q$43:$S$45,BA158:BA160)</f>
        <v>35.962359305384545</v>
      </c>
      <c r="BB164" s="133">
        <f t="array" ref="BB164:BB166">MMULT($Q$43:$S$45,BB158:BB160)</f>
        <v>47.888736276115615</v>
      </c>
      <c r="BC164" s="133">
        <f t="array" ref="BC164:BC166">MMULT($Q$43:$S$45,BC158:BC160)</f>
        <v>13.331127305927255</v>
      </c>
      <c r="BD164" s="133">
        <f t="array" ref="BD164:BD166">MMULT($Q$43:$S$45,BD158:BD160)</f>
        <v>19.198100983639783</v>
      </c>
      <c r="BE164" s="133">
        <f t="array" ref="BE164:BE166">MMULT($Q$43:$S$45,BE158:BE160)</f>
        <v>22.615008998795297</v>
      </c>
      <c r="BF164" s="133">
        <f t="array" ref="BF164:BF166">MMULT($Q$43:$S$45,BF158:BF160)</f>
        <v>9.8772556787221948</v>
      </c>
      <c r="BG164" s="133">
        <f t="array" ref="BG164:BG166">MMULT($Q$43:$S$45,BG158:BG160)</f>
        <v>14.474425023587319</v>
      </c>
      <c r="BH164" s="133">
        <f t="array" ref="BH164:BH166">MMULT($Q$43:$S$45,BH158:BH160)</f>
        <v>64.95187910572615</v>
      </c>
      <c r="BI164" s="133">
        <f t="array" ref="BI164:BI166">MMULT($Q$43:$S$45,BI158:BI160)</f>
        <v>57.304353348139472</v>
      </c>
      <c r="BJ164" s="133">
        <f t="array" ref="BJ164:BJ166">MMULT($Q$43:$S$45,BJ158:BJ160)</f>
        <v>35.388023704886358</v>
      </c>
      <c r="BK164" s="133">
        <f t="array" ref="BK164:BK166">MMULT($Q$43:$S$45,BK158:BK160)</f>
        <v>20.471853012904941</v>
      </c>
      <c r="BL164" s="133">
        <f t="array" ref="BL164:BL166">MMULT($Q$43:$S$45,BL158:BL160)</f>
        <v>17.305409349719831</v>
      </c>
      <c r="BM164" s="133">
        <f t="array" ref="BM164:BM166">MMULT($Q$43:$S$45,BM158:BM160)</f>
        <v>64.09543106170716</v>
      </c>
      <c r="BN164" s="133">
        <f t="array" ref="BN164:BN166">MMULT($Q$43:$S$45,BN158:BN160)</f>
        <v>68.187050379464509</v>
      </c>
      <c r="BO164" s="133">
        <f t="array" ref="BO164:BO166">MMULT($Q$43:$S$45,BO158:BO160)</f>
        <v>45.40124651137539</v>
      </c>
      <c r="BP164" s="133">
        <f t="array" ref="BP164:BP166">MMULT($Q$43:$S$45,BP158:BP160)</f>
        <v>32.340361227448952</v>
      </c>
      <c r="BQ164" s="133">
        <f t="array" ref="BQ164:BQ166">MMULT($Q$43:$S$45,BQ158:BQ160)</f>
        <v>7.2206588436360715</v>
      </c>
      <c r="BR164" s="133">
        <f t="array" ref="BR164:BR166">MMULT($Q$43:$S$45,BR158:BR160)</f>
        <v>20.735836538278591</v>
      </c>
      <c r="BS164" s="133">
        <f t="array" ref="BS164:BS166">MMULT($Q$43:$S$45,BS158:BS160)</f>
        <v>9.4597032763636086</v>
      </c>
      <c r="BT164" s="133">
        <f t="array" ref="BT164:BT166">MMULT($Q$43:$S$45,BT158:BT160)</f>
        <v>10.729196502611043</v>
      </c>
      <c r="BU164" s="133">
        <f t="array" ref="BU164:BU166">MMULT($Q$43:$S$45,BU158:BU160)</f>
        <v>12.57821523786361</v>
      </c>
      <c r="BV164" s="133">
        <f t="array" ref="BV164:BV166">MMULT($Q$43:$S$45,BV158:BV160)</f>
        <v>27.242507809081189</v>
      </c>
      <c r="BW164" s="133">
        <f t="array" ref="BW164:BW166">MMULT($Q$43:$S$45,BW158:BW160)</f>
        <v>18.131430418801155</v>
      </c>
      <c r="BX164" s="133">
        <f t="array" ref="BX164:BX166">MMULT($Q$43:$S$45,BX158:BX160)</f>
        <v>37.278426904696985</v>
      </c>
      <c r="BY164" s="133">
        <f t="array" ref="BY164:BY166">MMULT($Q$43:$S$45,BY158:BY160)</f>
        <v>6.6269762497614675</v>
      </c>
      <c r="BZ164" s="133">
        <f t="array" ref="BZ164:BZ166">MMULT($Q$43:$S$45,BZ158:BZ160)</f>
        <v>45.938018352851998</v>
      </c>
      <c r="CA164" s="133">
        <f t="array" ref="CA164:CA166">MMULT($Q$43:$S$45,CA158:CA160)</f>
        <v>20.142427377596775</v>
      </c>
      <c r="CB164" s="133">
        <f t="array" ref="CB164:CB166">MMULT($Q$43:$S$45,CB158:CB160)</f>
        <v>4.716829578787979</v>
      </c>
      <c r="CC164" s="133">
        <f t="array" ref="CC164:CC166">MMULT($Q$43:$S$45,CC158:CC160)</f>
        <v>5.9702470719252263</v>
      </c>
      <c r="CD164" s="133">
        <f t="array" ref="CD164:CD166">MMULT($Q$43:$S$45,CD158:CD160)</f>
        <v>12.93887220024838</v>
      </c>
      <c r="CE164" s="133">
        <f t="array" ref="CE164:CE166">MMULT($Q$43:$S$45,CE158:CE160)</f>
        <v>11.405418604709835</v>
      </c>
      <c r="CF164" s="133">
        <f t="array" ref="CF164:CF166">MMULT($Q$43:$S$45,CF158:CF160)</f>
        <v>11.03616880310646</v>
      </c>
      <c r="CG164" s="133">
        <f t="array" ref="CG164:CG166">MMULT($Q$43:$S$45,CG158:CG160)</f>
        <v>40.420911843330778</v>
      </c>
      <c r="CH164" s="133">
        <f t="array" ref="CH164:CH166">MMULT($Q$43:$S$45,CH158:CH160)</f>
        <v>30.385413315845064</v>
      </c>
      <c r="CI164" s="133">
        <f t="array" ref="CI164:CI166">MMULT($Q$43:$S$45,CI158:CI160)</f>
        <v>11.34229877498487</v>
      </c>
      <c r="CJ164" s="133">
        <f t="array" ref="CJ164:CJ166">MMULT($Q$43:$S$45,CJ158:CJ160)</f>
        <v>66.357701929795624</v>
      </c>
      <c r="CK164" s="133">
        <f t="array" ref="CK164:CK166">MMULT($Q$43:$S$45,CK158:CK160)</f>
        <v>40.639356302991324</v>
      </c>
      <c r="CL164" s="133">
        <f t="array" ref="CL164:CL166">MMULT($Q$43:$S$45,CL158:CL160)</f>
        <v>4.6484522824096537</v>
      </c>
      <c r="CM164" s="133">
        <f t="array" ref="CM164:CM166">MMULT($Q$43:$S$45,CM158:CM160)</f>
        <v>10.422321518523434</v>
      </c>
      <c r="CN164" s="133">
        <f t="array" ref="CN164:CN166">MMULT($Q$43:$S$45,CN158:CN160)</f>
        <v>30.14909763332119</v>
      </c>
      <c r="CO164" s="133">
        <f t="array" ref="CO164:CO166">MMULT($Q$43:$S$45,CO158:CO160)</f>
        <v>9.6065441353835102</v>
      </c>
      <c r="CP164" s="133">
        <f t="array" ref="CP164:CP166">MMULT($Q$43:$S$45,CP158:CP160)</f>
        <v>27.68045430947214</v>
      </c>
      <c r="CQ164" s="133">
        <f t="array" ref="CQ164:CQ166">MMULT($Q$43:$S$45,CQ158:CQ160)</f>
        <v>9.1142470283096042</v>
      </c>
      <c r="CR164" s="133">
        <f t="array" ref="CR164:CR166">MMULT($Q$43:$S$45,CR158:CR160)</f>
        <v>12.503828551962787</v>
      </c>
      <c r="CS164" s="133">
        <f t="array" ref="CS164:CS166">MMULT($Q$43:$S$45,CS158:CS160)</f>
        <v>53.380520235142079</v>
      </c>
      <c r="CT164" s="133">
        <f t="array" ref="CT164:CT166">MMULT($Q$43:$S$45,CT158:CT160)</f>
        <v>21.354732536501004</v>
      </c>
      <c r="CU164" s="133">
        <f t="array" ref="CU164:CU166">MMULT($Q$43:$S$45,CU158:CU160)</f>
        <v>33.600732886881985</v>
      </c>
      <c r="CV164" s="133">
        <f t="array" ref="CV164:CV166">MMULT($Q$43:$S$45,CV158:CV160)</f>
        <v>9.7027675540672078</v>
      </c>
      <c r="CW164" s="133">
        <f t="array" ref="CW164:CW166">MMULT($Q$43:$S$45,CW158:CW160)</f>
        <v>37.574619380440922</v>
      </c>
      <c r="CX164" s="133">
        <f t="array" ref="CX164:CX166">MMULT($Q$43:$S$45,CX158:CX160)</f>
        <v>50.463634605151555</v>
      </c>
      <c r="CY164" s="133">
        <f t="array" ref="CY164:CY166">MMULT($Q$43:$S$45,CY158:CY160)</f>
        <v>19.796032918327533</v>
      </c>
      <c r="CZ164" s="133">
        <f t="array" ref="CZ164:CZ166">MMULT($Q$43:$S$45,CZ158:CZ160)</f>
        <v>32.604862589320419</v>
      </c>
      <c r="DA164" s="133">
        <f t="array" ref="DA164:DA166">MMULT($Q$43:$S$45,DA158:DA160)</f>
        <v>19.646775255320826</v>
      </c>
    </row>
    <row r="165" spans="5:105">
      <c r="E165" s="137" t="s">
        <v>152</v>
      </c>
      <c r="F165" s="133">
        <v>100.00000000000001</v>
      </c>
      <c r="G165" s="133">
        <v>60.181318371081723</v>
      </c>
      <c r="H165" s="133">
        <v>22.881955859714363</v>
      </c>
      <c r="I165" s="133">
        <v>5.282089006834644</v>
      </c>
      <c r="J165" s="133">
        <v>33.68081331089455</v>
      </c>
      <c r="K165" s="133">
        <v>12.473138508488059</v>
      </c>
      <c r="L165" s="133">
        <v>15.454355316253416</v>
      </c>
      <c r="M165" s="133">
        <v>8.4332862795974766</v>
      </c>
      <c r="N165" s="133">
        <v>8.2001706537133305</v>
      </c>
      <c r="O165" s="133">
        <v>4.8362275097400307</v>
      </c>
      <c r="P165" s="133">
        <v>37.199470266051961</v>
      </c>
      <c r="Q165" s="133">
        <v>19.100874219809061</v>
      </c>
      <c r="R165" s="133">
        <v>24.150012916823847</v>
      </c>
      <c r="S165" s="133">
        <v>10.032164224966108</v>
      </c>
      <c r="T165" s="133">
        <v>41.390094690288208</v>
      </c>
      <c r="U165" s="133">
        <v>35.955131249954199</v>
      </c>
      <c r="V165" s="133">
        <v>12.698751543175424</v>
      </c>
      <c r="W165" s="133">
        <v>14.504594526585564</v>
      </c>
      <c r="X165" s="133">
        <v>19.845099084979996</v>
      </c>
      <c r="Y165" s="133">
        <v>35.884710412293778</v>
      </c>
      <c r="Z165" s="133">
        <v>27.193779003567411</v>
      </c>
      <c r="AA165" s="133">
        <v>59.498521115141664</v>
      </c>
      <c r="AB165" s="133">
        <v>44.977575417860727</v>
      </c>
      <c r="AC165" s="133">
        <v>75.052997159728051</v>
      </c>
      <c r="AD165" s="133">
        <v>71.330180762058831</v>
      </c>
      <c r="AE165" s="133">
        <v>36.707739354972453</v>
      </c>
      <c r="AF165" s="133">
        <v>68.44184318717997</v>
      </c>
      <c r="AG165" s="133">
        <v>40.799024345659546</v>
      </c>
      <c r="AH165" s="133">
        <v>10.886426835431884</v>
      </c>
      <c r="AI165" s="133">
        <v>63.121382866383016</v>
      </c>
      <c r="AJ165" s="133">
        <v>28.849379467338498</v>
      </c>
      <c r="AK165" s="133">
        <v>67.076229091680588</v>
      </c>
      <c r="AL165" s="133">
        <v>43.159128551417332</v>
      </c>
      <c r="AM165" s="133">
        <v>70.480319969235978</v>
      </c>
      <c r="AN165" s="133">
        <v>27.220462061830514</v>
      </c>
      <c r="AO165" s="133">
        <v>11.382917479319595</v>
      </c>
      <c r="AP165" s="133">
        <v>53.165696792260249</v>
      </c>
      <c r="AQ165" s="133">
        <v>15.313962081871784</v>
      </c>
      <c r="AR165" s="133">
        <v>64.077133153303848</v>
      </c>
      <c r="AS165" s="133">
        <v>7.514356187531563</v>
      </c>
      <c r="AT165" s="133">
        <v>16.194547824368954</v>
      </c>
      <c r="AU165" s="133">
        <v>68.457445271705808</v>
      </c>
      <c r="AV165" s="133">
        <v>36.950607925768331</v>
      </c>
      <c r="AW165" s="133">
        <v>41.815020351333224</v>
      </c>
      <c r="AX165" s="133">
        <v>4.949279372035905</v>
      </c>
      <c r="AY165" s="133">
        <v>24.905314786572351</v>
      </c>
      <c r="AZ165" s="133">
        <v>33.641468694072223</v>
      </c>
      <c r="BA165" s="133">
        <v>36.862466895297324</v>
      </c>
      <c r="BB165" s="133">
        <v>51.059184812801732</v>
      </c>
      <c r="BC165" s="133">
        <v>14.456104898308805</v>
      </c>
      <c r="BD165" s="133">
        <v>20.987337501316066</v>
      </c>
      <c r="BE165" s="133">
        <v>24.295698914409421</v>
      </c>
      <c r="BF165" s="133">
        <v>11.304857421164407</v>
      </c>
      <c r="BG165" s="133">
        <v>17.916781121016054</v>
      </c>
      <c r="BH165" s="133">
        <v>68.778816234000558</v>
      </c>
      <c r="BI165" s="133">
        <v>61.49627719184933</v>
      </c>
      <c r="BJ165" s="133">
        <v>41.900052579702233</v>
      </c>
      <c r="BK165" s="133">
        <v>25.441030908659659</v>
      </c>
      <c r="BL165" s="133">
        <v>21.841412228946702</v>
      </c>
      <c r="BM165" s="133">
        <v>67.997408119288039</v>
      </c>
      <c r="BN165" s="133">
        <v>69.657685792374281</v>
      </c>
      <c r="BO165" s="133">
        <v>48.36130738968977</v>
      </c>
      <c r="BP165" s="133">
        <v>33.22007017906499</v>
      </c>
      <c r="BQ165" s="133">
        <v>7.2297269165203302</v>
      </c>
      <c r="BR165" s="133">
        <v>25.992227432096005</v>
      </c>
      <c r="BS165" s="133">
        <v>10.778104141368438</v>
      </c>
      <c r="BT165" s="133">
        <v>13.716617657322724</v>
      </c>
      <c r="BU165" s="133">
        <v>16.080999127051442</v>
      </c>
      <c r="BV165" s="133">
        <v>30.591715464223718</v>
      </c>
      <c r="BW165" s="133">
        <v>19.110114830824465</v>
      </c>
      <c r="BX165" s="133">
        <v>42.351179299696632</v>
      </c>
      <c r="BY165" s="133">
        <v>7.9593221567300318</v>
      </c>
      <c r="BZ165" s="133">
        <v>47.303984246963708</v>
      </c>
      <c r="CA165" s="133">
        <v>24.931790760725299</v>
      </c>
      <c r="CB165" s="133">
        <v>4.8082912978040957</v>
      </c>
      <c r="CC165" s="133">
        <v>7.0604401720679615</v>
      </c>
      <c r="CD165" s="133">
        <v>15.985206755345047</v>
      </c>
      <c r="CE165" s="133">
        <v>13.107231893010557</v>
      </c>
      <c r="CF165" s="133">
        <v>13.557400775757383</v>
      </c>
      <c r="CG165" s="133">
        <v>42.591297944332076</v>
      </c>
      <c r="CH165" s="133">
        <v>31.768890696569834</v>
      </c>
      <c r="CI165" s="133">
        <v>12.217819121587675</v>
      </c>
      <c r="CJ165" s="133">
        <v>66.912057980891646</v>
      </c>
      <c r="CK165" s="133">
        <v>41.21887797570384</v>
      </c>
      <c r="CL165" s="133">
        <v>4.5955112726663057</v>
      </c>
      <c r="CM165" s="133">
        <v>10.461241442402219</v>
      </c>
      <c r="CN165" s="133">
        <v>30.403035773290174</v>
      </c>
      <c r="CO165" s="133">
        <v>9.2160981458034801</v>
      </c>
      <c r="CP165" s="133">
        <v>25.902655917651174</v>
      </c>
      <c r="CQ165" s="133">
        <v>8.4132617795250155</v>
      </c>
      <c r="CR165" s="133">
        <v>11.150743567543524</v>
      </c>
      <c r="CS165" s="133">
        <v>52.985024437868518</v>
      </c>
      <c r="CT165" s="133">
        <v>20.137187235196144</v>
      </c>
      <c r="CU165" s="133">
        <v>32.073015929091369</v>
      </c>
      <c r="CV165" s="133">
        <v>8.3775630506309327</v>
      </c>
      <c r="CW165" s="133">
        <v>34.820429237938917</v>
      </c>
      <c r="CX165" s="133">
        <v>47.059867395536152</v>
      </c>
      <c r="CY165" s="133">
        <v>16.779672850565213</v>
      </c>
      <c r="CZ165" s="133">
        <v>26.233734081979517</v>
      </c>
      <c r="DA165" s="133">
        <v>14.883855838510812</v>
      </c>
    </row>
    <row r="166" spans="5:105">
      <c r="E166" s="137" t="s">
        <v>153</v>
      </c>
      <c r="F166" s="133">
        <v>99.999999999999986</v>
      </c>
      <c r="G166" s="133">
        <v>61.190178422043196</v>
      </c>
      <c r="H166" s="133">
        <v>22.599247977475969</v>
      </c>
      <c r="I166" s="133">
        <v>5.5527384198125702</v>
      </c>
      <c r="J166" s="133">
        <v>29.06194198846773</v>
      </c>
      <c r="K166" s="133">
        <v>9.2207448683445623</v>
      </c>
      <c r="L166" s="133">
        <v>12.763435984243728</v>
      </c>
      <c r="M166" s="133">
        <v>5.6737799115386096</v>
      </c>
      <c r="N166" s="133">
        <v>5.8115013474267316</v>
      </c>
      <c r="O166" s="133">
        <v>4.8550433247121356</v>
      </c>
      <c r="P166" s="133">
        <v>18.662368423973703</v>
      </c>
      <c r="Q166" s="133">
        <v>7.5793795076195645</v>
      </c>
      <c r="R166" s="133">
        <v>9.1599913321963538</v>
      </c>
      <c r="S166" s="133">
        <v>4.9514218489220472</v>
      </c>
      <c r="T166" s="133">
        <v>35.926237948490297</v>
      </c>
      <c r="U166" s="133">
        <v>27.01482232823469</v>
      </c>
      <c r="V166" s="133">
        <v>5.7741711367976132</v>
      </c>
      <c r="W166" s="133">
        <v>6.3172272710031727</v>
      </c>
      <c r="X166" s="133">
        <v>11.995675227489317</v>
      </c>
      <c r="Y166" s="133">
        <v>13.168724412447741</v>
      </c>
      <c r="Z166" s="133">
        <v>4.889411187318168</v>
      </c>
      <c r="AA166" s="133">
        <v>18.788145144517131</v>
      </c>
      <c r="AB166" s="133">
        <v>11.959138010774842</v>
      </c>
      <c r="AC166" s="133">
        <v>55.074631617975882</v>
      </c>
      <c r="AD166" s="133">
        <v>30.558111406988218</v>
      </c>
      <c r="AE166" s="133">
        <v>6.3109317441650123</v>
      </c>
      <c r="AF166" s="133">
        <v>22.188811011122187</v>
      </c>
      <c r="AG166" s="133">
        <v>26.137111739248734</v>
      </c>
      <c r="AH166" s="133">
        <v>4.9630949259738442</v>
      </c>
      <c r="AI166" s="133">
        <v>20.018729553255184</v>
      </c>
      <c r="AJ166" s="133">
        <v>15.6836055617122</v>
      </c>
      <c r="AK166" s="133">
        <v>21.822642190396095</v>
      </c>
      <c r="AL166" s="133">
        <v>9.1455243189070998</v>
      </c>
      <c r="AM166" s="133">
        <v>38.795610175710124</v>
      </c>
      <c r="AN166" s="133">
        <v>6.102517803765716</v>
      </c>
      <c r="AO166" s="133">
        <v>5.280424781216789</v>
      </c>
      <c r="AP166" s="133">
        <v>47.38986425081599</v>
      </c>
      <c r="AQ166" s="133">
        <v>6.1206171568728198</v>
      </c>
      <c r="AR166" s="133">
        <v>41.798882059059821</v>
      </c>
      <c r="AS166" s="133">
        <v>5.6179742783010003</v>
      </c>
      <c r="AT166" s="133">
        <v>9.5615524131652894</v>
      </c>
      <c r="AU166" s="133">
        <v>56.907734634520487</v>
      </c>
      <c r="AV166" s="133">
        <v>9.301433843060174</v>
      </c>
      <c r="AW166" s="133">
        <v>9.8651880957842835</v>
      </c>
      <c r="AX166" s="133">
        <v>4.72507646061778</v>
      </c>
      <c r="AY166" s="133">
        <v>9.4479571758612746</v>
      </c>
      <c r="AZ166" s="133">
        <v>18.096908608086714</v>
      </c>
      <c r="BA166" s="133">
        <v>25.775098885653843</v>
      </c>
      <c r="BB166" s="133">
        <v>31.623794670451833</v>
      </c>
      <c r="BC166" s="133">
        <v>7.1752390261159622</v>
      </c>
      <c r="BD166" s="133">
        <v>15.570480739100578</v>
      </c>
      <c r="BE166" s="133">
        <v>19.542828855781096</v>
      </c>
      <c r="BF166" s="133">
        <v>7.4151383398852335</v>
      </c>
      <c r="BG166" s="133">
        <v>13.127555968005849</v>
      </c>
      <c r="BH166" s="133">
        <v>67.569868747053007</v>
      </c>
      <c r="BI166" s="133">
        <v>62.292769362742959</v>
      </c>
      <c r="BJ166" s="133">
        <v>41.766788834149764</v>
      </c>
      <c r="BK166" s="133">
        <v>25.608666098836316</v>
      </c>
      <c r="BL166" s="133">
        <v>23.725398732452064</v>
      </c>
      <c r="BM166" s="133">
        <v>69.850137858169077</v>
      </c>
      <c r="BN166" s="133">
        <v>72.403038800022941</v>
      </c>
      <c r="BO166" s="133">
        <v>53.021905301677947</v>
      </c>
      <c r="BP166" s="133">
        <v>35.98805215173531</v>
      </c>
      <c r="BQ166" s="133">
        <v>7.6162827977236587</v>
      </c>
      <c r="BR166" s="133">
        <v>37.780442172091142</v>
      </c>
      <c r="BS166" s="133">
        <v>14.099772821424249</v>
      </c>
      <c r="BT166" s="133">
        <v>23.386225154667329</v>
      </c>
      <c r="BU166" s="133">
        <v>28.341360092099901</v>
      </c>
      <c r="BV166" s="133">
        <v>43.578533305314203</v>
      </c>
      <c r="BW166" s="133">
        <v>24.632053127676389</v>
      </c>
      <c r="BX166" s="133">
        <v>68.387279519034763</v>
      </c>
      <c r="BY166" s="133">
        <v>16.954896072009653</v>
      </c>
      <c r="BZ166" s="133">
        <v>53.991029792566948</v>
      </c>
      <c r="CA166" s="133">
        <v>53.833582317837568</v>
      </c>
      <c r="CB166" s="133">
        <v>5.4223116672779446</v>
      </c>
      <c r="CC166" s="133">
        <v>16.132194028917905</v>
      </c>
      <c r="CD166" s="133">
        <v>44.945424690299717</v>
      </c>
      <c r="CE166" s="133">
        <v>27.662964386214703</v>
      </c>
      <c r="CF166" s="133">
        <v>39.892356979505266</v>
      </c>
      <c r="CG166" s="133">
        <v>63.501313854401502</v>
      </c>
      <c r="CH166" s="133">
        <v>55.25807513711851</v>
      </c>
      <c r="CI166" s="133">
        <v>31.115816245229361</v>
      </c>
      <c r="CJ166" s="133">
        <v>77.671004758897155</v>
      </c>
      <c r="CK166" s="133">
        <v>57.136075522994759</v>
      </c>
      <c r="CL166" s="133">
        <v>6.0041773493693702</v>
      </c>
      <c r="CM166" s="133">
        <v>16.241300511950307</v>
      </c>
      <c r="CN166" s="133">
        <v>53.579753536543016</v>
      </c>
      <c r="CO166" s="133">
        <v>21.511068071375455</v>
      </c>
      <c r="CP166" s="133">
        <v>43.34162229478914</v>
      </c>
      <c r="CQ166" s="133">
        <v>16.294179871614649</v>
      </c>
      <c r="CR166" s="133">
        <v>20.754307690552761</v>
      </c>
      <c r="CS166" s="133">
        <v>57.465347185736043</v>
      </c>
      <c r="CT166" s="133">
        <v>28.575686077676433</v>
      </c>
      <c r="CU166" s="133">
        <v>39.928973117089704</v>
      </c>
      <c r="CV166" s="133">
        <v>13.616328144287328</v>
      </c>
      <c r="CW166" s="133">
        <v>44.4852285692672</v>
      </c>
      <c r="CX166" s="133">
        <v>55.783354795290762</v>
      </c>
      <c r="CY166" s="133">
        <v>20.955247751322403</v>
      </c>
      <c r="CZ166" s="133">
        <v>30.619648035855125</v>
      </c>
      <c r="DA166" s="133">
        <v>18.259994260482081</v>
      </c>
    </row>
    <row r="167" spans="5:105">
      <c r="E167" s="137" t="s">
        <v>154</v>
      </c>
      <c r="F167" s="133">
        <f t="array" ref="F167:F169">MMULT($Q$43:$S$45,F161:F163)</f>
        <v>100.00100000000002</v>
      </c>
      <c r="G167" s="133">
        <f t="array" ref="G167:G169">MMULT($Q$43:$S$45,G161:G163)</f>
        <v>100.00100000000002</v>
      </c>
      <c r="H167" s="133">
        <f t="array" ref="H167:H169">MMULT($Q$43:$S$45,H161:H163)</f>
        <v>100.00100000000002</v>
      </c>
      <c r="I167" s="133">
        <f t="array" ref="I167:I169">MMULT($Q$43:$S$45,I161:I163)</f>
        <v>100.00100000000002</v>
      </c>
      <c r="J167" s="133">
        <f t="array" ref="J167:J169">MMULT($Q$43:$S$45,J161:J163)</f>
        <v>100.00100000000002</v>
      </c>
      <c r="K167" s="133">
        <f t="array" ref="K167:K169">MMULT($Q$43:$S$45,K161:K163)</f>
        <v>100.00100000000002</v>
      </c>
      <c r="L167" s="133">
        <f t="array" ref="L167:L169">MMULT($Q$43:$S$45,L161:L163)</f>
        <v>100.00100000000002</v>
      </c>
      <c r="M167" s="133">
        <f t="array" ref="M167:M169">MMULT($Q$43:$S$45,M161:M163)</f>
        <v>100.00100000000002</v>
      </c>
      <c r="N167" s="133">
        <f t="array" ref="N167:N169">MMULT($Q$43:$S$45,N161:N163)</f>
        <v>100.00100000000002</v>
      </c>
      <c r="O167" s="133">
        <f t="array" ref="O167:O169">MMULT($Q$43:$S$45,O161:O163)</f>
        <v>100.00100000000002</v>
      </c>
      <c r="P167" s="133">
        <f t="array" ref="P167:P169">MMULT($Q$43:$S$45,P161:P163)</f>
        <v>100.00100000000002</v>
      </c>
      <c r="Q167" s="133">
        <f t="array" ref="Q167:Q169">MMULT($Q$43:$S$45,Q161:Q163)</f>
        <v>100.00100000000002</v>
      </c>
      <c r="R167" s="133">
        <f t="array" ref="R167:R169">MMULT($Q$43:$S$45,R161:R163)</f>
        <v>100.00100000000002</v>
      </c>
      <c r="S167" s="133">
        <f t="array" ref="S167:S169">MMULT($Q$43:$S$45,S161:S163)</f>
        <v>100.00100000000002</v>
      </c>
      <c r="T167" s="133">
        <f t="array" ref="T167:T169">MMULT($Q$43:$S$45,T161:T163)</f>
        <v>100.00100000000002</v>
      </c>
      <c r="U167" s="133">
        <f t="array" ref="U167:U169">MMULT($Q$43:$S$45,U161:U163)</f>
        <v>100.00100000000002</v>
      </c>
      <c r="V167" s="133">
        <f t="array" ref="V167:V169">MMULT($Q$43:$S$45,V161:V163)</f>
        <v>100.00100000000002</v>
      </c>
      <c r="W167" s="133">
        <f t="array" ref="W167:W169">MMULT($Q$43:$S$45,W161:W163)</f>
        <v>100.00100000000002</v>
      </c>
      <c r="X167" s="133">
        <f t="array" ref="X167:X169">MMULT($Q$43:$S$45,X161:X163)</f>
        <v>100.00100000000002</v>
      </c>
      <c r="Y167" s="133">
        <f t="array" ref="Y167:Y169">MMULT($Q$43:$S$45,Y161:Y163)</f>
        <v>100.00100000000002</v>
      </c>
      <c r="Z167" s="133">
        <f t="array" ref="Z167:Z169">MMULT($Q$43:$S$45,Z161:Z163)</f>
        <v>100.00100000000002</v>
      </c>
      <c r="AA167" s="133">
        <f t="array" ref="AA167:AA169">MMULT($Q$43:$S$45,AA161:AA163)</f>
        <v>100.00100000000002</v>
      </c>
      <c r="AB167" s="133">
        <f t="array" ref="AB167:AB169">MMULT($Q$43:$S$45,AB161:AB163)</f>
        <v>100.00100000000002</v>
      </c>
      <c r="AC167" s="133">
        <f t="array" ref="AC167:AC169">MMULT($Q$43:$S$45,AC161:AC163)</f>
        <v>100.00100000000002</v>
      </c>
      <c r="AD167" s="133">
        <f t="array" ref="AD167:AD169">MMULT($Q$43:$S$45,AD161:AD163)</f>
        <v>100.00100000000002</v>
      </c>
      <c r="AE167" s="133">
        <f t="array" ref="AE167:AE169">MMULT($Q$43:$S$45,AE161:AE163)</f>
        <v>100.00100000000002</v>
      </c>
      <c r="AF167" s="133">
        <f t="array" ref="AF167:AF169">MMULT($Q$43:$S$45,AF161:AF163)</f>
        <v>100.00100000000002</v>
      </c>
      <c r="AG167" s="133">
        <f t="array" ref="AG167:AG169">MMULT($Q$43:$S$45,AG161:AG163)</f>
        <v>100.00100000000002</v>
      </c>
      <c r="AH167" s="133">
        <f t="array" ref="AH167:AH169">MMULT($Q$43:$S$45,AH161:AH163)</f>
        <v>100.00100000000002</v>
      </c>
      <c r="AI167" s="133">
        <f t="array" ref="AI167:AI169">MMULT($Q$43:$S$45,AI161:AI163)</f>
        <v>100.00100000000002</v>
      </c>
      <c r="AJ167" s="133">
        <f t="array" ref="AJ167:AJ169">MMULT($Q$43:$S$45,AJ161:AJ163)</f>
        <v>100.00100000000002</v>
      </c>
      <c r="AK167" s="133">
        <f t="array" ref="AK167:AK169">MMULT($Q$43:$S$45,AK161:AK163)</f>
        <v>100.00100000000002</v>
      </c>
      <c r="AL167" s="133">
        <f t="array" ref="AL167:AL169">MMULT($Q$43:$S$45,AL161:AL163)</f>
        <v>100.00100000000002</v>
      </c>
      <c r="AM167" s="133">
        <f t="array" ref="AM167:AM169">MMULT($Q$43:$S$45,AM161:AM163)</f>
        <v>100.00100000000002</v>
      </c>
      <c r="AN167" s="133">
        <f t="array" ref="AN167:AN169">MMULT($Q$43:$S$45,AN161:AN163)</f>
        <v>100.00100000000002</v>
      </c>
      <c r="AO167" s="133">
        <f t="array" ref="AO167:AO169">MMULT($Q$43:$S$45,AO161:AO163)</f>
        <v>100.00100000000002</v>
      </c>
      <c r="AP167" s="133">
        <f t="array" ref="AP167:AP169">MMULT($Q$43:$S$45,AP161:AP163)</f>
        <v>100.00100000000002</v>
      </c>
      <c r="AQ167" s="133">
        <f t="array" ref="AQ167:AQ169">MMULT($Q$43:$S$45,AQ161:AQ163)</f>
        <v>100.00100000000002</v>
      </c>
      <c r="AR167" s="133">
        <f t="array" ref="AR167:AR169">MMULT($Q$43:$S$45,AR161:AR163)</f>
        <v>100.00100000000002</v>
      </c>
      <c r="AS167" s="133">
        <f t="array" ref="AS167:AS169">MMULT($Q$43:$S$45,AS161:AS163)</f>
        <v>100.00100000000002</v>
      </c>
      <c r="AT167" s="133">
        <f t="array" ref="AT167:AT169">MMULT($Q$43:$S$45,AT161:AT163)</f>
        <v>100.00100000000002</v>
      </c>
      <c r="AU167" s="133">
        <f t="array" ref="AU167:AU169">MMULT($Q$43:$S$45,AU161:AU163)</f>
        <v>100.00100000000002</v>
      </c>
      <c r="AV167" s="133">
        <f t="array" ref="AV167:AV169">MMULT($Q$43:$S$45,AV161:AV163)</f>
        <v>100.00100000000002</v>
      </c>
      <c r="AW167" s="133">
        <f t="array" ref="AW167:AW169">MMULT($Q$43:$S$45,AW161:AW163)</f>
        <v>100.00100000000002</v>
      </c>
      <c r="AX167" s="133">
        <f t="array" ref="AX167:AX169">MMULT($Q$43:$S$45,AX161:AX163)</f>
        <v>100.00100000000002</v>
      </c>
      <c r="AY167" s="133">
        <f t="array" ref="AY167:AY169">MMULT($Q$43:$S$45,AY161:AY163)</f>
        <v>100.00100000000002</v>
      </c>
      <c r="AZ167" s="133">
        <f t="array" ref="AZ167:AZ169">MMULT($Q$43:$S$45,AZ161:AZ163)</f>
        <v>100.00100000000002</v>
      </c>
      <c r="BA167" s="133">
        <f t="array" ref="BA167:BA169">MMULT($Q$43:$S$45,BA161:BA163)</f>
        <v>100.00100000000002</v>
      </c>
      <c r="BB167" s="133">
        <f t="array" ref="BB167:BB169">MMULT($Q$43:$S$45,BB161:BB163)</f>
        <v>100.00100000000002</v>
      </c>
      <c r="BC167" s="133">
        <f t="array" ref="BC167:BC169">MMULT($Q$43:$S$45,BC161:BC163)</f>
        <v>100.00100000000002</v>
      </c>
      <c r="BD167" s="133">
        <f t="array" ref="BD167:BD169">MMULT($Q$43:$S$45,BD161:BD163)</f>
        <v>100.00100000000002</v>
      </c>
      <c r="BE167" s="133">
        <f t="array" ref="BE167:BE169">MMULT($Q$43:$S$45,BE161:BE163)</f>
        <v>100.00100000000002</v>
      </c>
      <c r="BF167" s="133">
        <f t="array" ref="BF167:BF169">MMULT($Q$43:$S$45,BF161:BF163)</f>
        <v>100.00100000000002</v>
      </c>
      <c r="BG167" s="133">
        <f t="array" ref="BG167:BG169">MMULT($Q$43:$S$45,BG161:BG163)</f>
        <v>100.00100000000002</v>
      </c>
      <c r="BH167" s="133">
        <f t="array" ref="BH167:BH169">MMULT($Q$43:$S$45,BH161:BH163)</f>
        <v>100.00100000000002</v>
      </c>
      <c r="BI167" s="133">
        <f t="array" ref="BI167:BI169">MMULT($Q$43:$S$45,BI161:BI163)</f>
        <v>100.00100000000002</v>
      </c>
      <c r="BJ167" s="133">
        <f t="array" ref="BJ167:BJ169">MMULT($Q$43:$S$45,BJ161:BJ163)</f>
        <v>100.00100000000002</v>
      </c>
      <c r="BK167" s="133">
        <f t="array" ref="BK167:BK169">MMULT($Q$43:$S$45,BK161:BK163)</f>
        <v>100.00100000000002</v>
      </c>
      <c r="BL167" s="133">
        <f t="array" ref="BL167:BL169">MMULT($Q$43:$S$45,BL161:BL163)</f>
        <v>100.00100000000002</v>
      </c>
      <c r="BM167" s="133">
        <f t="array" ref="BM167:BM169">MMULT($Q$43:$S$45,BM161:BM163)</f>
        <v>100.00100000000002</v>
      </c>
      <c r="BN167" s="133">
        <f t="array" ref="BN167:BN169">MMULT($Q$43:$S$45,BN161:BN163)</f>
        <v>100.00100000000002</v>
      </c>
      <c r="BO167" s="133">
        <f t="array" ref="BO167:BO169">MMULT($Q$43:$S$45,BO161:BO163)</f>
        <v>100.00100000000002</v>
      </c>
      <c r="BP167" s="133">
        <f t="array" ref="BP167:BP169">MMULT($Q$43:$S$45,BP161:BP163)</f>
        <v>100.00100000000002</v>
      </c>
      <c r="BQ167" s="133">
        <f t="array" ref="BQ167:BQ169">MMULT($Q$43:$S$45,BQ161:BQ163)</f>
        <v>100.00100000000002</v>
      </c>
      <c r="BR167" s="133">
        <f t="array" ref="BR167:BR169">MMULT($Q$43:$S$45,BR161:BR163)</f>
        <v>100.00100000000002</v>
      </c>
      <c r="BS167" s="133">
        <f t="array" ref="BS167:BS169">MMULT($Q$43:$S$45,BS161:BS163)</f>
        <v>100.00100000000002</v>
      </c>
      <c r="BT167" s="133">
        <f t="array" ref="BT167:BT169">MMULT($Q$43:$S$45,BT161:BT163)</f>
        <v>100.00100000000002</v>
      </c>
      <c r="BU167" s="133">
        <f t="array" ref="BU167:BU169">MMULT($Q$43:$S$45,BU161:BU163)</f>
        <v>100.00100000000002</v>
      </c>
      <c r="BV167" s="133">
        <f t="array" ref="BV167:BV169">MMULT($Q$43:$S$45,BV161:BV163)</f>
        <v>100.00100000000002</v>
      </c>
      <c r="BW167" s="133">
        <f t="array" ref="BW167:BW169">MMULT($Q$43:$S$45,BW161:BW163)</f>
        <v>100.00100000000002</v>
      </c>
      <c r="BX167" s="133">
        <f t="array" ref="BX167:BX169">MMULT($Q$43:$S$45,BX161:BX163)</f>
        <v>100.00100000000002</v>
      </c>
      <c r="BY167" s="133">
        <f t="array" ref="BY167:BY169">MMULT($Q$43:$S$45,BY161:BY163)</f>
        <v>100.00100000000002</v>
      </c>
      <c r="BZ167" s="133">
        <f t="array" ref="BZ167:BZ169">MMULT($Q$43:$S$45,BZ161:BZ163)</f>
        <v>100.00100000000002</v>
      </c>
      <c r="CA167" s="133">
        <f t="array" ref="CA167:CA169">MMULT($Q$43:$S$45,CA161:CA163)</f>
        <v>100.00100000000002</v>
      </c>
      <c r="CB167" s="133">
        <f t="array" ref="CB167:CB169">MMULT($Q$43:$S$45,CB161:CB163)</f>
        <v>100.00100000000002</v>
      </c>
      <c r="CC167" s="133">
        <f t="array" ref="CC167:CC169">MMULT($Q$43:$S$45,CC161:CC163)</f>
        <v>100.00100000000002</v>
      </c>
      <c r="CD167" s="133">
        <f t="array" ref="CD167:CD169">MMULT($Q$43:$S$45,CD161:CD163)</f>
        <v>100.00100000000002</v>
      </c>
      <c r="CE167" s="133">
        <f t="array" ref="CE167:CE169">MMULT($Q$43:$S$45,CE161:CE163)</f>
        <v>100.00100000000002</v>
      </c>
      <c r="CF167" s="133">
        <f t="array" ref="CF167:CF169">MMULT($Q$43:$S$45,CF161:CF163)</f>
        <v>100.00100000000002</v>
      </c>
      <c r="CG167" s="133">
        <f t="array" ref="CG167:CG169">MMULT($Q$43:$S$45,CG161:CG163)</f>
        <v>100.00100000000002</v>
      </c>
      <c r="CH167" s="133">
        <f t="array" ref="CH167:CH169">MMULT($Q$43:$S$45,CH161:CH163)</f>
        <v>100.00100000000002</v>
      </c>
      <c r="CI167" s="133">
        <f t="array" ref="CI167:CI169">MMULT($Q$43:$S$45,CI161:CI163)</f>
        <v>100.00100000000002</v>
      </c>
      <c r="CJ167" s="133">
        <f t="array" ref="CJ167:CJ169">MMULT($Q$43:$S$45,CJ161:CJ163)</f>
        <v>100.00100000000002</v>
      </c>
      <c r="CK167" s="133">
        <f t="array" ref="CK167:CK169">MMULT($Q$43:$S$45,CK161:CK163)</f>
        <v>100.00100000000002</v>
      </c>
      <c r="CL167" s="133">
        <f t="array" ref="CL167:CL169">MMULT($Q$43:$S$45,CL161:CL163)</f>
        <v>100.00100000000002</v>
      </c>
      <c r="CM167" s="133">
        <f t="array" ref="CM167:CM169">MMULT($Q$43:$S$45,CM161:CM163)</f>
        <v>100.00100000000002</v>
      </c>
      <c r="CN167" s="133">
        <f t="array" ref="CN167:CN169">MMULT($Q$43:$S$45,CN161:CN163)</f>
        <v>100.00100000000002</v>
      </c>
      <c r="CO167" s="133">
        <f t="array" ref="CO167:CO169">MMULT($Q$43:$S$45,CO161:CO163)</f>
        <v>100.00100000000002</v>
      </c>
      <c r="CP167" s="133">
        <f t="array" ref="CP167:CP169">MMULT($Q$43:$S$45,CP161:CP163)</f>
        <v>100.00100000000002</v>
      </c>
      <c r="CQ167" s="133">
        <f t="array" ref="CQ167:CQ169">MMULT($Q$43:$S$45,CQ161:CQ163)</f>
        <v>100.00100000000002</v>
      </c>
      <c r="CR167" s="133">
        <f t="array" ref="CR167:CR169">MMULT($Q$43:$S$45,CR161:CR163)</f>
        <v>100.00100000000002</v>
      </c>
      <c r="CS167" s="133">
        <f t="array" ref="CS167:CS169">MMULT($Q$43:$S$45,CS161:CS163)</f>
        <v>100.00100000000002</v>
      </c>
      <c r="CT167" s="133">
        <f t="array" ref="CT167:CT169">MMULT($Q$43:$S$45,CT161:CT163)</f>
        <v>100.00100000000002</v>
      </c>
      <c r="CU167" s="133">
        <f t="array" ref="CU167:CU169">MMULT($Q$43:$S$45,CU161:CU163)</f>
        <v>100.00100000000002</v>
      </c>
      <c r="CV167" s="133">
        <f t="array" ref="CV167:CV169">MMULT($Q$43:$S$45,CV161:CV163)</f>
        <v>100.00100000000002</v>
      </c>
      <c r="CW167" s="133">
        <f t="array" ref="CW167:CW169">MMULT($Q$43:$S$45,CW161:CW163)</f>
        <v>100.00100000000002</v>
      </c>
      <c r="CX167" s="133">
        <f t="array" ref="CX167:CX169">MMULT($Q$43:$S$45,CX161:CX163)</f>
        <v>100.00100000000002</v>
      </c>
      <c r="CY167" s="133">
        <f t="array" ref="CY167:CY169">MMULT($Q$43:$S$45,CY161:CY163)</f>
        <v>100.00100000000002</v>
      </c>
      <c r="CZ167" s="133">
        <f t="array" ref="CZ167:CZ169">MMULT($Q$43:$S$45,CZ161:CZ163)</f>
        <v>100.00100000000002</v>
      </c>
      <c r="DA167" s="133">
        <f t="array" ref="DA167:DA169">MMULT($Q$43:$S$45,DA161:DA163)</f>
        <v>100.00100000000002</v>
      </c>
    </row>
    <row r="168" spans="5:105">
      <c r="E168" s="137" t="s">
        <v>155</v>
      </c>
      <c r="F168" s="133">
        <v>100.00000000000001</v>
      </c>
      <c r="G168" s="133">
        <v>100.00000000000001</v>
      </c>
      <c r="H168" s="133">
        <v>100.00000000000001</v>
      </c>
      <c r="I168" s="133">
        <v>100.00000000000001</v>
      </c>
      <c r="J168" s="133">
        <v>100.00000000000001</v>
      </c>
      <c r="K168" s="133">
        <v>100.00000000000001</v>
      </c>
      <c r="L168" s="133">
        <v>100.00000000000001</v>
      </c>
      <c r="M168" s="133">
        <v>100.00000000000001</v>
      </c>
      <c r="N168" s="133">
        <v>100.00000000000001</v>
      </c>
      <c r="O168" s="133">
        <v>100.00000000000001</v>
      </c>
      <c r="P168" s="133">
        <v>100.00000000000001</v>
      </c>
      <c r="Q168" s="133">
        <v>100.00000000000001</v>
      </c>
      <c r="R168" s="133">
        <v>100.00000000000001</v>
      </c>
      <c r="S168" s="133">
        <v>100.00000000000001</v>
      </c>
      <c r="T168" s="133">
        <v>100.00000000000001</v>
      </c>
      <c r="U168" s="133">
        <v>100.00000000000001</v>
      </c>
      <c r="V168" s="133">
        <v>100.00000000000001</v>
      </c>
      <c r="W168" s="133">
        <v>100.00000000000001</v>
      </c>
      <c r="X168" s="133">
        <v>100.00000000000001</v>
      </c>
      <c r="Y168" s="133">
        <v>100.00000000000001</v>
      </c>
      <c r="Z168" s="133">
        <v>100.00000000000001</v>
      </c>
      <c r="AA168" s="133">
        <v>100.00000000000001</v>
      </c>
      <c r="AB168" s="133">
        <v>100.00000000000001</v>
      </c>
      <c r="AC168" s="133">
        <v>100.00000000000001</v>
      </c>
      <c r="AD168" s="133">
        <v>100.00000000000001</v>
      </c>
      <c r="AE168" s="133">
        <v>100.00000000000001</v>
      </c>
      <c r="AF168" s="133">
        <v>100.00000000000001</v>
      </c>
      <c r="AG168" s="133">
        <v>100.00000000000001</v>
      </c>
      <c r="AH168" s="133">
        <v>100.00000000000001</v>
      </c>
      <c r="AI168" s="133">
        <v>100.00000000000001</v>
      </c>
      <c r="AJ168" s="133">
        <v>100.00000000000001</v>
      </c>
      <c r="AK168" s="133">
        <v>100.00000000000001</v>
      </c>
      <c r="AL168" s="133">
        <v>100.00000000000001</v>
      </c>
      <c r="AM168" s="133">
        <v>100.00000000000001</v>
      </c>
      <c r="AN168" s="133">
        <v>100.00000000000001</v>
      </c>
      <c r="AO168" s="133">
        <v>100.00000000000001</v>
      </c>
      <c r="AP168" s="133">
        <v>100.00000000000001</v>
      </c>
      <c r="AQ168" s="133">
        <v>100.00000000000001</v>
      </c>
      <c r="AR168" s="133">
        <v>100.00000000000001</v>
      </c>
      <c r="AS168" s="133">
        <v>100.00000000000001</v>
      </c>
      <c r="AT168" s="133">
        <v>100.00000000000001</v>
      </c>
      <c r="AU168" s="133">
        <v>100.00000000000001</v>
      </c>
      <c r="AV168" s="133">
        <v>100.00000000000001</v>
      </c>
      <c r="AW168" s="133">
        <v>100.00000000000001</v>
      </c>
      <c r="AX168" s="133">
        <v>100.00000000000001</v>
      </c>
      <c r="AY168" s="133">
        <v>100.00000000000001</v>
      </c>
      <c r="AZ168" s="133">
        <v>100.00000000000001</v>
      </c>
      <c r="BA168" s="133">
        <v>100.00000000000001</v>
      </c>
      <c r="BB168" s="133">
        <v>100.00000000000001</v>
      </c>
      <c r="BC168" s="133">
        <v>100.00000000000001</v>
      </c>
      <c r="BD168" s="133">
        <v>100.00000000000001</v>
      </c>
      <c r="BE168" s="133">
        <v>100.00000000000001</v>
      </c>
      <c r="BF168" s="133">
        <v>100.00000000000001</v>
      </c>
      <c r="BG168" s="133">
        <v>100.00000000000001</v>
      </c>
      <c r="BH168" s="133">
        <v>100.00000000000001</v>
      </c>
      <c r="BI168" s="133">
        <v>100.00000000000001</v>
      </c>
      <c r="BJ168" s="133">
        <v>100.00000000000001</v>
      </c>
      <c r="BK168" s="133">
        <v>100.00000000000001</v>
      </c>
      <c r="BL168" s="133">
        <v>100.00000000000001</v>
      </c>
      <c r="BM168" s="133">
        <v>100.00000000000001</v>
      </c>
      <c r="BN168" s="133">
        <v>100.00000000000001</v>
      </c>
      <c r="BO168" s="133">
        <v>100.00000000000001</v>
      </c>
      <c r="BP168" s="133">
        <v>100.00000000000001</v>
      </c>
      <c r="BQ168" s="133">
        <v>100.00000000000001</v>
      </c>
      <c r="BR168" s="133">
        <v>100.00000000000001</v>
      </c>
      <c r="BS168" s="133">
        <v>100.00000000000001</v>
      </c>
      <c r="BT168" s="133">
        <v>100.00000000000001</v>
      </c>
      <c r="BU168" s="133">
        <v>100.00000000000001</v>
      </c>
      <c r="BV168" s="133">
        <v>100.00000000000001</v>
      </c>
      <c r="BW168" s="133">
        <v>100.00000000000001</v>
      </c>
      <c r="BX168" s="133">
        <v>100.00000000000001</v>
      </c>
      <c r="BY168" s="133">
        <v>100.00000000000001</v>
      </c>
      <c r="BZ168" s="133">
        <v>100.00000000000001</v>
      </c>
      <c r="CA168" s="133">
        <v>100.00000000000001</v>
      </c>
      <c r="CB168" s="133">
        <v>100.00000000000001</v>
      </c>
      <c r="CC168" s="133">
        <v>100.00000000000001</v>
      </c>
      <c r="CD168" s="133">
        <v>100.00000000000001</v>
      </c>
      <c r="CE168" s="133">
        <v>100.00000000000001</v>
      </c>
      <c r="CF168" s="133">
        <v>100.00000000000001</v>
      </c>
      <c r="CG168" s="133">
        <v>100.00000000000001</v>
      </c>
      <c r="CH168" s="133">
        <v>100.00000000000001</v>
      </c>
      <c r="CI168" s="133">
        <v>100.00000000000001</v>
      </c>
      <c r="CJ168" s="133">
        <v>100.00000000000001</v>
      </c>
      <c r="CK168" s="133">
        <v>100.00000000000001</v>
      </c>
      <c r="CL168" s="133">
        <v>100.00000000000001</v>
      </c>
      <c r="CM168" s="133">
        <v>100.00000000000001</v>
      </c>
      <c r="CN168" s="133">
        <v>100.00000000000001</v>
      </c>
      <c r="CO168" s="133">
        <v>100.00000000000001</v>
      </c>
      <c r="CP168" s="133">
        <v>100.00000000000001</v>
      </c>
      <c r="CQ168" s="133">
        <v>100.00000000000001</v>
      </c>
      <c r="CR168" s="133">
        <v>100.00000000000001</v>
      </c>
      <c r="CS168" s="133">
        <v>100.00000000000001</v>
      </c>
      <c r="CT168" s="133">
        <v>100.00000000000001</v>
      </c>
      <c r="CU168" s="133">
        <v>100.00000000000001</v>
      </c>
      <c r="CV168" s="133">
        <v>100.00000000000001</v>
      </c>
      <c r="CW168" s="133">
        <v>100.00000000000001</v>
      </c>
      <c r="CX168" s="133">
        <v>100.00000000000001</v>
      </c>
      <c r="CY168" s="133">
        <v>100.00000000000001</v>
      </c>
      <c r="CZ168" s="133">
        <v>100.00000000000001</v>
      </c>
      <c r="DA168" s="133">
        <v>100.00000000000001</v>
      </c>
    </row>
    <row r="169" spans="5:105">
      <c r="E169" s="137" t="s">
        <v>156</v>
      </c>
      <c r="F169" s="133">
        <v>99.999999999999986</v>
      </c>
      <c r="G169" s="133">
        <v>99.999999999999986</v>
      </c>
      <c r="H169" s="133">
        <v>99.999999999999986</v>
      </c>
      <c r="I169" s="133">
        <v>99.999999999999986</v>
      </c>
      <c r="J169" s="133">
        <v>99.999999999999986</v>
      </c>
      <c r="K169" s="133">
        <v>99.999999999999986</v>
      </c>
      <c r="L169" s="133">
        <v>99.999999999999986</v>
      </c>
      <c r="M169" s="133">
        <v>99.999999999999986</v>
      </c>
      <c r="N169" s="133">
        <v>99.999999999999986</v>
      </c>
      <c r="O169" s="133">
        <v>99.999999999999986</v>
      </c>
      <c r="P169" s="133">
        <v>99.999999999999986</v>
      </c>
      <c r="Q169" s="133">
        <v>99.999999999999986</v>
      </c>
      <c r="R169" s="133">
        <v>99.999999999999986</v>
      </c>
      <c r="S169" s="133">
        <v>99.999999999999986</v>
      </c>
      <c r="T169" s="133">
        <v>99.999999999999986</v>
      </c>
      <c r="U169" s="133">
        <v>99.999999999999986</v>
      </c>
      <c r="V169" s="133">
        <v>99.999999999999986</v>
      </c>
      <c r="W169" s="133">
        <v>99.999999999999986</v>
      </c>
      <c r="X169" s="133">
        <v>99.999999999999986</v>
      </c>
      <c r="Y169" s="133">
        <v>99.999999999999986</v>
      </c>
      <c r="Z169" s="133">
        <v>99.999999999999986</v>
      </c>
      <c r="AA169" s="133">
        <v>99.999999999999986</v>
      </c>
      <c r="AB169" s="133">
        <v>99.999999999999986</v>
      </c>
      <c r="AC169" s="133">
        <v>99.999999999999986</v>
      </c>
      <c r="AD169" s="133">
        <v>99.999999999999986</v>
      </c>
      <c r="AE169" s="133">
        <v>99.999999999999986</v>
      </c>
      <c r="AF169" s="133">
        <v>99.999999999999986</v>
      </c>
      <c r="AG169" s="133">
        <v>99.999999999999986</v>
      </c>
      <c r="AH169" s="133">
        <v>99.999999999999986</v>
      </c>
      <c r="AI169" s="133">
        <v>99.999999999999986</v>
      </c>
      <c r="AJ169" s="133">
        <v>99.999999999999986</v>
      </c>
      <c r="AK169" s="133">
        <v>99.999999999999986</v>
      </c>
      <c r="AL169" s="133">
        <v>99.999999999999986</v>
      </c>
      <c r="AM169" s="133">
        <v>99.999999999999986</v>
      </c>
      <c r="AN169" s="133">
        <v>99.999999999999986</v>
      </c>
      <c r="AO169" s="133">
        <v>99.999999999999986</v>
      </c>
      <c r="AP169" s="133">
        <v>99.999999999999986</v>
      </c>
      <c r="AQ169" s="133">
        <v>99.999999999999986</v>
      </c>
      <c r="AR169" s="133">
        <v>99.999999999999986</v>
      </c>
      <c r="AS169" s="133">
        <v>99.999999999999986</v>
      </c>
      <c r="AT169" s="133">
        <v>99.999999999999986</v>
      </c>
      <c r="AU169" s="133">
        <v>99.999999999999986</v>
      </c>
      <c r="AV169" s="133">
        <v>99.999999999999986</v>
      </c>
      <c r="AW169" s="133">
        <v>99.999999999999986</v>
      </c>
      <c r="AX169" s="133">
        <v>99.999999999999986</v>
      </c>
      <c r="AY169" s="133">
        <v>99.999999999999986</v>
      </c>
      <c r="AZ169" s="133">
        <v>99.999999999999986</v>
      </c>
      <c r="BA169" s="133">
        <v>99.999999999999986</v>
      </c>
      <c r="BB169" s="133">
        <v>99.999999999999986</v>
      </c>
      <c r="BC169" s="133">
        <v>99.999999999999986</v>
      </c>
      <c r="BD169" s="133">
        <v>99.999999999999986</v>
      </c>
      <c r="BE169" s="133">
        <v>99.999999999999986</v>
      </c>
      <c r="BF169" s="133">
        <v>99.999999999999986</v>
      </c>
      <c r="BG169" s="133">
        <v>99.999999999999986</v>
      </c>
      <c r="BH169" s="133">
        <v>99.999999999999986</v>
      </c>
      <c r="BI169" s="133">
        <v>99.999999999999986</v>
      </c>
      <c r="BJ169" s="133">
        <v>99.999999999999986</v>
      </c>
      <c r="BK169" s="133">
        <v>99.999999999999986</v>
      </c>
      <c r="BL169" s="133">
        <v>99.999999999999986</v>
      </c>
      <c r="BM169" s="133">
        <v>99.999999999999986</v>
      </c>
      <c r="BN169" s="133">
        <v>99.999999999999986</v>
      </c>
      <c r="BO169" s="133">
        <v>99.999999999999986</v>
      </c>
      <c r="BP169" s="133">
        <v>99.999999999999986</v>
      </c>
      <c r="BQ169" s="133">
        <v>99.999999999999986</v>
      </c>
      <c r="BR169" s="133">
        <v>99.999999999999986</v>
      </c>
      <c r="BS169" s="133">
        <v>99.999999999999986</v>
      </c>
      <c r="BT169" s="133">
        <v>99.999999999999986</v>
      </c>
      <c r="BU169" s="133">
        <v>99.999999999999986</v>
      </c>
      <c r="BV169" s="133">
        <v>99.999999999999986</v>
      </c>
      <c r="BW169" s="133">
        <v>99.999999999999986</v>
      </c>
      <c r="BX169" s="133">
        <v>99.999999999999986</v>
      </c>
      <c r="BY169" s="133">
        <v>99.999999999999986</v>
      </c>
      <c r="BZ169" s="133">
        <v>99.999999999999986</v>
      </c>
      <c r="CA169" s="133">
        <v>99.999999999999986</v>
      </c>
      <c r="CB169" s="133">
        <v>99.999999999999986</v>
      </c>
      <c r="CC169" s="133">
        <v>99.999999999999986</v>
      </c>
      <c r="CD169" s="133">
        <v>99.999999999999986</v>
      </c>
      <c r="CE169" s="133">
        <v>99.999999999999986</v>
      </c>
      <c r="CF169" s="133">
        <v>99.999999999999986</v>
      </c>
      <c r="CG169" s="133">
        <v>99.999999999999986</v>
      </c>
      <c r="CH169" s="133">
        <v>99.999999999999986</v>
      </c>
      <c r="CI169" s="133">
        <v>99.999999999999986</v>
      </c>
      <c r="CJ169" s="133">
        <v>99.999999999999986</v>
      </c>
      <c r="CK169" s="133">
        <v>99.999999999999986</v>
      </c>
      <c r="CL169" s="133">
        <v>99.999999999999986</v>
      </c>
      <c r="CM169" s="133">
        <v>99.999999999999986</v>
      </c>
      <c r="CN169" s="133">
        <v>99.999999999999986</v>
      </c>
      <c r="CO169" s="133">
        <v>99.999999999999986</v>
      </c>
      <c r="CP169" s="133">
        <v>99.999999999999986</v>
      </c>
      <c r="CQ169" s="133">
        <v>99.999999999999986</v>
      </c>
      <c r="CR169" s="133">
        <v>99.999999999999986</v>
      </c>
      <c r="CS169" s="133">
        <v>99.999999999999986</v>
      </c>
      <c r="CT169" s="133">
        <v>99.999999999999986</v>
      </c>
      <c r="CU169" s="133">
        <v>99.999999999999986</v>
      </c>
      <c r="CV169" s="133">
        <v>99.999999999999986</v>
      </c>
      <c r="CW169" s="133">
        <v>99.999999999999986</v>
      </c>
      <c r="CX169" s="133">
        <v>99.999999999999986</v>
      </c>
      <c r="CY169" s="133">
        <v>99.999999999999986</v>
      </c>
      <c r="CZ169" s="133">
        <v>99.999999999999986</v>
      </c>
      <c r="DA169" s="133">
        <v>99.999999999999986</v>
      </c>
    </row>
    <row r="170" spans="5:105">
      <c r="E170" s="137" t="s">
        <v>157</v>
      </c>
      <c r="F170" s="133">
        <f t="shared" ref="F170:BQ170" si="230">((400*(F141*F164/100)^0.42)/(((F141*F164/100)^0.42)+27.13))+0.1</f>
        <v>13.047263118560837</v>
      </c>
      <c r="G170" s="133">
        <f t="shared" si="230"/>
        <v>10.976525285084545</v>
      </c>
      <c r="H170" s="133">
        <f t="shared" si="230"/>
        <v>7.9527045094402613</v>
      </c>
      <c r="I170" s="133">
        <f t="shared" si="230"/>
        <v>4.1711331050590648</v>
      </c>
      <c r="J170" s="133">
        <f t="shared" si="230"/>
        <v>8.884148297099042</v>
      </c>
      <c r="K170" s="133">
        <f t="shared" si="230"/>
        <v>6.4287537111993585</v>
      </c>
      <c r="L170" s="133">
        <f t="shared" si="230"/>
        <v>6.4852138288827756</v>
      </c>
      <c r="M170" s="133">
        <f t="shared" si="230"/>
        <v>5.5515015611773473</v>
      </c>
      <c r="N170" s="133">
        <f t="shared" si="230"/>
        <v>5.3858665131840215</v>
      </c>
      <c r="O170" s="133">
        <f t="shared" si="230"/>
        <v>3.8576159187422721</v>
      </c>
      <c r="P170" s="133">
        <f t="shared" si="230"/>
        <v>9.7543627931970125</v>
      </c>
      <c r="Q170" s="133">
        <f t="shared" si="230"/>
        <v>7.5502206160239744</v>
      </c>
      <c r="R170" s="133">
        <f t="shared" si="230"/>
        <v>8.3417901801385685</v>
      </c>
      <c r="S170" s="133">
        <f t="shared" si="230"/>
        <v>5.616129400346173</v>
      </c>
      <c r="T170" s="133">
        <f t="shared" si="230"/>
        <v>9.2921541762213131</v>
      </c>
      <c r="U170" s="133">
        <f t="shared" si="230"/>
        <v>8.9777821983354436</v>
      </c>
      <c r="V170" s="133">
        <f t="shared" si="230"/>
        <v>6.1005544096720756</v>
      </c>
      <c r="W170" s="133">
        <f t="shared" si="230"/>
        <v>6.3829938791558698</v>
      </c>
      <c r="X170" s="133">
        <f t="shared" si="230"/>
        <v>7.1090701288149392</v>
      </c>
      <c r="Y170" s="133">
        <f t="shared" si="230"/>
        <v>9.1785315203195594</v>
      </c>
      <c r="Z170" s="133">
        <f t="shared" si="230"/>
        <v>8.4941385990104941</v>
      </c>
      <c r="AA170" s="133">
        <f t="shared" si="230"/>
        <v>11.247814514074594</v>
      </c>
      <c r="AB170" s="133">
        <f t="shared" si="230"/>
        <v>10.14535004916825</v>
      </c>
      <c r="AC170" s="133">
        <f t="shared" si="230"/>
        <v>11.802208321246235</v>
      </c>
      <c r="AD170" s="133">
        <f t="shared" si="230"/>
        <v>11.784777770904434</v>
      </c>
      <c r="AE170" s="133">
        <f t="shared" si="230"/>
        <v>9.2115615267928721</v>
      </c>
      <c r="AF170" s="133">
        <f t="shared" si="230"/>
        <v>11.670620613231828</v>
      </c>
      <c r="AG170" s="133">
        <f t="shared" si="230"/>
        <v>9.2208774788831995</v>
      </c>
      <c r="AH170" s="133">
        <f t="shared" si="230"/>
        <v>5.4081345441733717</v>
      </c>
      <c r="AI170" s="133">
        <f t="shared" si="230"/>
        <v>11.174068748543419</v>
      </c>
      <c r="AJ170" s="133">
        <f t="shared" si="230"/>
        <v>8.0610270728937508</v>
      </c>
      <c r="AK170" s="133">
        <f t="shared" si="230"/>
        <v>11.409648642226552</v>
      </c>
      <c r="AL170" s="133">
        <f t="shared" si="230"/>
        <v>9.5545783322721505</v>
      </c>
      <c r="AM170" s="133">
        <f t="shared" si="230"/>
        <v>11.515195250806697</v>
      </c>
      <c r="AN170" s="133">
        <f t="shared" si="230"/>
        <v>7.8694451357941686</v>
      </c>
      <c r="AO170" s="133">
        <f t="shared" si="230"/>
        <v>5.4564698239864287</v>
      </c>
      <c r="AP170" s="133">
        <f t="shared" si="230"/>
        <v>10.151913383747408</v>
      </c>
      <c r="AQ170" s="133">
        <f t="shared" si="230"/>
        <v>6.1187900832279478</v>
      </c>
      <c r="AR170" s="133">
        <f t="shared" si="230"/>
        <v>10.984763531970238</v>
      </c>
      <c r="AS170" s="133">
        <f t="shared" si="230"/>
        <v>4.57226285865422</v>
      </c>
      <c r="AT170" s="133">
        <f t="shared" si="230"/>
        <v>6.2477711445181781</v>
      </c>
      <c r="AU170" s="133">
        <f t="shared" si="230"/>
        <v>11.19627266891179</v>
      </c>
      <c r="AV170" s="133">
        <f t="shared" si="230"/>
        <v>8.5708123133196672</v>
      </c>
      <c r="AW170" s="133">
        <f t="shared" si="230"/>
        <v>9.0399737749749551</v>
      </c>
      <c r="AX170" s="133">
        <f t="shared" si="230"/>
        <v>3.847015607108371</v>
      </c>
      <c r="AY170" s="133">
        <f t="shared" si="230"/>
        <v>7.2273066305822029</v>
      </c>
      <c r="AZ170" s="133">
        <f t="shared" si="230"/>
        <v>8.2583591844903435</v>
      </c>
      <c r="BA170" s="133">
        <f t="shared" si="230"/>
        <v>8.6225391292002183</v>
      </c>
      <c r="BB170" s="133">
        <f t="shared" si="230"/>
        <v>9.6858272985627512</v>
      </c>
      <c r="BC170" s="133">
        <f t="shared" si="230"/>
        <v>5.758773073844492</v>
      </c>
      <c r="BD170" s="133">
        <f t="shared" si="230"/>
        <v>6.6800748339212355</v>
      </c>
      <c r="BE170" s="133">
        <f t="shared" si="230"/>
        <v>7.1404512373524653</v>
      </c>
      <c r="BF170" s="133">
        <f t="shared" si="230"/>
        <v>5.097503329529733</v>
      </c>
      <c r="BG170" s="133">
        <f t="shared" si="230"/>
        <v>5.9548363958248105</v>
      </c>
      <c r="BH170" s="133">
        <f t="shared" si="230"/>
        <v>10.959284291991777</v>
      </c>
      <c r="BI170" s="133">
        <f t="shared" si="230"/>
        <v>10.417065620973258</v>
      </c>
      <c r="BJ170" s="133">
        <f t="shared" si="230"/>
        <v>8.5663219867089921</v>
      </c>
      <c r="BK170" s="133">
        <f t="shared" si="230"/>
        <v>6.8569861399473186</v>
      </c>
      <c r="BL170" s="133">
        <f t="shared" si="230"/>
        <v>6.403817036464206</v>
      </c>
      <c r="BM170" s="133">
        <f t="shared" si="230"/>
        <v>10.900543316955474</v>
      </c>
      <c r="BN170" s="133">
        <f t="shared" si="230"/>
        <v>11.177056501693471</v>
      </c>
      <c r="BO170" s="133">
        <f t="shared" si="230"/>
        <v>9.47844167136825</v>
      </c>
      <c r="BP170" s="133">
        <f t="shared" si="230"/>
        <v>8.2584809267615089</v>
      </c>
      <c r="BQ170" s="133">
        <f t="shared" si="230"/>
        <v>4.4881110405492128</v>
      </c>
      <c r="BR170" s="133">
        <f t="shared" ref="BR170:DA170" si="231">((400*(BR141*BR164/100)^0.42)/(((BR141*BR164/100)^0.42)+27.13))+0.1</f>
        <v>6.8928260825376482</v>
      </c>
      <c r="BS170" s="133">
        <f t="shared" si="231"/>
        <v>5.0087618383108827</v>
      </c>
      <c r="BT170" s="133">
        <f t="shared" si="231"/>
        <v>5.2719254581637287</v>
      </c>
      <c r="BU170" s="133">
        <f t="shared" si="231"/>
        <v>5.6241619726856689</v>
      </c>
      <c r="BV170" s="133">
        <f t="shared" si="231"/>
        <v>7.7021494356921094</v>
      </c>
      <c r="BW170" s="133">
        <f t="shared" si="231"/>
        <v>6.5264827127627392</v>
      </c>
      <c r="BX170" s="133">
        <f t="shared" si="231"/>
        <v>8.749365156257376</v>
      </c>
      <c r="BY170" s="133">
        <f t="shared" si="231"/>
        <v>4.3344447880052641</v>
      </c>
      <c r="BZ170" s="133">
        <f t="shared" si="231"/>
        <v>9.5237591138518791</v>
      </c>
      <c r="CA170" s="133">
        <f t="shared" si="231"/>
        <v>6.8118740831948372</v>
      </c>
      <c r="CB170" s="133">
        <f t="shared" si="231"/>
        <v>3.7761170339520183</v>
      </c>
      <c r="CC170" s="133">
        <f t="shared" si="231"/>
        <v>4.154692976867878</v>
      </c>
      <c r="CD170" s="133">
        <f t="shared" si="231"/>
        <v>5.6892209781487129</v>
      </c>
      <c r="CE170" s="133">
        <f t="shared" si="231"/>
        <v>5.4046258830691496</v>
      </c>
      <c r="CF170" s="133">
        <f t="shared" si="231"/>
        <v>5.3327599608325054</v>
      </c>
      <c r="CG170" s="133">
        <f t="shared" si="231"/>
        <v>9.0417399552189703</v>
      </c>
      <c r="CH170" s="133">
        <f t="shared" si="231"/>
        <v>8.0517889692140123</v>
      </c>
      <c r="CI170" s="133">
        <f t="shared" si="231"/>
        <v>5.3924395631026787</v>
      </c>
      <c r="CJ170" s="133">
        <f t="shared" si="231"/>
        <v>11.054701305855815</v>
      </c>
      <c r="CK170" s="133">
        <f t="shared" si="231"/>
        <v>9.0615500468884012</v>
      </c>
      <c r="CL170" s="133">
        <f t="shared" si="231"/>
        <v>3.7538454572728255</v>
      </c>
      <c r="CM170" s="133">
        <f t="shared" si="231"/>
        <v>5.210073402049078</v>
      </c>
      <c r="CN170" s="133">
        <f t="shared" si="231"/>
        <v>8.0262718457593412</v>
      </c>
      <c r="CO170" s="133">
        <f t="shared" si="231"/>
        <v>5.0402284464252167</v>
      </c>
      <c r="CP170" s="133">
        <f t="shared" si="231"/>
        <v>7.7522633655767743</v>
      </c>
      <c r="CQ170" s="133">
        <f t="shared" si="231"/>
        <v>4.9335784914456493</v>
      </c>
      <c r="CR170" s="133">
        <f t="shared" si="231"/>
        <v>5.6106065288695097</v>
      </c>
      <c r="CS170" s="133">
        <f t="shared" si="231"/>
        <v>10.121831113562759</v>
      </c>
      <c r="CT170" s="133">
        <f t="shared" si="231"/>
        <v>6.9758013666910887</v>
      </c>
      <c r="CU170" s="133">
        <f t="shared" si="231"/>
        <v>8.3878059441862014</v>
      </c>
      <c r="CV170" s="133">
        <f t="shared" si="231"/>
        <v>5.0606944719366833</v>
      </c>
      <c r="CW170" s="133">
        <f t="shared" si="231"/>
        <v>8.7775377664502408</v>
      </c>
      <c r="CX170" s="133">
        <f t="shared" si="231"/>
        <v>9.8937983101669786</v>
      </c>
      <c r="CY170" s="133">
        <f t="shared" si="231"/>
        <v>6.7639629725866071</v>
      </c>
      <c r="CZ170" s="133">
        <f t="shared" si="231"/>
        <v>8.285867322433619</v>
      </c>
      <c r="DA170" s="133">
        <f t="shared" si="231"/>
        <v>6.7431650771820744</v>
      </c>
    </row>
    <row r="171" spans="5:105">
      <c r="E171" s="137" t="s">
        <v>158</v>
      </c>
      <c r="F171" s="133">
        <f t="shared" ref="F171:BQ171" si="232">((400*(F141*F165/100)^0.42)/(((F141*F165/100)^0.42)+27.13))+0.1</f>
        <v>13.047210500554204</v>
      </c>
      <c r="G171" s="133">
        <f t="shared" si="232"/>
        <v>10.625882603019571</v>
      </c>
      <c r="H171" s="133">
        <f t="shared" si="232"/>
        <v>7.1746214691934549</v>
      </c>
      <c r="I171" s="133">
        <f t="shared" si="232"/>
        <v>3.9533670245981045</v>
      </c>
      <c r="J171" s="133">
        <f t="shared" si="232"/>
        <v>8.3959242365002851</v>
      </c>
      <c r="K171" s="133">
        <f t="shared" si="232"/>
        <v>5.6049999993259911</v>
      </c>
      <c r="L171" s="133">
        <f t="shared" si="232"/>
        <v>6.1157017469594184</v>
      </c>
      <c r="M171" s="133">
        <f t="shared" si="232"/>
        <v>4.7802941094992502</v>
      </c>
      <c r="N171" s="133">
        <f t="shared" si="232"/>
        <v>4.7261484478166569</v>
      </c>
      <c r="O171" s="133">
        <f t="shared" si="232"/>
        <v>3.8145563502916193</v>
      </c>
      <c r="P171" s="133">
        <f t="shared" si="232"/>
        <v>8.7418325376561743</v>
      </c>
      <c r="Q171" s="133">
        <f t="shared" si="232"/>
        <v>6.6662881971216263</v>
      </c>
      <c r="R171" s="133">
        <f t="shared" si="232"/>
        <v>7.3337821929628575</v>
      </c>
      <c r="S171" s="133">
        <f t="shared" si="232"/>
        <v>5.1298613696521489</v>
      </c>
      <c r="T171" s="133">
        <f t="shared" si="232"/>
        <v>9.1291502867587084</v>
      </c>
      <c r="U171" s="133">
        <f t="shared" si="232"/>
        <v>8.6218349803716237</v>
      </c>
      <c r="V171" s="133">
        <f t="shared" si="232"/>
        <v>5.6460269159229952</v>
      </c>
      <c r="W171" s="133">
        <f t="shared" si="232"/>
        <v>5.9598836971708824</v>
      </c>
      <c r="X171" s="133">
        <f t="shared" si="232"/>
        <v>6.7707796097250199</v>
      </c>
      <c r="Y171" s="133">
        <f t="shared" si="232"/>
        <v>8.6149702300655218</v>
      </c>
      <c r="Z171" s="133">
        <f t="shared" si="232"/>
        <v>7.6965438287808556</v>
      </c>
      <c r="AA171" s="133">
        <f t="shared" si="232"/>
        <v>10.576876936942964</v>
      </c>
      <c r="AB171" s="133">
        <f t="shared" si="232"/>
        <v>9.4424454629001264</v>
      </c>
      <c r="AC171" s="133">
        <f t="shared" si="232"/>
        <v>11.619401567013822</v>
      </c>
      <c r="AD171" s="133">
        <f t="shared" si="232"/>
        <v>11.382741211311126</v>
      </c>
      <c r="AE171" s="133">
        <f t="shared" si="232"/>
        <v>8.6947037897112196</v>
      </c>
      <c r="AF171" s="133">
        <f t="shared" si="232"/>
        <v>11.193940437534</v>
      </c>
      <c r="AG171" s="133">
        <f t="shared" si="232"/>
        <v>9.0759895734323077</v>
      </c>
      <c r="AH171" s="133">
        <f t="shared" si="232"/>
        <v>5.3032113746240688</v>
      </c>
      <c r="AI171" s="133">
        <f t="shared" si="232"/>
        <v>10.833158685677327</v>
      </c>
      <c r="AJ171" s="133">
        <f t="shared" si="232"/>
        <v>7.8837505540782775</v>
      </c>
      <c r="AK171" s="133">
        <f t="shared" si="232"/>
        <v>11.102999378312356</v>
      </c>
      <c r="AL171" s="133">
        <f t="shared" si="232"/>
        <v>9.2855908092552575</v>
      </c>
      <c r="AM171" s="133">
        <f t="shared" si="232"/>
        <v>11.327675509531485</v>
      </c>
      <c r="AN171" s="133">
        <f t="shared" si="232"/>
        <v>7.6996141038041399</v>
      </c>
      <c r="AO171" s="133">
        <f t="shared" si="232"/>
        <v>5.4002862547069039</v>
      </c>
      <c r="AP171" s="133">
        <f t="shared" si="232"/>
        <v>10.105296212868508</v>
      </c>
      <c r="AQ171" s="133">
        <f t="shared" si="232"/>
        <v>6.093033240561323</v>
      </c>
      <c r="AR171" s="133">
        <f t="shared" si="232"/>
        <v>10.89928317674798</v>
      </c>
      <c r="AS171" s="133">
        <f t="shared" si="232"/>
        <v>4.5613823523016812</v>
      </c>
      <c r="AT171" s="133">
        <f t="shared" si="232"/>
        <v>6.2332439682696812</v>
      </c>
      <c r="AU171" s="133">
        <f t="shared" si="232"/>
        <v>11.194973082202363</v>
      </c>
      <c r="AV171" s="133">
        <f t="shared" si="232"/>
        <v>8.7180278155912987</v>
      </c>
      <c r="AW171" s="133">
        <f t="shared" si="232"/>
        <v>9.1670876367189305</v>
      </c>
      <c r="AX171" s="133">
        <f t="shared" si="232"/>
        <v>3.8504417559596287</v>
      </c>
      <c r="AY171" s="133">
        <f t="shared" si="232"/>
        <v>7.426230087196962</v>
      </c>
      <c r="AZ171" s="133">
        <f t="shared" si="232"/>
        <v>8.3919370502084529</v>
      </c>
      <c r="BA171" s="133">
        <f t="shared" si="232"/>
        <v>8.7095737692286033</v>
      </c>
      <c r="BB171" s="133">
        <f t="shared" si="232"/>
        <v>9.9409874704218186</v>
      </c>
      <c r="BC171" s="133">
        <f t="shared" si="232"/>
        <v>5.951768431901912</v>
      </c>
      <c r="BD171" s="133">
        <f t="shared" si="232"/>
        <v>6.926719966463561</v>
      </c>
      <c r="BE171" s="133">
        <f t="shared" si="232"/>
        <v>7.3517465387801195</v>
      </c>
      <c r="BF171" s="133">
        <f t="shared" si="232"/>
        <v>5.385191943985304</v>
      </c>
      <c r="BG171" s="133">
        <f t="shared" si="232"/>
        <v>6.4949313211681208</v>
      </c>
      <c r="BH171" s="133">
        <f t="shared" si="232"/>
        <v>11.216211939468568</v>
      </c>
      <c r="BI171" s="133">
        <f t="shared" si="232"/>
        <v>10.719324885885211</v>
      </c>
      <c r="BJ171" s="133">
        <f t="shared" si="232"/>
        <v>9.1746515453956246</v>
      </c>
      <c r="BK171" s="133">
        <f t="shared" si="232"/>
        <v>7.49079341230573</v>
      </c>
      <c r="BL171" s="133">
        <f t="shared" si="232"/>
        <v>7.0400516173636349</v>
      </c>
      <c r="BM171" s="133">
        <f t="shared" si="232"/>
        <v>11.164465068514263</v>
      </c>
      <c r="BN171" s="133">
        <f t="shared" si="232"/>
        <v>11.273990881785208</v>
      </c>
      <c r="BO171" s="133">
        <f t="shared" si="232"/>
        <v>9.7244904339994527</v>
      </c>
      <c r="BP171" s="133">
        <f t="shared" si="232"/>
        <v>8.349056671910926</v>
      </c>
      <c r="BQ171" s="133">
        <f t="shared" si="232"/>
        <v>4.4903993450421593</v>
      </c>
      <c r="BR171" s="133">
        <f t="shared" ref="BR171:DA171" si="233">((400*(BR141*BR165/100)^0.42)/(((BR141*BR165/100)^0.42)+27.13))+0.1</f>
        <v>7.5563828109737265</v>
      </c>
      <c r="BS171" s="133">
        <f t="shared" si="233"/>
        <v>5.2816860293343177</v>
      </c>
      <c r="BT171" s="133">
        <f t="shared" si="233"/>
        <v>5.8259552466862994</v>
      </c>
      <c r="BU171" s="133">
        <f t="shared" si="233"/>
        <v>6.2154223437484806</v>
      </c>
      <c r="BV171" s="133">
        <f t="shared" si="233"/>
        <v>8.0739686225041396</v>
      </c>
      <c r="BW171" s="133">
        <f t="shared" si="233"/>
        <v>6.6676002939530434</v>
      </c>
      <c r="BX171" s="133">
        <f t="shared" si="233"/>
        <v>9.2146278067998928</v>
      </c>
      <c r="BY171" s="133">
        <f t="shared" si="233"/>
        <v>4.6692445930303554</v>
      </c>
      <c r="BZ171" s="133">
        <f t="shared" si="233"/>
        <v>9.6376678512056664</v>
      </c>
      <c r="CA171" s="133">
        <f t="shared" si="233"/>
        <v>7.4294402294192556</v>
      </c>
      <c r="CB171" s="133">
        <f t="shared" si="233"/>
        <v>3.80561292072395</v>
      </c>
      <c r="CC171" s="133">
        <f t="shared" si="233"/>
        <v>4.4473977884059295</v>
      </c>
      <c r="CD171" s="133">
        <f t="shared" si="233"/>
        <v>6.2003294949466516</v>
      </c>
      <c r="CE171" s="133">
        <f t="shared" si="233"/>
        <v>5.7192241593295527</v>
      </c>
      <c r="CF171" s="133">
        <f t="shared" si="233"/>
        <v>5.7983446131915972</v>
      </c>
      <c r="CG171" s="133">
        <f t="shared" si="233"/>
        <v>9.2358017611751748</v>
      </c>
      <c r="CH171" s="133">
        <f t="shared" si="233"/>
        <v>8.1988509292152152</v>
      </c>
      <c r="CI171" s="133">
        <f t="shared" si="233"/>
        <v>5.5580380310523303</v>
      </c>
      <c r="CJ171" s="133">
        <f t="shared" si="233"/>
        <v>11.091991704028409</v>
      </c>
      <c r="CK171" s="133">
        <f t="shared" si="233"/>
        <v>9.1137981380353867</v>
      </c>
      <c r="CL171" s="133">
        <f t="shared" si="233"/>
        <v>3.7364691428330845</v>
      </c>
      <c r="CM171" s="133">
        <f t="shared" si="233"/>
        <v>5.2179769422919557</v>
      </c>
      <c r="CN171" s="133">
        <f t="shared" si="233"/>
        <v>8.0536870723792706</v>
      </c>
      <c r="CO171" s="133">
        <f t="shared" si="233"/>
        <v>4.9559171502113797</v>
      </c>
      <c r="CP171" s="133">
        <f t="shared" si="233"/>
        <v>7.5457810464307844</v>
      </c>
      <c r="CQ171" s="133">
        <f t="shared" si="233"/>
        <v>4.7756779570649597</v>
      </c>
      <c r="CR171" s="133">
        <f t="shared" si="233"/>
        <v>5.3552093627331114</v>
      </c>
      <c r="CS171" s="133">
        <f t="shared" si="233"/>
        <v>10.091358797984899</v>
      </c>
      <c r="CT171" s="133">
        <f t="shared" si="233"/>
        <v>6.8111529611348676</v>
      </c>
      <c r="CU171" s="133">
        <f t="shared" si="233"/>
        <v>8.2306638166554915</v>
      </c>
      <c r="CV171" s="133">
        <f t="shared" si="233"/>
        <v>4.7674323980130637</v>
      </c>
      <c r="CW171" s="133">
        <f t="shared" si="233"/>
        <v>8.5102262566817348</v>
      </c>
      <c r="CX171" s="133">
        <f t="shared" si="233"/>
        <v>9.6174570098958423</v>
      </c>
      <c r="CY171" s="133">
        <f t="shared" si="233"/>
        <v>6.3239256747718722</v>
      </c>
      <c r="CZ171" s="133">
        <f t="shared" si="233"/>
        <v>7.5848597569434135</v>
      </c>
      <c r="DA171" s="133">
        <f t="shared" si="233"/>
        <v>6.0228099331218008</v>
      </c>
    </row>
    <row r="172" spans="5:105">
      <c r="E172" s="137" t="s">
        <v>159</v>
      </c>
      <c r="F172" s="133">
        <f t="shared" ref="F172:BQ172" si="234">((400*(F141*F166/100)^0.42)/(((F141*F166/100)^0.42)+27.13))+0.1</f>
        <v>13.047210500554202</v>
      </c>
      <c r="G172" s="133">
        <f t="shared" si="234"/>
        <v>10.69768148079363</v>
      </c>
      <c r="H172" s="133">
        <f t="shared" si="234"/>
        <v>7.1384262828577301</v>
      </c>
      <c r="I172" s="133">
        <f t="shared" si="234"/>
        <v>4.0342892183312768</v>
      </c>
      <c r="J172" s="133">
        <f t="shared" si="234"/>
        <v>7.9073174586470367</v>
      </c>
      <c r="K172" s="133">
        <f t="shared" si="234"/>
        <v>4.9569328166341693</v>
      </c>
      <c r="L172" s="133">
        <f t="shared" si="234"/>
        <v>5.6577098857454491</v>
      </c>
      <c r="M172" s="133">
        <f t="shared" si="234"/>
        <v>4.0697287650468992</v>
      </c>
      <c r="N172" s="133">
        <f t="shared" si="234"/>
        <v>4.1095151764740514</v>
      </c>
      <c r="O172" s="133">
        <f t="shared" si="234"/>
        <v>3.8205628964841765</v>
      </c>
      <c r="P172" s="133">
        <f t="shared" si="234"/>
        <v>6.6035850766569233</v>
      </c>
      <c r="Q172" s="133">
        <f t="shared" si="234"/>
        <v>4.5773750301360421</v>
      </c>
      <c r="R172" s="133">
        <f t="shared" si="234"/>
        <v>4.9436295633268204</v>
      </c>
      <c r="S172" s="133">
        <f t="shared" si="234"/>
        <v>3.8511171534464212</v>
      </c>
      <c r="T172" s="133">
        <f t="shared" si="234"/>
        <v>8.6190193825722066</v>
      </c>
      <c r="U172" s="133">
        <f t="shared" si="234"/>
        <v>7.6759057027219821</v>
      </c>
      <c r="V172" s="133">
        <f t="shared" si="234"/>
        <v>4.0987861386337086</v>
      </c>
      <c r="W172" s="133">
        <f t="shared" si="234"/>
        <v>4.2510374252143022</v>
      </c>
      <c r="X172" s="133">
        <f t="shared" si="234"/>
        <v>5.5167036696672991</v>
      </c>
      <c r="Y172" s="133">
        <f t="shared" si="234"/>
        <v>5.730125775198724</v>
      </c>
      <c r="Z172" s="133">
        <f t="shared" si="234"/>
        <v>3.8314988781395432</v>
      </c>
      <c r="AA172" s="133">
        <f t="shared" si="234"/>
        <v>6.6216588911101448</v>
      </c>
      <c r="AB172" s="133">
        <f t="shared" si="234"/>
        <v>5.509861947647039</v>
      </c>
      <c r="AC172" s="133">
        <f t="shared" si="234"/>
        <v>10.250846834332929</v>
      </c>
      <c r="AD172" s="133">
        <f t="shared" si="234"/>
        <v>8.0703619308674739</v>
      </c>
      <c r="AE172" s="133">
        <f t="shared" si="234"/>
        <v>4.2493175042714952</v>
      </c>
      <c r="AF172" s="133">
        <f t="shared" si="234"/>
        <v>7.0853953316663034</v>
      </c>
      <c r="AG172" s="133">
        <f t="shared" si="234"/>
        <v>7.5734854762144304</v>
      </c>
      <c r="AH172" s="133">
        <f t="shared" si="234"/>
        <v>3.8547939764115244</v>
      </c>
      <c r="AI172" s="133">
        <f t="shared" si="234"/>
        <v>6.794821574156936</v>
      </c>
      <c r="AJ172" s="133">
        <f t="shared" si="234"/>
        <v>6.152456636452337</v>
      </c>
      <c r="AK172" s="133">
        <f t="shared" si="234"/>
        <v>7.037589514280425</v>
      </c>
      <c r="AL172" s="133">
        <f t="shared" si="234"/>
        <v>4.9404540382245425</v>
      </c>
      <c r="AM172" s="133">
        <f t="shared" si="234"/>
        <v>8.8922918781007247</v>
      </c>
      <c r="AN172" s="133">
        <f t="shared" si="234"/>
        <v>4.1917991536843875</v>
      </c>
      <c r="AO172" s="133">
        <f t="shared" si="234"/>
        <v>3.9528619769273519</v>
      </c>
      <c r="AP172" s="133">
        <f t="shared" si="234"/>
        <v>9.6447631156177867</v>
      </c>
      <c r="AQ172" s="133">
        <f t="shared" si="234"/>
        <v>4.1968396517971085</v>
      </c>
      <c r="AR172" s="133">
        <f t="shared" si="234"/>
        <v>9.1656510401579592</v>
      </c>
      <c r="AS172" s="133">
        <f t="shared" si="234"/>
        <v>4.0534453547414282</v>
      </c>
      <c r="AT172" s="133">
        <f t="shared" si="234"/>
        <v>5.0306175022312232</v>
      </c>
      <c r="AU172" s="133">
        <f t="shared" si="234"/>
        <v>10.387787101841303</v>
      </c>
      <c r="AV172" s="133">
        <f t="shared" si="234"/>
        <v>4.9745216145932787</v>
      </c>
      <c r="AW172" s="133">
        <f t="shared" si="234"/>
        <v>5.0949700508987492</v>
      </c>
      <c r="AX172" s="133">
        <f t="shared" si="234"/>
        <v>3.7787903202594233</v>
      </c>
      <c r="AY172" s="133">
        <f t="shared" si="234"/>
        <v>5.0062323417193104</v>
      </c>
      <c r="AZ172" s="133">
        <f t="shared" si="234"/>
        <v>6.5214233529791326</v>
      </c>
      <c r="BA172" s="133">
        <f t="shared" si="234"/>
        <v>7.5306455229192384</v>
      </c>
      <c r="BB172" s="133">
        <f t="shared" si="234"/>
        <v>8.1836091443701164</v>
      </c>
      <c r="BC172" s="133">
        <f t="shared" si="234"/>
        <v>4.4766239101957543</v>
      </c>
      <c r="BD172" s="133">
        <f t="shared" si="234"/>
        <v>6.1343598159459418</v>
      </c>
      <c r="BE172" s="133">
        <f t="shared" si="234"/>
        <v>6.728625460158252</v>
      </c>
      <c r="BF172" s="133">
        <f t="shared" si="234"/>
        <v>4.5368214665981847</v>
      </c>
      <c r="BG172" s="133">
        <f t="shared" si="234"/>
        <v>5.7228306270714269</v>
      </c>
      <c r="BH172" s="133">
        <f t="shared" si="234"/>
        <v>11.136000363725941</v>
      </c>
      <c r="BI172" s="133">
        <f t="shared" si="234"/>
        <v>10.77534030389463</v>
      </c>
      <c r="BJ172" s="133">
        <f t="shared" si="234"/>
        <v>9.1627931816357577</v>
      </c>
      <c r="BK172" s="133">
        <f t="shared" si="234"/>
        <v>7.5108298895334533</v>
      </c>
      <c r="BL172" s="133">
        <f t="shared" si="234"/>
        <v>7.2810526859119076</v>
      </c>
      <c r="BM172" s="133">
        <f t="shared" si="234"/>
        <v>11.286584333736517</v>
      </c>
      <c r="BN172" s="133">
        <f t="shared" si="234"/>
        <v>11.451693091521024</v>
      </c>
      <c r="BO172" s="133">
        <f t="shared" si="234"/>
        <v>10.094206176579741</v>
      </c>
      <c r="BP172" s="133">
        <f t="shared" si="234"/>
        <v>8.6250414119277181</v>
      </c>
      <c r="BQ172" s="133">
        <f t="shared" si="234"/>
        <v>4.5864155526208537</v>
      </c>
      <c r="BR172" s="133">
        <f t="shared" ref="BR172:DA172" si="235">((400*(BR141*BR166/100)^0.42)/(((BR141*BR166/100)^0.42)+27.13))+0.1</f>
        <v>8.7970366330720271</v>
      </c>
      <c r="BS172" s="133">
        <f t="shared" si="235"/>
        <v>5.8916316788287375</v>
      </c>
      <c r="BT172" s="133">
        <f t="shared" si="235"/>
        <v>7.2385285264676975</v>
      </c>
      <c r="BU172" s="133">
        <f t="shared" si="235"/>
        <v>7.8270035032482559</v>
      </c>
      <c r="BV172" s="133">
        <f t="shared" si="235"/>
        <v>9.3221139130911599</v>
      </c>
      <c r="BW172" s="133">
        <f t="shared" si="235"/>
        <v>7.39297846149391</v>
      </c>
      <c r="BX172" s="133">
        <f t="shared" si="235"/>
        <v>11.190327951534867</v>
      </c>
      <c r="BY172" s="133">
        <f t="shared" si="235"/>
        <v>6.3507156098256115</v>
      </c>
      <c r="BZ172" s="133">
        <f t="shared" si="235"/>
        <v>10.168604634786449</v>
      </c>
      <c r="CA172" s="133">
        <f t="shared" si="235"/>
        <v>10.156572519940374</v>
      </c>
      <c r="CB172" s="133">
        <f t="shared" si="235"/>
        <v>3.9955893132068248</v>
      </c>
      <c r="CC172" s="133">
        <f t="shared" si="235"/>
        <v>6.2234666589466441</v>
      </c>
      <c r="CD172" s="133">
        <f t="shared" si="235"/>
        <v>9.4397055676419015</v>
      </c>
      <c r="CE172" s="133">
        <f t="shared" si="235"/>
        <v>7.7502711017364643</v>
      </c>
      <c r="CF172" s="133">
        <f t="shared" si="235"/>
        <v>8.9935401295187862</v>
      </c>
      <c r="CG172" s="133">
        <f t="shared" si="235"/>
        <v>10.859516338215423</v>
      </c>
      <c r="CH172" s="133">
        <f t="shared" si="235"/>
        <v>10.264673089566232</v>
      </c>
      <c r="CI172" s="133">
        <f t="shared" si="235"/>
        <v>8.1299165471901365</v>
      </c>
      <c r="CJ172" s="133">
        <f t="shared" si="235"/>
        <v>11.781610273459089</v>
      </c>
      <c r="CK172" s="133">
        <f t="shared" si="235"/>
        <v>10.404658236430739</v>
      </c>
      <c r="CL172" s="133">
        <f t="shared" si="235"/>
        <v>4.164257269614696</v>
      </c>
      <c r="CM172" s="133">
        <f t="shared" si="235"/>
        <v>6.2405603331492401</v>
      </c>
      <c r="CN172" s="133">
        <f t="shared" si="235"/>
        <v>10.137130336227139</v>
      </c>
      <c r="CO172" s="133">
        <f t="shared" si="235"/>
        <v>6.9965344357864501</v>
      </c>
      <c r="CP172" s="133">
        <f t="shared" si="235"/>
        <v>9.3015089703531508</v>
      </c>
      <c r="CQ172" s="133">
        <f t="shared" si="235"/>
        <v>6.2488204327874302</v>
      </c>
      <c r="CR172" s="133">
        <f t="shared" si="235"/>
        <v>6.8953236587227975</v>
      </c>
      <c r="CS172" s="133">
        <f t="shared" si="235"/>
        <v>10.428915443611041</v>
      </c>
      <c r="CT172" s="133">
        <f t="shared" si="235"/>
        <v>7.853253030056484</v>
      </c>
      <c r="CU172" s="133">
        <f t="shared" si="235"/>
        <v>8.9968915005314987</v>
      </c>
      <c r="CV172" s="133">
        <f t="shared" si="235"/>
        <v>5.8085857796595715</v>
      </c>
      <c r="CW172" s="133">
        <f t="shared" si="235"/>
        <v>9.4003580275648861</v>
      </c>
      <c r="CX172" s="133">
        <f t="shared" si="235"/>
        <v>10.304111725937696</v>
      </c>
      <c r="CY172" s="133">
        <f t="shared" si="235"/>
        <v>6.9224088295470345</v>
      </c>
      <c r="CZ172" s="133">
        <f t="shared" si="235"/>
        <v>8.0769648000193186</v>
      </c>
      <c r="DA172" s="133">
        <f t="shared" si="235"/>
        <v>6.5452743196645518</v>
      </c>
    </row>
    <row r="173" spans="5:105">
      <c r="E173" s="137" t="s">
        <v>160</v>
      </c>
      <c r="F173" s="133">
        <f t="shared" ref="F173:BQ173" si="236">((400*(F141*F167/100)^0.42)/(((F141*F167/100)^0.42)+27.13))+0.1</f>
        <v>13.047263118560837</v>
      </c>
      <c r="G173" s="133">
        <f t="shared" si="236"/>
        <v>13.047263118560837</v>
      </c>
      <c r="H173" s="133">
        <f t="shared" si="236"/>
        <v>13.047263118560837</v>
      </c>
      <c r="I173" s="133">
        <f t="shared" si="236"/>
        <v>13.047263118560837</v>
      </c>
      <c r="J173" s="133">
        <f t="shared" si="236"/>
        <v>13.047263118560837</v>
      </c>
      <c r="K173" s="133">
        <f t="shared" si="236"/>
        <v>13.047263118560837</v>
      </c>
      <c r="L173" s="133">
        <f t="shared" si="236"/>
        <v>13.047263118560837</v>
      </c>
      <c r="M173" s="133">
        <f t="shared" si="236"/>
        <v>13.047263118560837</v>
      </c>
      <c r="N173" s="133">
        <f t="shared" si="236"/>
        <v>13.047263118560837</v>
      </c>
      <c r="O173" s="133">
        <f t="shared" si="236"/>
        <v>13.047263118560837</v>
      </c>
      <c r="P173" s="133">
        <f t="shared" si="236"/>
        <v>13.047263118560837</v>
      </c>
      <c r="Q173" s="133">
        <f t="shared" si="236"/>
        <v>13.047263118560837</v>
      </c>
      <c r="R173" s="133">
        <f t="shared" si="236"/>
        <v>13.047263118560837</v>
      </c>
      <c r="S173" s="133">
        <f t="shared" si="236"/>
        <v>13.047263118560837</v>
      </c>
      <c r="T173" s="133">
        <f t="shared" si="236"/>
        <v>13.047263118560837</v>
      </c>
      <c r="U173" s="133">
        <f t="shared" si="236"/>
        <v>13.047263118560837</v>
      </c>
      <c r="V173" s="133">
        <f t="shared" si="236"/>
        <v>13.047263118560837</v>
      </c>
      <c r="W173" s="133">
        <f t="shared" si="236"/>
        <v>13.047263118560837</v>
      </c>
      <c r="X173" s="133">
        <f t="shared" si="236"/>
        <v>13.047263118560837</v>
      </c>
      <c r="Y173" s="133">
        <f t="shared" si="236"/>
        <v>13.047263118560837</v>
      </c>
      <c r="Z173" s="133">
        <f t="shared" si="236"/>
        <v>13.047263118560837</v>
      </c>
      <c r="AA173" s="133">
        <f t="shared" si="236"/>
        <v>13.047263118560837</v>
      </c>
      <c r="AB173" s="133">
        <f t="shared" si="236"/>
        <v>13.047263118560837</v>
      </c>
      <c r="AC173" s="133">
        <f t="shared" si="236"/>
        <v>13.047263118560837</v>
      </c>
      <c r="AD173" s="133">
        <f t="shared" si="236"/>
        <v>13.047263118560837</v>
      </c>
      <c r="AE173" s="133">
        <f t="shared" si="236"/>
        <v>13.047263118560837</v>
      </c>
      <c r="AF173" s="133">
        <f t="shared" si="236"/>
        <v>13.047263118560837</v>
      </c>
      <c r="AG173" s="133">
        <f t="shared" si="236"/>
        <v>13.047263118560837</v>
      </c>
      <c r="AH173" s="133">
        <f t="shared" si="236"/>
        <v>13.047263118560837</v>
      </c>
      <c r="AI173" s="133">
        <f t="shared" si="236"/>
        <v>13.047263118560837</v>
      </c>
      <c r="AJ173" s="133">
        <f t="shared" si="236"/>
        <v>13.047263118560837</v>
      </c>
      <c r="AK173" s="133">
        <f t="shared" si="236"/>
        <v>13.047263118560837</v>
      </c>
      <c r="AL173" s="133">
        <f t="shared" si="236"/>
        <v>13.047263118560837</v>
      </c>
      <c r="AM173" s="133">
        <f t="shared" si="236"/>
        <v>13.047263118560837</v>
      </c>
      <c r="AN173" s="133">
        <f t="shared" si="236"/>
        <v>13.047263118560837</v>
      </c>
      <c r="AO173" s="133">
        <f t="shared" si="236"/>
        <v>13.047263118560837</v>
      </c>
      <c r="AP173" s="133">
        <f t="shared" si="236"/>
        <v>13.047263118560837</v>
      </c>
      <c r="AQ173" s="133">
        <f t="shared" si="236"/>
        <v>13.047263118560837</v>
      </c>
      <c r="AR173" s="133">
        <f t="shared" si="236"/>
        <v>13.047263118560837</v>
      </c>
      <c r="AS173" s="133">
        <f t="shared" si="236"/>
        <v>13.047263118560837</v>
      </c>
      <c r="AT173" s="133">
        <f t="shared" si="236"/>
        <v>13.047263118560837</v>
      </c>
      <c r="AU173" s="133">
        <f t="shared" si="236"/>
        <v>13.047263118560837</v>
      </c>
      <c r="AV173" s="133">
        <f t="shared" si="236"/>
        <v>13.047263118560837</v>
      </c>
      <c r="AW173" s="133">
        <f t="shared" si="236"/>
        <v>13.047263118560837</v>
      </c>
      <c r="AX173" s="133">
        <f t="shared" si="236"/>
        <v>13.047263118560837</v>
      </c>
      <c r="AY173" s="133">
        <f t="shared" si="236"/>
        <v>13.047263118560837</v>
      </c>
      <c r="AZ173" s="133">
        <f t="shared" si="236"/>
        <v>13.047263118560837</v>
      </c>
      <c r="BA173" s="133">
        <f t="shared" si="236"/>
        <v>13.047263118560837</v>
      </c>
      <c r="BB173" s="133">
        <f t="shared" si="236"/>
        <v>13.047263118560837</v>
      </c>
      <c r="BC173" s="133">
        <f t="shared" si="236"/>
        <v>13.047263118560837</v>
      </c>
      <c r="BD173" s="133">
        <f t="shared" si="236"/>
        <v>13.047263118560837</v>
      </c>
      <c r="BE173" s="133">
        <f t="shared" si="236"/>
        <v>13.047263118560837</v>
      </c>
      <c r="BF173" s="133">
        <f t="shared" si="236"/>
        <v>13.047263118560837</v>
      </c>
      <c r="BG173" s="133">
        <f t="shared" si="236"/>
        <v>13.047263118560837</v>
      </c>
      <c r="BH173" s="133">
        <f t="shared" si="236"/>
        <v>13.047263118560837</v>
      </c>
      <c r="BI173" s="133">
        <f t="shared" si="236"/>
        <v>13.047263118560837</v>
      </c>
      <c r="BJ173" s="133">
        <f t="shared" si="236"/>
        <v>13.047263118560837</v>
      </c>
      <c r="BK173" s="133">
        <f t="shared" si="236"/>
        <v>13.047263118560837</v>
      </c>
      <c r="BL173" s="133">
        <f t="shared" si="236"/>
        <v>13.047263118560837</v>
      </c>
      <c r="BM173" s="133">
        <f t="shared" si="236"/>
        <v>13.047263118560837</v>
      </c>
      <c r="BN173" s="133">
        <f t="shared" si="236"/>
        <v>13.047263118560837</v>
      </c>
      <c r="BO173" s="133">
        <f t="shared" si="236"/>
        <v>13.047263118560837</v>
      </c>
      <c r="BP173" s="133">
        <f t="shared" si="236"/>
        <v>13.047263118560837</v>
      </c>
      <c r="BQ173" s="133">
        <f t="shared" si="236"/>
        <v>13.047263118560837</v>
      </c>
      <c r="BR173" s="133">
        <f t="shared" ref="BR173:DA173" si="237">((400*(BR141*BR167/100)^0.42)/(((BR141*BR167/100)^0.42)+27.13))+0.1</f>
        <v>13.047263118560837</v>
      </c>
      <c r="BS173" s="133">
        <f t="shared" si="237"/>
        <v>13.047263118560837</v>
      </c>
      <c r="BT173" s="133">
        <f t="shared" si="237"/>
        <v>13.047263118560837</v>
      </c>
      <c r="BU173" s="133">
        <f t="shared" si="237"/>
        <v>13.047263118560837</v>
      </c>
      <c r="BV173" s="133">
        <f t="shared" si="237"/>
        <v>13.047263118560837</v>
      </c>
      <c r="BW173" s="133">
        <f t="shared" si="237"/>
        <v>13.047263118560837</v>
      </c>
      <c r="BX173" s="133">
        <f t="shared" si="237"/>
        <v>13.047263118560837</v>
      </c>
      <c r="BY173" s="133">
        <f t="shared" si="237"/>
        <v>13.047263118560837</v>
      </c>
      <c r="BZ173" s="133">
        <f t="shared" si="237"/>
        <v>13.047263118560837</v>
      </c>
      <c r="CA173" s="133">
        <f t="shared" si="237"/>
        <v>13.047263118560837</v>
      </c>
      <c r="CB173" s="133">
        <f t="shared" si="237"/>
        <v>13.047263118560837</v>
      </c>
      <c r="CC173" s="133">
        <f t="shared" si="237"/>
        <v>13.047263118560837</v>
      </c>
      <c r="CD173" s="133">
        <f t="shared" si="237"/>
        <v>13.047263118560837</v>
      </c>
      <c r="CE173" s="133">
        <f t="shared" si="237"/>
        <v>13.047263118560837</v>
      </c>
      <c r="CF173" s="133">
        <f t="shared" si="237"/>
        <v>13.047263118560837</v>
      </c>
      <c r="CG173" s="133">
        <f t="shared" si="237"/>
        <v>13.047263118560837</v>
      </c>
      <c r="CH173" s="133">
        <f t="shared" si="237"/>
        <v>13.047263118560837</v>
      </c>
      <c r="CI173" s="133">
        <f t="shared" si="237"/>
        <v>13.047263118560837</v>
      </c>
      <c r="CJ173" s="133">
        <f t="shared" si="237"/>
        <v>13.047263118560837</v>
      </c>
      <c r="CK173" s="133">
        <f t="shared" si="237"/>
        <v>13.047263118560837</v>
      </c>
      <c r="CL173" s="133">
        <f t="shared" si="237"/>
        <v>13.047263118560837</v>
      </c>
      <c r="CM173" s="133">
        <f t="shared" si="237"/>
        <v>13.047263118560837</v>
      </c>
      <c r="CN173" s="133">
        <f t="shared" si="237"/>
        <v>13.047263118560837</v>
      </c>
      <c r="CO173" s="133">
        <f t="shared" si="237"/>
        <v>13.047263118560837</v>
      </c>
      <c r="CP173" s="133">
        <f t="shared" si="237"/>
        <v>13.047263118560837</v>
      </c>
      <c r="CQ173" s="133">
        <f t="shared" si="237"/>
        <v>13.047263118560837</v>
      </c>
      <c r="CR173" s="133">
        <f t="shared" si="237"/>
        <v>13.047263118560837</v>
      </c>
      <c r="CS173" s="133">
        <f t="shared" si="237"/>
        <v>13.047263118560837</v>
      </c>
      <c r="CT173" s="133">
        <f t="shared" si="237"/>
        <v>13.047263118560837</v>
      </c>
      <c r="CU173" s="133">
        <f t="shared" si="237"/>
        <v>13.047263118560837</v>
      </c>
      <c r="CV173" s="133">
        <f t="shared" si="237"/>
        <v>13.047263118560837</v>
      </c>
      <c r="CW173" s="133">
        <f t="shared" si="237"/>
        <v>13.047263118560837</v>
      </c>
      <c r="CX173" s="133">
        <f t="shared" si="237"/>
        <v>13.047263118560837</v>
      </c>
      <c r="CY173" s="133">
        <f t="shared" si="237"/>
        <v>13.047263118560837</v>
      </c>
      <c r="CZ173" s="133">
        <f t="shared" si="237"/>
        <v>13.047263118560837</v>
      </c>
      <c r="DA173" s="133">
        <f t="shared" si="237"/>
        <v>13.047263118560837</v>
      </c>
    </row>
    <row r="174" spans="5:105">
      <c r="E174" s="137" t="s">
        <v>161</v>
      </c>
      <c r="F174" s="133">
        <f t="shared" ref="F174:BQ174" si="238">((400*(F141*F168/100)^0.42)/(((F141*F168/100)^0.42)+27.13))+0.1</f>
        <v>13.047210500554204</v>
      </c>
      <c r="G174" s="133">
        <f t="shared" si="238"/>
        <v>13.047210500554204</v>
      </c>
      <c r="H174" s="133">
        <f t="shared" si="238"/>
        <v>13.047210500554204</v>
      </c>
      <c r="I174" s="133">
        <f t="shared" si="238"/>
        <v>13.047210500554204</v>
      </c>
      <c r="J174" s="133">
        <f t="shared" si="238"/>
        <v>13.047210500554204</v>
      </c>
      <c r="K174" s="133">
        <f t="shared" si="238"/>
        <v>13.047210500554204</v>
      </c>
      <c r="L174" s="133">
        <f t="shared" si="238"/>
        <v>13.047210500554204</v>
      </c>
      <c r="M174" s="133">
        <f t="shared" si="238"/>
        <v>13.047210500554204</v>
      </c>
      <c r="N174" s="133">
        <f t="shared" si="238"/>
        <v>13.047210500554204</v>
      </c>
      <c r="O174" s="133">
        <f t="shared" si="238"/>
        <v>13.047210500554204</v>
      </c>
      <c r="P174" s="133">
        <f t="shared" si="238"/>
        <v>13.047210500554204</v>
      </c>
      <c r="Q174" s="133">
        <f t="shared" si="238"/>
        <v>13.047210500554204</v>
      </c>
      <c r="R174" s="133">
        <f t="shared" si="238"/>
        <v>13.047210500554204</v>
      </c>
      <c r="S174" s="133">
        <f t="shared" si="238"/>
        <v>13.047210500554204</v>
      </c>
      <c r="T174" s="133">
        <f t="shared" si="238"/>
        <v>13.047210500554204</v>
      </c>
      <c r="U174" s="133">
        <f t="shared" si="238"/>
        <v>13.047210500554204</v>
      </c>
      <c r="V174" s="133">
        <f t="shared" si="238"/>
        <v>13.047210500554204</v>
      </c>
      <c r="W174" s="133">
        <f t="shared" si="238"/>
        <v>13.047210500554204</v>
      </c>
      <c r="X174" s="133">
        <f t="shared" si="238"/>
        <v>13.047210500554204</v>
      </c>
      <c r="Y174" s="133">
        <f t="shared" si="238"/>
        <v>13.047210500554204</v>
      </c>
      <c r="Z174" s="133">
        <f t="shared" si="238"/>
        <v>13.047210500554204</v>
      </c>
      <c r="AA174" s="133">
        <f t="shared" si="238"/>
        <v>13.047210500554204</v>
      </c>
      <c r="AB174" s="133">
        <f t="shared" si="238"/>
        <v>13.047210500554204</v>
      </c>
      <c r="AC174" s="133">
        <f t="shared" si="238"/>
        <v>13.047210500554204</v>
      </c>
      <c r="AD174" s="133">
        <f t="shared" si="238"/>
        <v>13.047210500554204</v>
      </c>
      <c r="AE174" s="133">
        <f t="shared" si="238"/>
        <v>13.047210500554204</v>
      </c>
      <c r="AF174" s="133">
        <f t="shared" si="238"/>
        <v>13.047210500554204</v>
      </c>
      <c r="AG174" s="133">
        <f t="shared" si="238"/>
        <v>13.047210500554204</v>
      </c>
      <c r="AH174" s="133">
        <f t="shared" si="238"/>
        <v>13.047210500554204</v>
      </c>
      <c r="AI174" s="133">
        <f t="shared" si="238"/>
        <v>13.047210500554204</v>
      </c>
      <c r="AJ174" s="133">
        <f t="shared" si="238"/>
        <v>13.047210500554204</v>
      </c>
      <c r="AK174" s="133">
        <f t="shared" si="238"/>
        <v>13.047210500554204</v>
      </c>
      <c r="AL174" s="133">
        <f t="shared" si="238"/>
        <v>13.047210500554204</v>
      </c>
      <c r="AM174" s="133">
        <f t="shared" si="238"/>
        <v>13.047210500554204</v>
      </c>
      <c r="AN174" s="133">
        <f t="shared" si="238"/>
        <v>13.047210500554204</v>
      </c>
      <c r="AO174" s="133">
        <f t="shared" si="238"/>
        <v>13.047210500554204</v>
      </c>
      <c r="AP174" s="133">
        <f t="shared" si="238"/>
        <v>13.047210500554204</v>
      </c>
      <c r="AQ174" s="133">
        <f t="shared" si="238"/>
        <v>13.047210500554204</v>
      </c>
      <c r="AR174" s="133">
        <f t="shared" si="238"/>
        <v>13.047210500554204</v>
      </c>
      <c r="AS174" s="133">
        <f t="shared" si="238"/>
        <v>13.047210500554204</v>
      </c>
      <c r="AT174" s="133">
        <f t="shared" si="238"/>
        <v>13.047210500554204</v>
      </c>
      <c r="AU174" s="133">
        <f t="shared" si="238"/>
        <v>13.047210500554204</v>
      </c>
      <c r="AV174" s="133">
        <f t="shared" si="238"/>
        <v>13.047210500554204</v>
      </c>
      <c r="AW174" s="133">
        <f t="shared" si="238"/>
        <v>13.047210500554204</v>
      </c>
      <c r="AX174" s="133">
        <f t="shared" si="238"/>
        <v>13.047210500554204</v>
      </c>
      <c r="AY174" s="133">
        <f t="shared" si="238"/>
        <v>13.047210500554204</v>
      </c>
      <c r="AZ174" s="133">
        <f t="shared" si="238"/>
        <v>13.047210500554204</v>
      </c>
      <c r="BA174" s="133">
        <f t="shared" si="238"/>
        <v>13.047210500554204</v>
      </c>
      <c r="BB174" s="133">
        <f t="shared" si="238"/>
        <v>13.047210500554204</v>
      </c>
      <c r="BC174" s="133">
        <f t="shared" si="238"/>
        <v>13.047210500554204</v>
      </c>
      <c r="BD174" s="133">
        <f t="shared" si="238"/>
        <v>13.047210500554204</v>
      </c>
      <c r="BE174" s="133">
        <f t="shared" si="238"/>
        <v>13.047210500554204</v>
      </c>
      <c r="BF174" s="133">
        <f t="shared" si="238"/>
        <v>13.047210500554204</v>
      </c>
      <c r="BG174" s="133">
        <f t="shared" si="238"/>
        <v>13.047210500554204</v>
      </c>
      <c r="BH174" s="133">
        <f t="shared" si="238"/>
        <v>13.047210500554204</v>
      </c>
      <c r="BI174" s="133">
        <f t="shared" si="238"/>
        <v>13.047210500554204</v>
      </c>
      <c r="BJ174" s="133">
        <f t="shared" si="238"/>
        <v>13.047210500554204</v>
      </c>
      <c r="BK174" s="133">
        <f t="shared" si="238"/>
        <v>13.047210500554204</v>
      </c>
      <c r="BL174" s="133">
        <f t="shared" si="238"/>
        <v>13.047210500554204</v>
      </c>
      <c r="BM174" s="133">
        <f t="shared" si="238"/>
        <v>13.047210500554204</v>
      </c>
      <c r="BN174" s="133">
        <f t="shared" si="238"/>
        <v>13.047210500554204</v>
      </c>
      <c r="BO174" s="133">
        <f t="shared" si="238"/>
        <v>13.047210500554204</v>
      </c>
      <c r="BP174" s="133">
        <f t="shared" si="238"/>
        <v>13.047210500554204</v>
      </c>
      <c r="BQ174" s="133">
        <f t="shared" si="238"/>
        <v>13.047210500554204</v>
      </c>
      <c r="BR174" s="133">
        <f t="shared" ref="BR174:DA174" si="239">((400*(BR141*BR168/100)^0.42)/(((BR141*BR168/100)^0.42)+27.13))+0.1</f>
        <v>13.047210500554204</v>
      </c>
      <c r="BS174" s="133">
        <f t="shared" si="239"/>
        <v>13.047210500554204</v>
      </c>
      <c r="BT174" s="133">
        <f t="shared" si="239"/>
        <v>13.047210500554204</v>
      </c>
      <c r="BU174" s="133">
        <f t="shared" si="239"/>
        <v>13.047210500554204</v>
      </c>
      <c r="BV174" s="133">
        <f t="shared" si="239"/>
        <v>13.047210500554204</v>
      </c>
      <c r="BW174" s="133">
        <f t="shared" si="239"/>
        <v>13.047210500554204</v>
      </c>
      <c r="BX174" s="133">
        <f t="shared" si="239"/>
        <v>13.047210500554204</v>
      </c>
      <c r="BY174" s="133">
        <f t="shared" si="239"/>
        <v>13.047210500554204</v>
      </c>
      <c r="BZ174" s="133">
        <f t="shared" si="239"/>
        <v>13.047210500554204</v>
      </c>
      <c r="CA174" s="133">
        <f t="shared" si="239"/>
        <v>13.047210500554204</v>
      </c>
      <c r="CB174" s="133">
        <f t="shared" si="239"/>
        <v>13.047210500554204</v>
      </c>
      <c r="CC174" s="133">
        <f t="shared" si="239"/>
        <v>13.047210500554204</v>
      </c>
      <c r="CD174" s="133">
        <f t="shared" si="239"/>
        <v>13.047210500554204</v>
      </c>
      <c r="CE174" s="133">
        <f t="shared" si="239"/>
        <v>13.047210500554204</v>
      </c>
      <c r="CF174" s="133">
        <f t="shared" si="239"/>
        <v>13.047210500554204</v>
      </c>
      <c r="CG174" s="133">
        <f t="shared" si="239"/>
        <v>13.047210500554204</v>
      </c>
      <c r="CH174" s="133">
        <f t="shared" si="239"/>
        <v>13.047210500554204</v>
      </c>
      <c r="CI174" s="133">
        <f t="shared" si="239"/>
        <v>13.047210500554204</v>
      </c>
      <c r="CJ174" s="133">
        <f t="shared" si="239"/>
        <v>13.047210500554204</v>
      </c>
      <c r="CK174" s="133">
        <f t="shared" si="239"/>
        <v>13.047210500554204</v>
      </c>
      <c r="CL174" s="133">
        <f t="shared" si="239"/>
        <v>13.047210500554204</v>
      </c>
      <c r="CM174" s="133">
        <f t="shared" si="239"/>
        <v>13.047210500554204</v>
      </c>
      <c r="CN174" s="133">
        <f t="shared" si="239"/>
        <v>13.047210500554204</v>
      </c>
      <c r="CO174" s="133">
        <f t="shared" si="239"/>
        <v>13.047210500554204</v>
      </c>
      <c r="CP174" s="133">
        <f t="shared" si="239"/>
        <v>13.047210500554204</v>
      </c>
      <c r="CQ174" s="133">
        <f t="shared" si="239"/>
        <v>13.047210500554204</v>
      </c>
      <c r="CR174" s="133">
        <f t="shared" si="239"/>
        <v>13.047210500554204</v>
      </c>
      <c r="CS174" s="133">
        <f t="shared" si="239"/>
        <v>13.047210500554204</v>
      </c>
      <c r="CT174" s="133">
        <f t="shared" si="239"/>
        <v>13.047210500554204</v>
      </c>
      <c r="CU174" s="133">
        <f t="shared" si="239"/>
        <v>13.047210500554204</v>
      </c>
      <c r="CV174" s="133">
        <f t="shared" si="239"/>
        <v>13.047210500554204</v>
      </c>
      <c r="CW174" s="133">
        <f t="shared" si="239"/>
        <v>13.047210500554204</v>
      </c>
      <c r="CX174" s="133">
        <f t="shared" si="239"/>
        <v>13.047210500554204</v>
      </c>
      <c r="CY174" s="133">
        <f t="shared" si="239"/>
        <v>13.047210500554204</v>
      </c>
      <c r="CZ174" s="133">
        <f t="shared" si="239"/>
        <v>13.047210500554204</v>
      </c>
      <c r="DA174" s="133">
        <f t="shared" si="239"/>
        <v>13.047210500554204</v>
      </c>
    </row>
    <row r="175" spans="5:105">
      <c r="E175" s="137" t="s">
        <v>162</v>
      </c>
      <c r="F175" s="133">
        <f t="shared" ref="F175:BQ175" si="240">((400*(F141*F169/100)^0.42)/(((F141*F169/100)^0.42)+27.13))+0.1</f>
        <v>13.047210500554202</v>
      </c>
      <c r="G175" s="133">
        <f t="shared" si="240"/>
        <v>13.047210500554202</v>
      </c>
      <c r="H175" s="133">
        <f t="shared" si="240"/>
        <v>13.047210500554202</v>
      </c>
      <c r="I175" s="133">
        <f t="shared" si="240"/>
        <v>13.047210500554202</v>
      </c>
      <c r="J175" s="133">
        <f t="shared" si="240"/>
        <v>13.047210500554202</v>
      </c>
      <c r="K175" s="133">
        <f t="shared" si="240"/>
        <v>13.047210500554202</v>
      </c>
      <c r="L175" s="133">
        <f t="shared" si="240"/>
        <v>13.047210500554202</v>
      </c>
      <c r="M175" s="133">
        <f t="shared" si="240"/>
        <v>13.047210500554202</v>
      </c>
      <c r="N175" s="133">
        <f t="shared" si="240"/>
        <v>13.047210500554202</v>
      </c>
      <c r="O175" s="133">
        <f t="shared" si="240"/>
        <v>13.047210500554202</v>
      </c>
      <c r="P175" s="133">
        <f t="shared" si="240"/>
        <v>13.047210500554202</v>
      </c>
      <c r="Q175" s="133">
        <f t="shared" si="240"/>
        <v>13.047210500554202</v>
      </c>
      <c r="R175" s="133">
        <f t="shared" si="240"/>
        <v>13.047210500554202</v>
      </c>
      <c r="S175" s="133">
        <f t="shared" si="240"/>
        <v>13.047210500554202</v>
      </c>
      <c r="T175" s="133">
        <f t="shared" si="240"/>
        <v>13.047210500554202</v>
      </c>
      <c r="U175" s="133">
        <f t="shared" si="240"/>
        <v>13.047210500554202</v>
      </c>
      <c r="V175" s="133">
        <f t="shared" si="240"/>
        <v>13.047210500554202</v>
      </c>
      <c r="W175" s="133">
        <f t="shared" si="240"/>
        <v>13.047210500554202</v>
      </c>
      <c r="X175" s="133">
        <f t="shared" si="240"/>
        <v>13.047210500554202</v>
      </c>
      <c r="Y175" s="133">
        <f t="shared" si="240"/>
        <v>13.047210500554202</v>
      </c>
      <c r="Z175" s="133">
        <f t="shared" si="240"/>
        <v>13.047210500554202</v>
      </c>
      <c r="AA175" s="133">
        <f t="shared" si="240"/>
        <v>13.047210500554202</v>
      </c>
      <c r="AB175" s="133">
        <f t="shared" si="240"/>
        <v>13.047210500554202</v>
      </c>
      <c r="AC175" s="133">
        <f t="shared" si="240"/>
        <v>13.047210500554202</v>
      </c>
      <c r="AD175" s="133">
        <f t="shared" si="240"/>
        <v>13.047210500554202</v>
      </c>
      <c r="AE175" s="133">
        <f t="shared" si="240"/>
        <v>13.047210500554202</v>
      </c>
      <c r="AF175" s="133">
        <f t="shared" si="240"/>
        <v>13.047210500554202</v>
      </c>
      <c r="AG175" s="133">
        <f t="shared" si="240"/>
        <v>13.047210500554202</v>
      </c>
      <c r="AH175" s="133">
        <f t="shared" si="240"/>
        <v>13.047210500554202</v>
      </c>
      <c r="AI175" s="133">
        <f t="shared" si="240"/>
        <v>13.047210500554202</v>
      </c>
      <c r="AJ175" s="133">
        <f t="shared" si="240"/>
        <v>13.047210500554202</v>
      </c>
      <c r="AK175" s="133">
        <f t="shared" si="240"/>
        <v>13.047210500554202</v>
      </c>
      <c r="AL175" s="133">
        <f t="shared" si="240"/>
        <v>13.047210500554202</v>
      </c>
      <c r="AM175" s="133">
        <f t="shared" si="240"/>
        <v>13.047210500554202</v>
      </c>
      <c r="AN175" s="133">
        <f t="shared" si="240"/>
        <v>13.047210500554202</v>
      </c>
      <c r="AO175" s="133">
        <f t="shared" si="240"/>
        <v>13.047210500554202</v>
      </c>
      <c r="AP175" s="133">
        <f t="shared" si="240"/>
        <v>13.047210500554202</v>
      </c>
      <c r="AQ175" s="133">
        <f t="shared" si="240"/>
        <v>13.047210500554202</v>
      </c>
      <c r="AR175" s="133">
        <f t="shared" si="240"/>
        <v>13.047210500554202</v>
      </c>
      <c r="AS175" s="133">
        <f t="shared" si="240"/>
        <v>13.047210500554202</v>
      </c>
      <c r="AT175" s="133">
        <f t="shared" si="240"/>
        <v>13.047210500554202</v>
      </c>
      <c r="AU175" s="133">
        <f t="shared" si="240"/>
        <v>13.047210500554202</v>
      </c>
      <c r="AV175" s="133">
        <f t="shared" si="240"/>
        <v>13.047210500554202</v>
      </c>
      <c r="AW175" s="133">
        <f t="shared" si="240"/>
        <v>13.047210500554202</v>
      </c>
      <c r="AX175" s="133">
        <f t="shared" si="240"/>
        <v>13.047210500554202</v>
      </c>
      <c r="AY175" s="133">
        <f t="shared" si="240"/>
        <v>13.047210500554202</v>
      </c>
      <c r="AZ175" s="133">
        <f t="shared" si="240"/>
        <v>13.047210500554202</v>
      </c>
      <c r="BA175" s="133">
        <f t="shared" si="240"/>
        <v>13.047210500554202</v>
      </c>
      <c r="BB175" s="133">
        <f t="shared" si="240"/>
        <v>13.047210500554202</v>
      </c>
      <c r="BC175" s="133">
        <f t="shared" si="240"/>
        <v>13.047210500554202</v>
      </c>
      <c r="BD175" s="133">
        <f t="shared" si="240"/>
        <v>13.047210500554202</v>
      </c>
      <c r="BE175" s="133">
        <f t="shared" si="240"/>
        <v>13.047210500554202</v>
      </c>
      <c r="BF175" s="133">
        <f t="shared" si="240"/>
        <v>13.047210500554202</v>
      </c>
      <c r="BG175" s="133">
        <f t="shared" si="240"/>
        <v>13.047210500554202</v>
      </c>
      <c r="BH175" s="133">
        <f t="shared" si="240"/>
        <v>13.047210500554202</v>
      </c>
      <c r="BI175" s="133">
        <f t="shared" si="240"/>
        <v>13.047210500554202</v>
      </c>
      <c r="BJ175" s="133">
        <f t="shared" si="240"/>
        <v>13.047210500554202</v>
      </c>
      <c r="BK175" s="133">
        <f t="shared" si="240"/>
        <v>13.047210500554202</v>
      </c>
      <c r="BL175" s="133">
        <f t="shared" si="240"/>
        <v>13.047210500554202</v>
      </c>
      <c r="BM175" s="133">
        <f t="shared" si="240"/>
        <v>13.047210500554202</v>
      </c>
      <c r="BN175" s="133">
        <f t="shared" si="240"/>
        <v>13.047210500554202</v>
      </c>
      <c r="BO175" s="133">
        <f t="shared" si="240"/>
        <v>13.047210500554202</v>
      </c>
      <c r="BP175" s="133">
        <f t="shared" si="240"/>
        <v>13.047210500554202</v>
      </c>
      <c r="BQ175" s="133">
        <f t="shared" si="240"/>
        <v>13.047210500554202</v>
      </c>
      <c r="BR175" s="133">
        <f t="shared" ref="BR175:DA175" si="241">((400*(BR141*BR169/100)^0.42)/(((BR141*BR169/100)^0.42)+27.13))+0.1</f>
        <v>13.047210500554202</v>
      </c>
      <c r="BS175" s="133">
        <f t="shared" si="241"/>
        <v>13.047210500554202</v>
      </c>
      <c r="BT175" s="133">
        <f t="shared" si="241"/>
        <v>13.047210500554202</v>
      </c>
      <c r="BU175" s="133">
        <f t="shared" si="241"/>
        <v>13.047210500554202</v>
      </c>
      <c r="BV175" s="133">
        <f t="shared" si="241"/>
        <v>13.047210500554202</v>
      </c>
      <c r="BW175" s="133">
        <f t="shared" si="241"/>
        <v>13.047210500554202</v>
      </c>
      <c r="BX175" s="133">
        <f t="shared" si="241"/>
        <v>13.047210500554202</v>
      </c>
      <c r="BY175" s="133">
        <f t="shared" si="241"/>
        <v>13.047210500554202</v>
      </c>
      <c r="BZ175" s="133">
        <f t="shared" si="241"/>
        <v>13.047210500554202</v>
      </c>
      <c r="CA175" s="133">
        <f t="shared" si="241"/>
        <v>13.047210500554202</v>
      </c>
      <c r="CB175" s="133">
        <f t="shared" si="241"/>
        <v>13.047210500554202</v>
      </c>
      <c r="CC175" s="133">
        <f t="shared" si="241"/>
        <v>13.047210500554202</v>
      </c>
      <c r="CD175" s="133">
        <f t="shared" si="241"/>
        <v>13.047210500554202</v>
      </c>
      <c r="CE175" s="133">
        <f t="shared" si="241"/>
        <v>13.047210500554202</v>
      </c>
      <c r="CF175" s="133">
        <f t="shared" si="241"/>
        <v>13.047210500554202</v>
      </c>
      <c r="CG175" s="133">
        <f t="shared" si="241"/>
        <v>13.047210500554202</v>
      </c>
      <c r="CH175" s="133">
        <f t="shared" si="241"/>
        <v>13.047210500554202</v>
      </c>
      <c r="CI175" s="133">
        <f t="shared" si="241"/>
        <v>13.047210500554202</v>
      </c>
      <c r="CJ175" s="133">
        <f t="shared" si="241"/>
        <v>13.047210500554202</v>
      </c>
      <c r="CK175" s="133">
        <f t="shared" si="241"/>
        <v>13.047210500554202</v>
      </c>
      <c r="CL175" s="133">
        <f t="shared" si="241"/>
        <v>13.047210500554202</v>
      </c>
      <c r="CM175" s="133">
        <f t="shared" si="241"/>
        <v>13.047210500554202</v>
      </c>
      <c r="CN175" s="133">
        <f t="shared" si="241"/>
        <v>13.047210500554202</v>
      </c>
      <c r="CO175" s="133">
        <f t="shared" si="241"/>
        <v>13.047210500554202</v>
      </c>
      <c r="CP175" s="133">
        <f t="shared" si="241"/>
        <v>13.047210500554202</v>
      </c>
      <c r="CQ175" s="133">
        <f t="shared" si="241"/>
        <v>13.047210500554202</v>
      </c>
      <c r="CR175" s="133">
        <f t="shared" si="241"/>
        <v>13.047210500554202</v>
      </c>
      <c r="CS175" s="133">
        <f t="shared" si="241"/>
        <v>13.047210500554202</v>
      </c>
      <c r="CT175" s="133">
        <f t="shared" si="241"/>
        <v>13.047210500554202</v>
      </c>
      <c r="CU175" s="133">
        <f t="shared" si="241"/>
        <v>13.047210500554202</v>
      </c>
      <c r="CV175" s="133">
        <f t="shared" si="241"/>
        <v>13.047210500554202</v>
      </c>
      <c r="CW175" s="133">
        <f t="shared" si="241"/>
        <v>13.047210500554202</v>
      </c>
      <c r="CX175" s="133">
        <f t="shared" si="241"/>
        <v>13.047210500554202</v>
      </c>
      <c r="CY175" s="133">
        <f t="shared" si="241"/>
        <v>13.047210500554202</v>
      </c>
      <c r="CZ175" s="133">
        <f t="shared" si="241"/>
        <v>13.047210500554202</v>
      </c>
      <c r="DA175" s="133">
        <f t="shared" si="241"/>
        <v>13.047210500554202</v>
      </c>
    </row>
    <row r="176" spans="5:105">
      <c r="E176" s="137" t="s">
        <v>16</v>
      </c>
      <c r="F176" s="133">
        <f>F170-12*F171/11+F172/11</f>
        <v>5.2618006631144354E-5</v>
      </c>
      <c r="G176" s="133">
        <f t="shared" ref="G176:BR176" si="242">G170-12*G171/11+G172/11</f>
        <v>0.3571698527717061</v>
      </c>
      <c r="H176" s="133">
        <f t="shared" si="242"/>
        <v>0.77479256876173974</v>
      </c>
      <c r="I176" s="133">
        <f t="shared" si="242"/>
        <v>0.22512264352761285</v>
      </c>
      <c r="J176" s="133">
        <f t="shared" si="242"/>
        <v>0.44380526261209752</v>
      </c>
      <c r="K176" s="133">
        <f t="shared" si="242"/>
        <v>0.76483851344683806</v>
      </c>
      <c r="L176" s="133">
        <f t="shared" si="242"/>
        <v>0.32787645817663247</v>
      </c>
      <c r="M176" s="133">
        <f t="shared" si="242"/>
        <v>0.70661060218242877</v>
      </c>
      <c r="N176" s="133">
        <f t="shared" si="242"/>
        <v>0.60366049524530963</v>
      </c>
      <c r="O176" s="133">
        <f t="shared" si="242"/>
        <v>4.3605618104521571E-2</v>
      </c>
      <c r="P176" s="133">
        <f t="shared" si="242"/>
        <v>0.81814412272272463</v>
      </c>
      <c r="Q176" s="133">
        <f t="shared" si="242"/>
        <v>0.69403122190365929</v>
      </c>
      <c r="R176" s="133">
        <f t="shared" si="242"/>
        <v>0.79072138448152596</v>
      </c>
      <c r="S176" s="133">
        <f t="shared" si="242"/>
        <v>0.37001855649350351</v>
      </c>
      <c r="T176" s="133">
        <f t="shared" si="242"/>
        <v>0.11662835271837801</v>
      </c>
      <c r="U176" s="133">
        <f t="shared" si="242"/>
        <v>0.26995364726839777</v>
      </c>
      <c r="V176" s="133">
        <f t="shared" si="242"/>
        <v>0.31386924126823607</v>
      </c>
      <c r="W176" s="133">
        <f t="shared" si="242"/>
        <v>0.26776052089802499</v>
      </c>
      <c r="X176" s="133">
        <f t="shared" si="242"/>
        <v>0.22428361544830755</v>
      </c>
      <c r="Y176" s="133">
        <f t="shared" si="242"/>
        <v>0.3013027034479655</v>
      </c>
      <c r="Z176" s="133">
        <f t="shared" si="242"/>
        <v>0.44622704744406455</v>
      </c>
      <c r="AA176" s="133">
        <f t="shared" si="242"/>
        <v>0.3113723002377381</v>
      </c>
      <c r="AB176" s="133">
        <f t="shared" si="242"/>
        <v>0.34539699397238788</v>
      </c>
      <c r="AC176" s="133">
        <f t="shared" si="242"/>
        <v>5.8392687625059336E-2</v>
      </c>
      <c r="AD176" s="133">
        <f t="shared" si="242"/>
        <v>0.10091117046206788</v>
      </c>
      <c r="AE176" s="133">
        <f t="shared" si="242"/>
        <v>0.11273171113258745</v>
      </c>
      <c r="AF176" s="133">
        <f t="shared" si="242"/>
        <v>0.1031760751644003</v>
      </c>
      <c r="AG176" s="133">
        <f t="shared" si="242"/>
        <v>8.2966238856302388E-3</v>
      </c>
      <c r="AH176" s="133">
        <f t="shared" si="242"/>
        <v>-2.6751139379109723E-2</v>
      </c>
      <c r="AI176" s="133">
        <f t="shared" si="242"/>
        <v>-2.6211492726672336E-2</v>
      </c>
      <c r="AJ176" s="133">
        <f t="shared" si="242"/>
        <v>1.9886162667659968E-2</v>
      </c>
      <c r="AK176" s="133">
        <f t="shared" si="242"/>
        <v>-6.2933450997798679E-2</v>
      </c>
      <c r="AL176" s="133">
        <f t="shared" si="242"/>
        <v>-0.12602491071317279</v>
      </c>
      <c r="AM176" s="133">
        <f t="shared" si="242"/>
        <v>-3.3878770673037129E-2</v>
      </c>
      <c r="AN176" s="133">
        <f t="shared" si="242"/>
        <v>-0.14906123620267608</v>
      </c>
      <c r="AO176" s="133">
        <f t="shared" si="242"/>
        <v>-7.5400455973161085E-2</v>
      </c>
      <c r="AP176" s="133">
        <f t="shared" si="242"/>
        <v>4.7505256742887969E-3</v>
      </c>
      <c r="AQ176" s="133">
        <f t="shared" si="242"/>
        <v>-0.14662439267557709</v>
      </c>
      <c r="AR176" s="133">
        <f t="shared" si="242"/>
        <v>-7.2122566285926726E-2</v>
      </c>
      <c r="AS176" s="133">
        <f t="shared" si="242"/>
        <v>-3.5295584334756769E-2</v>
      </c>
      <c r="AT176" s="133">
        <f t="shared" si="242"/>
        <v>-9.4802502482271622E-2</v>
      </c>
      <c r="AU176" s="133">
        <f t="shared" si="242"/>
        <v>-7.2080956959758025E-2</v>
      </c>
      <c r="AV176" s="133">
        <f t="shared" si="242"/>
        <v>-0.48753424781690541</v>
      </c>
      <c r="AW176" s="133">
        <f t="shared" si="242"/>
        <v>-0.49730636954580854</v>
      </c>
      <c r="AX176" s="133">
        <f t="shared" si="242"/>
        <v>-9.9399157330942178E-3</v>
      </c>
      <c r="AY176" s="133">
        <f t="shared" si="242"/>
        <v>-0.41892325165818084</v>
      </c>
      <c r="AZ176" s="133">
        <f t="shared" si="242"/>
        <v>-0.3036245654662284</v>
      </c>
      <c r="BA176" s="133">
        <f t="shared" si="242"/>
        <v>-0.19420993514741691</v>
      </c>
      <c r="BB176" s="133">
        <f t="shared" si="242"/>
        <v>-0.41492183786376802</v>
      </c>
      <c r="BC176" s="133">
        <f t="shared" si="242"/>
        <v>-0.32709940548525263</v>
      </c>
      <c r="BD176" s="133">
        <f t="shared" si="242"/>
        <v>-0.31867787349847243</v>
      </c>
      <c r="BE176" s="133">
        <f t="shared" si="242"/>
        <v>-0.26794267221145951</v>
      </c>
      <c r="BF176" s="133">
        <f t="shared" si="242"/>
        <v>-0.36481320330894529</v>
      </c>
      <c r="BG176" s="133">
        <f t="shared" si="242"/>
        <v>-0.61028589753391893</v>
      </c>
      <c r="BH176" s="133">
        <f t="shared" si="242"/>
        <v>-0.26421960890794116</v>
      </c>
      <c r="BI176" s="133">
        <f t="shared" si="242"/>
        <v>-0.29716695418382211</v>
      </c>
      <c r="BJ176" s="133">
        <f t="shared" si="242"/>
        <v>-0.60940759175571058</v>
      </c>
      <c r="BK176" s="133">
        <f t="shared" si="242"/>
        <v>-0.63198577442861836</v>
      </c>
      <c r="BL176" s="133">
        <f t="shared" si="242"/>
        <v>-0.61432539284958632</v>
      </c>
      <c r="BM176" s="133">
        <f t="shared" si="242"/>
        <v>-0.25282000017494743</v>
      </c>
      <c r="BN176" s="133">
        <f t="shared" si="242"/>
        <v>-8.0779633752116498E-2</v>
      </c>
      <c r="BO176" s="133">
        <f t="shared" si="242"/>
        <v>-0.21243824057844951</v>
      </c>
      <c r="BP176" s="133">
        <f t="shared" si="242"/>
        <v>-6.5486223329708326E-2</v>
      </c>
      <c r="BQ176" s="133">
        <f t="shared" si="242"/>
        <v>6.4404416505718376E-3</v>
      </c>
      <c r="BR176" s="133">
        <f t="shared" si="242"/>
        <v>-0.55077001733623299</v>
      </c>
      <c r="BS176" s="133">
        <f t="shared" ref="BS176:DA176" si="243">BS170-12*BS171/11+BS172/11</f>
        <v>-0.21747458652394236</v>
      </c>
      <c r="BT176" s="133">
        <f t="shared" si="243"/>
        <v>-0.42561403581517121</v>
      </c>
      <c r="BU176" s="133">
        <f t="shared" si="243"/>
        <v>-0.4447529929264693</v>
      </c>
      <c r="BV176" s="133">
        <f t="shared" si="243"/>
        <v>-0.25835143312230158</v>
      </c>
      <c r="BW176" s="133">
        <f t="shared" si="243"/>
        <v>-7.5174111413861877E-2</v>
      </c>
      <c r="BX176" s="133">
        <f t="shared" si="243"/>
        <v>-0.28565354647570129</v>
      </c>
      <c r="BY176" s="133">
        <f t="shared" si="243"/>
        <v>-0.18193880349824987</v>
      </c>
      <c r="BZ176" s="133">
        <f t="shared" si="243"/>
        <v>-6.5641757028261805E-2</v>
      </c>
      <c r="CA176" s="133">
        <f t="shared" si="243"/>
        <v>-0.36964502890431639</v>
      </c>
      <c r="CB176" s="133">
        <f t="shared" si="243"/>
        <v>-1.2225305637124428E-2</v>
      </c>
      <c r="CC176" s="133">
        <f t="shared" si="243"/>
        <v>-0.13124400512525891</v>
      </c>
      <c r="CD176" s="133">
        <f t="shared" si="243"/>
        <v>-0.21661978291655259</v>
      </c>
      <c r="CE176" s="133">
        <f t="shared" si="243"/>
        <v>-0.12995764513250196</v>
      </c>
      <c r="CF176" s="133">
        <f t="shared" si="243"/>
        <v>-0.1751123326929841</v>
      </c>
      <c r="CG176" s="133">
        <f t="shared" si="243"/>
        <v>-4.6451389861636661E-2</v>
      </c>
      <c r="CH176" s="133">
        <f t="shared" si="243"/>
        <v>4.0740054576163143E-2</v>
      </c>
      <c r="CI176" s="133">
        <f t="shared" si="243"/>
        <v>6.8208669881057671E-2</v>
      </c>
      <c r="CJ176" s="133">
        <f t="shared" si="243"/>
        <v>2.5402199048377483E-2</v>
      </c>
      <c r="CK176" s="133">
        <f t="shared" si="243"/>
        <v>6.5102826888955412E-2</v>
      </c>
      <c r="CL176" s="133">
        <f t="shared" si="243"/>
        <v>5.6266144147160135E-2</v>
      </c>
      <c r="CM176" s="133">
        <f t="shared" si="243"/>
        <v>8.5058586198693331E-2</v>
      </c>
      <c r="CN176" s="133">
        <f t="shared" si="243"/>
        <v>0.16198870645714802</v>
      </c>
      <c r="CO176" s="133">
        <f t="shared" si="243"/>
        <v>0.26982195853884372</v>
      </c>
      <c r="CP176" s="133">
        <f t="shared" si="243"/>
        <v>0.36609394859347744</v>
      </c>
      <c r="CQ176" s="133">
        <f t="shared" si="243"/>
        <v>0.29182257762818753</v>
      </c>
      <c r="CR176" s="133">
        <f t="shared" si="243"/>
        <v>0.39540755668091621</v>
      </c>
      <c r="CS176" s="133">
        <f t="shared" si="243"/>
        <v>6.1159283362055672E-2</v>
      </c>
      <c r="CT176" s="133">
        <f t="shared" si="243"/>
        <v>0.25938477545818528</v>
      </c>
      <c r="CU176" s="133">
        <f t="shared" si="243"/>
        <v>0.22679918970125634</v>
      </c>
      <c r="CV176" s="133">
        <f t="shared" si="243"/>
        <v>0.38791238134602901</v>
      </c>
      <c r="CW176" s="133">
        <f t="shared" si="243"/>
        <v>0.34823257984879163</v>
      </c>
      <c r="CX176" s="133">
        <f t="shared" si="243"/>
        <v>0.33876445627494245</v>
      </c>
      <c r="CY176" s="133">
        <f t="shared" si="243"/>
        <v>0.49444485733974941</v>
      </c>
      <c r="CZ176" s="133">
        <f t="shared" si="243"/>
        <v>0.74574438758801387</v>
      </c>
      <c r="DA176" s="133">
        <f t="shared" si="243"/>
        <v>0.76785190647325008</v>
      </c>
    </row>
    <row r="177" spans="5:105">
      <c r="E177" s="137" t="s">
        <v>17</v>
      </c>
      <c r="F177" s="133">
        <f>(1/9)*(F170+F171-2*F172)</f>
        <v>5.8464451820030818E-6</v>
      </c>
      <c r="G177" s="133">
        <f t="shared" ref="G177:BR177" si="244">(1/9)*(G170+G171-2*G172)</f>
        <v>2.300499183520641E-2</v>
      </c>
      <c r="H177" s="133">
        <f t="shared" si="244"/>
        <v>9.4497045879806327E-2</v>
      </c>
      <c r="I177" s="133">
        <f t="shared" si="244"/>
        <v>6.2135214438462242E-3</v>
      </c>
      <c r="J177" s="133">
        <f t="shared" si="244"/>
        <v>0.16282640181169483</v>
      </c>
      <c r="K177" s="133">
        <f t="shared" si="244"/>
        <v>0.23554311969522343</v>
      </c>
      <c r="L177" s="133">
        <f t="shared" si="244"/>
        <v>0.14283286715014398</v>
      </c>
      <c r="M177" s="133">
        <f t="shared" si="244"/>
        <v>0.24359312673142219</v>
      </c>
      <c r="N177" s="133">
        <f t="shared" si="244"/>
        <v>0.21033162311695283</v>
      </c>
      <c r="O177" s="133">
        <f t="shared" si="244"/>
        <v>3.449608451726544E-3</v>
      </c>
      <c r="P177" s="133">
        <f t="shared" si="244"/>
        <v>0.58766946417103771</v>
      </c>
      <c r="Q177" s="133">
        <f t="shared" si="244"/>
        <v>0.56241763920816856</v>
      </c>
      <c r="R177" s="133">
        <f t="shared" si="244"/>
        <v>0.64314591627197615</v>
      </c>
      <c r="S177" s="133">
        <f t="shared" si="244"/>
        <v>0.3381951625672755</v>
      </c>
      <c r="T177" s="133">
        <f t="shared" si="244"/>
        <v>0.1314739664261787</v>
      </c>
      <c r="U177" s="133">
        <f t="shared" si="244"/>
        <v>0.24975619702923366</v>
      </c>
      <c r="V177" s="133">
        <f t="shared" si="244"/>
        <v>0.3943343387030725</v>
      </c>
      <c r="W177" s="133">
        <f t="shared" si="244"/>
        <v>0.42675585843312763</v>
      </c>
      <c r="X177" s="133">
        <f t="shared" si="244"/>
        <v>0.3162713776894846</v>
      </c>
      <c r="Y177" s="133">
        <f t="shared" si="244"/>
        <v>0.70369446666529278</v>
      </c>
      <c r="Z177" s="133">
        <f t="shared" si="244"/>
        <v>0.94752051905691825</v>
      </c>
      <c r="AA177" s="133">
        <f t="shared" si="244"/>
        <v>0.95348596319969636</v>
      </c>
      <c r="AB177" s="133">
        <f t="shared" si="244"/>
        <v>0.95200795741936628</v>
      </c>
      <c r="AC177" s="133">
        <f t="shared" si="244"/>
        <v>0.3244351355104666</v>
      </c>
      <c r="AD177" s="133">
        <f t="shared" si="244"/>
        <v>0.78075501338673481</v>
      </c>
      <c r="AE177" s="133">
        <f t="shared" si="244"/>
        <v>1.0452922564401221</v>
      </c>
      <c r="AF177" s="133">
        <f t="shared" si="244"/>
        <v>0.96597448749258019</v>
      </c>
      <c r="AG177" s="133">
        <f t="shared" si="244"/>
        <v>0.34998845554296049</v>
      </c>
      <c r="AH177" s="133">
        <f t="shared" si="244"/>
        <v>0.3335286628860436</v>
      </c>
      <c r="AI177" s="133">
        <f t="shared" si="244"/>
        <v>0.93528714287854142</v>
      </c>
      <c r="AJ177" s="133">
        <f t="shared" si="244"/>
        <v>0.40442937267415047</v>
      </c>
      <c r="AK177" s="133">
        <f t="shared" si="244"/>
        <v>0.93749655466422865</v>
      </c>
      <c r="AL177" s="133">
        <f t="shared" si="244"/>
        <v>0.99547345167536916</v>
      </c>
      <c r="AM177" s="133">
        <f t="shared" si="244"/>
        <v>0.56203188934852555</v>
      </c>
      <c r="AN177" s="133">
        <f t="shared" si="244"/>
        <v>0.79838454802550363</v>
      </c>
      <c r="AO177" s="133">
        <f t="shared" si="244"/>
        <v>0.32789245831540331</v>
      </c>
      <c r="AP177" s="133">
        <f t="shared" si="244"/>
        <v>0.1075203739311491</v>
      </c>
      <c r="AQ177" s="133">
        <f t="shared" si="244"/>
        <v>0.42423822446611714</v>
      </c>
      <c r="AR177" s="133">
        <f t="shared" si="244"/>
        <v>0.39474940315581086</v>
      </c>
      <c r="AS177" s="133">
        <f t="shared" si="244"/>
        <v>0.11408383349700497</v>
      </c>
      <c r="AT177" s="133">
        <f t="shared" si="244"/>
        <v>0.26886445648060131</v>
      </c>
      <c r="AU177" s="133">
        <f t="shared" si="244"/>
        <v>0.17951906082572774</v>
      </c>
      <c r="AV177" s="133">
        <f t="shared" si="244"/>
        <v>0.81553298885826753</v>
      </c>
      <c r="AW177" s="133">
        <f t="shared" si="244"/>
        <v>0.89079125665515413</v>
      </c>
      <c r="AX177" s="133">
        <f t="shared" si="244"/>
        <v>1.5541858061017006E-2</v>
      </c>
      <c r="AY177" s="133">
        <f t="shared" si="244"/>
        <v>0.51567467048228266</v>
      </c>
      <c r="AZ177" s="133">
        <f t="shared" si="244"/>
        <v>0.40082772541561457</v>
      </c>
      <c r="BA177" s="133">
        <f t="shared" si="244"/>
        <v>0.25231353917670496</v>
      </c>
      <c r="BB177" s="133">
        <f t="shared" si="244"/>
        <v>0.36217738669381522</v>
      </c>
      <c r="BC177" s="133">
        <f t="shared" si="244"/>
        <v>0.30636596503943281</v>
      </c>
      <c r="BD177" s="133">
        <f t="shared" si="244"/>
        <v>0.14867501872143485</v>
      </c>
      <c r="BE177" s="133">
        <f t="shared" si="244"/>
        <v>0.11499409509067564</v>
      </c>
      <c r="BF177" s="133">
        <f t="shared" si="244"/>
        <v>0.15656137114651869</v>
      </c>
      <c r="BG177" s="133">
        <f t="shared" si="244"/>
        <v>0.11156738476111962</v>
      </c>
      <c r="BH177" s="133">
        <f t="shared" si="244"/>
        <v>-1.0722721776837653E-2</v>
      </c>
      <c r="BI177" s="133">
        <f t="shared" si="244"/>
        <v>-4.6032233436754666E-2</v>
      </c>
      <c r="BJ177" s="133">
        <f t="shared" si="244"/>
        <v>-6.4956981240766334E-2</v>
      </c>
      <c r="BK177" s="133">
        <f t="shared" si="244"/>
        <v>-7.4875580757095425E-2</v>
      </c>
      <c r="BL177" s="133">
        <f t="shared" si="244"/>
        <v>-0.12424852422177481</v>
      </c>
      <c r="BM177" s="133">
        <f t="shared" si="244"/>
        <v>-5.6462253555921722E-2</v>
      </c>
      <c r="BN177" s="133">
        <f t="shared" si="244"/>
        <v>-5.025986661815196E-2</v>
      </c>
      <c r="BO177" s="133">
        <f t="shared" si="244"/>
        <v>-0.10949780531019786</v>
      </c>
      <c r="BP177" s="133">
        <f t="shared" si="244"/>
        <v>-7.1393913909222159E-2</v>
      </c>
      <c r="BQ177" s="133">
        <f t="shared" si="244"/>
        <v>-2.1591191072259461E-2</v>
      </c>
      <c r="BR177" s="133">
        <f t="shared" si="244"/>
        <v>-0.34942937473696428</v>
      </c>
      <c r="BS177" s="133">
        <f t="shared" ref="BS177:DA177" si="245">(1/9)*(BS170+BS171-2*BS172)</f>
        <v>-0.16586838777914162</v>
      </c>
      <c r="BT177" s="133">
        <f t="shared" si="245"/>
        <v>-0.37546403867615197</v>
      </c>
      <c r="BU177" s="133">
        <f t="shared" si="245"/>
        <v>-0.42382474334026254</v>
      </c>
      <c r="BV177" s="133">
        <f t="shared" si="245"/>
        <v>-0.31867886310956328</v>
      </c>
      <c r="BW177" s="133">
        <f t="shared" si="245"/>
        <v>-0.17687487958578194</v>
      </c>
      <c r="BX177" s="133">
        <f t="shared" si="245"/>
        <v>-0.49074032666805162</v>
      </c>
      <c r="BY177" s="133">
        <f t="shared" si="245"/>
        <v>-0.41086020429062248</v>
      </c>
      <c r="BZ177" s="133">
        <f t="shared" si="245"/>
        <v>-0.13064247827948389</v>
      </c>
      <c r="CA177" s="133">
        <f t="shared" si="245"/>
        <v>-0.67464785858518372</v>
      </c>
      <c r="CB177" s="133">
        <f t="shared" si="245"/>
        <v>-4.5494296859742413E-2</v>
      </c>
      <c r="CC177" s="133">
        <f t="shared" si="245"/>
        <v>-0.42720472806883114</v>
      </c>
      <c r="CD177" s="133">
        <f t="shared" si="245"/>
        <v>-0.77665118468760419</v>
      </c>
      <c r="CE177" s="133">
        <f t="shared" si="245"/>
        <v>-0.48629912900824734</v>
      </c>
      <c r="CF177" s="133">
        <f t="shared" si="245"/>
        <v>-0.76177507611260764</v>
      </c>
      <c r="CG177" s="133">
        <f t="shared" si="245"/>
        <v>-0.38238788444852206</v>
      </c>
      <c r="CH177" s="133">
        <f t="shared" si="245"/>
        <v>-0.47541180896702623</v>
      </c>
      <c r="CI177" s="133">
        <f t="shared" si="245"/>
        <v>-0.58992838891391819</v>
      </c>
      <c r="CJ177" s="133">
        <f t="shared" si="245"/>
        <v>-0.15739194855932817</v>
      </c>
      <c r="CK177" s="133">
        <f t="shared" si="245"/>
        <v>-0.29266314310418784</v>
      </c>
      <c r="CL177" s="133">
        <f t="shared" si="245"/>
        <v>-9.3133326569275823E-2</v>
      </c>
      <c r="CM177" s="133">
        <f t="shared" si="245"/>
        <v>-0.22811892466193839</v>
      </c>
      <c r="CN177" s="133">
        <f t="shared" si="245"/>
        <v>-0.46603352825729633</v>
      </c>
      <c r="CO177" s="133">
        <f t="shared" si="245"/>
        <v>-0.44410258610403375</v>
      </c>
      <c r="CP177" s="133">
        <f t="shared" si="245"/>
        <v>-0.3672192809665269</v>
      </c>
      <c r="CQ177" s="133">
        <f t="shared" si="245"/>
        <v>-0.30982049078491691</v>
      </c>
      <c r="CR177" s="133">
        <f t="shared" si="245"/>
        <v>-0.31387015842699717</v>
      </c>
      <c r="CS177" s="133">
        <f t="shared" si="245"/>
        <v>-7.1626775074935978E-2</v>
      </c>
      <c r="CT177" s="133">
        <f t="shared" si="245"/>
        <v>-0.21328352580966795</v>
      </c>
      <c r="CU177" s="133">
        <f t="shared" si="245"/>
        <v>-0.1528125822468118</v>
      </c>
      <c r="CV177" s="133">
        <f t="shared" si="245"/>
        <v>-0.1987827432632662</v>
      </c>
      <c r="CW177" s="133">
        <f t="shared" si="245"/>
        <v>-0.16810578133308832</v>
      </c>
      <c r="CX177" s="133">
        <f t="shared" si="245"/>
        <v>-0.12188534797917445</v>
      </c>
      <c r="CY177" s="133">
        <f t="shared" si="245"/>
        <v>-8.4103223526176635E-2</v>
      </c>
      <c r="CZ177" s="133">
        <f t="shared" si="245"/>
        <v>-3.1466946740178199E-2</v>
      </c>
      <c r="DA177" s="133">
        <f t="shared" si="245"/>
        <v>-3.6063736558358601E-2</v>
      </c>
    </row>
    <row r="178" spans="5:105">
      <c r="E178" s="137" t="s">
        <v>163</v>
      </c>
      <c r="F178" s="133">
        <f>IF(F176=0,IF(F177=0,0,IF(F176=0 &amp; F177=0,0,IF(F177&gt;=0,(360/(2*PI()))*ATAN2(F176,F177),360+(360/(2*PI()))*ATAN2(F176,F177)))),IF(F176=0 &amp; F177=0,0,IF(F177&gt;=0,(360/(2*PI()))*ATAN2(F176,F177),360+(360/(2*PI()))*ATAN2(F176,F177))))</f>
        <v>6.3401917467325672</v>
      </c>
      <c r="G178" s="133">
        <f t="shared" ref="G178:BR178" si="246">IF(G176=0,IF(G177=0,0,IF(G176=0 &amp; G177=0,0,IF(G177&gt;=0,(360/(2*PI()))*ATAN2(G176,G177),360+(360/(2*PI()))*ATAN2(G176,G177)))),IF(G176=0 &amp; G177=0,0,IF(G177&gt;=0,(360/(2*PI()))*ATAN2(G176,G177),360+(360/(2*PI()))*ATAN2(G176,G177))))</f>
        <v>3.6852795421657549</v>
      </c>
      <c r="H178" s="133">
        <f t="shared" si="246"/>
        <v>6.9536968581578344</v>
      </c>
      <c r="I178" s="133">
        <f t="shared" si="246"/>
        <v>1.5809968677680528</v>
      </c>
      <c r="J178" s="133">
        <f t="shared" si="246"/>
        <v>20.147433023793763</v>
      </c>
      <c r="K178" s="133">
        <f t="shared" si="246"/>
        <v>17.116975189616582</v>
      </c>
      <c r="L178" s="133">
        <f t="shared" si="246"/>
        <v>23.539392764141933</v>
      </c>
      <c r="M178" s="133">
        <f t="shared" si="246"/>
        <v>19.020844608776631</v>
      </c>
      <c r="N178" s="133">
        <f t="shared" si="246"/>
        <v>19.209716871803604</v>
      </c>
      <c r="O178" s="133">
        <f t="shared" si="246"/>
        <v>4.5232069452789787</v>
      </c>
      <c r="P178" s="133">
        <f t="shared" si="246"/>
        <v>35.689527396845556</v>
      </c>
      <c r="Q178" s="133">
        <f t="shared" si="246"/>
        <v>39.020049701635841</v>
      </c>
      <c r="R178" s="133">
        <f t="shared" si="246"/>
        <v>39.123735019915102</v>
      </c>
      <c r="S178" s="133">
        <f t="shared" si="246"/>
        <v>42.42716018314055</v>
      </c>
      <c r="T178" s="133">
        <f t="shared" si="246"/>
        <v>48.424305055383648</v>
      </c>
      <c r="U178" s="133">
        <f t="shared" si="246"/>
        <v>42.774437799265435</v>
      </c>
      <c r="V178" s="133">
        <f t="shared" si="246"/>
        <v>51.482068738103848</v>
      </c>
      <c r="W178" s="133">
        <f t="shared" si="246"/>
        <v>57.894501312459347</v>
      </c>
      <c r="X178" s="133">
        <f t="shared" si="246"/>
        <v>54.657668225418703</v>
      </c>
      <c r="Y178" s="133">
        <f t="shared" si="246"/>
        <v>66.820716626000248</v>
      </c>
      <c r="Z178" s="133">
        <f t="shared" si="246"/>
        <v>64.782292225836414</v>
      </c>
      <c r="AA178" s="133">
        <f t="shared" si="246"/>
        <v>71.914928589469724</v>
      </c>
      <c r="AB178" s="133">
        <f t="shared" si="246"/>
        <v>70.058776004823585</v>
      </c>
      <c r="AC178" s="133">
        <f t="shared" si="246"/>
        <v>79.796990502720533</v>
      </c>
      <c r="AD178" s="133">
        <f t="shared" si="246"/>
        <v>82.635451730766135</v>
      </c>
      <c r="AE178" s="133">
        <f t="shared" si="246"/>
        <v>83.844608701864587</v>
      </c>
      <c r="AF178" s="133">
        <f t="shared" si="246"/>
        <v>83.903332012800959</v>
      </c>
      <c r="AG178" s="133">
        <f t="shared" si="246"/>
        <v>88.642033722333281</v>
      </c>
      <c r="AH178" s="133">
        <f t="shared" si="246"/>
        <v>94.585672741340531</v>
      </c>
      <c r="AI178" s="133">
        <f t="shared" si="246"/>
        <v>91.605298360878805</v>
      </c>
      <c r="AJ178" s="133">
        <f t="shared" si="246"/>
        <v>87.184981281458533</v>
      </c>
      <c r="AK178" s="133">
        <f t="shared" si="246"/>
        <v>93.840461453419366</v>
      </c>
      <c r="AL178" s="133">
        <f t="shared" si="246"/>
        <v>97.215146494328977</v>
      </c>
      <c r="AM178" s="133">
        <f t="shared" si="246"/>
        <v>93.449563398295211</v>
      </c>
      <c r="AN178" s="133">
        <f t="shared" si="246"/>
        <v>100.57556598138038</v>
      </c>
      <c r="AO178" s="133">
        <f t="shared" si="246"/>
        <v>102.95030671087403</v>
      </c>
      <c r="AP178" s="133">
        <f t="shared" si="246"/>
        <v>87.470170925829194</v>
      </c>
      <c r="AQ178" s="133">
        <f t="shared" si="246"/>
        <v>109.06607400064814</v>
      </c>
      <c r="AR178" s="133">
        <f t="shared" si="246"/>
        <v>100.35400643529556</v>
      </c>
      <c r="AS178" s="133">
        <f t="shared" si="246"/>
        <v>107.19117192823448</v>
      </c>
      <c r="AT178" s="133">
        <f t="shared" si="246"/>
        <v>109.42281996979804</v>
      </c>
      <c r="AU178" s="133">
        <f t="shared" si="246"/>
        <v>111.87657477830318</v>
      </c>
      <c r="AV178" s="133">
        <f t="shared" si="246"/>
        <v>120.87142874361413</v>
      </c>
      <c r="AW178" s="133">
        <f t="shared" si="246"/>
        <v>119.17352519439564</v>
      </c>
      <c r="AX178" s="133">
        <f t="shared" si="246"/>
        <v>122.60126329586456</v>
      </c>
      <c r="AY178" s="133">
        <f t="shared" si="246"/>
        <v>129.08968121556848</v>
      </c>
      <c r="AZ178" s="133">
        <f t="shared" si="246"/>
        <v>127.14370747521222</v>
      </c>
      <c r="BA178" s="133">
        <f t="shared" si="246"/>
        <v>127.58607823092727</v>
      </c>
      <c r="BB178" s="133">
        <f t="shared" si="246"/>
        <v>138.8829102965426</v>
      </c>
      <c r="BC178" s="133">
        <f t="shared" si="246"/>
        <v>136.87463239655565</v>
      </c>
      <c r="BD178" s="133">
        <f t="shared" si="246"/>
        <v>154.98920762212722</v>
      </c>
      <c r="BE178" s="133">
        <f t="shared" si="246"/>
        <v>156.77223630577325</v>
      </c>
      <c r="BF178" s="133">
        <f t="shared" si="246"/>
        <v>156.77317283714825</v>
      </c>
      <c r="BG178" s="133">
        <f t="shared" si="246"/>
        <v>169.64006196757018</v>
      </c>
      <c r="BH178" s="133">
        <f t="shared" si="246"/>
        <v>182.32393712712116</v>
      </c>
      <c r="BI178" s="133">
        <f t="shared" si="246"/>
        <v>188.80533963652667</v>
      </c>
      <c r="BJ178" s="133">
        <f t="shared" si="246"/>
        <v>186.0842058721552</v>
      </c>
      <c r="BK178" s="133">
        <f t="shared" si="246"/>
        <v>186.75671754362548</v>
      </c>
      <c r="BL178" s="133">
        <f t="shared" si="246"/>
        <v>191.43394461645849</v>
      </c>
      <c r="BM178" s="133">
        <f t="shared" si="246"/>
        <v>192.58926961750467</v>
      </c>
      <c r="BN178" s="133">
        <f t="shared" si="246"/>
        <v>211.88924932086408</v>
      </c>
      <c r="BO178" s="133">
        <f t="shared" si="246"/>
        <v>207.26809917389494</v>
      </c>
      <c r="BP178" s="133">
        <f t="shared" si="246"/>
        <v>227.47132861514831</v>
      </c>
      <c r="BQ178" s="133">
        <f t="shared" si="246"/>
        <v>286.60932877583735</v>
      </c>
      <c r="BR178" s="133">
        <f t="shared" si="246"/>
        <v>212.39259022157208</v>
      </c>
      <c r="BS178" s="133">
        <f t="shared" ref="BS178:DA178" si="247">IF(BS176=0,IF(BS177=0,0,IF(BS176=0 &amp; BS177=0,0,IF(BS177&gt;=0,(360/(2*PI()))*ATAN2(BS176,BS177),360+(360/(2*PI()))*ATAN2(BS176,BS177)))),IF(BS176=0 &amp; BS177=0,0,IF(BS177&gt;=0,(360/(2*PI()))*ATAN2(BS176,BS177),360+(360/(2*PI()))*ATAN2(BS176,BS177))))</f>
        <v>217.33285268583731</v>
      </c>
      <c r="BT178" s="133">
        <f t="shared" si="247"/>
        <v>221.41777957698744</v>
      </c>
      <c r="BU178" s="133">
        <f t="shared" si="247"/>
        <v>223.6197339005833</v>
      </c>
      <c r="BV178" s="133">
        <f t="shared" si="247"/>
        <v>230.96848300369663</v>
      </c>
      <c r="BW178" s="133">
        <f t="shared" si="247"/>
        <v>246.97388033696853</v>
      </c>
      <c r="BX178" s="133">
        <f t="shared" si="247"/>
        <v>239.79687304380707</v>
      </c>
      <c r="BY178" s="133">
        <f t="shared" si="247"/>
        <v>246.11508250679969</v>
      </c>
      <c r="BZ178" s="133">
        <f t="shared" si="247"/>
        <v>243.32260377449199</v>
      </c>
      <c r="CA178" s="133">
        <f t="shared" si="247"/>
        <v>241.28130813000573</v>
      </c>
      <c r="CB178" s="133">
        <f t="shared" si="247"/>
        <v>254.95871051874886</v>
      </c>
      <c r="CC178" s="133">
        <f t="shared" si="247"/>
        <v>252.92221956182698</v>
      </c>
      <c r="CD178" s="133">
        <f t="shared" si="247"/>
        <v>254.41540814854164</v>
      </c>
      <c r="CE178" s="133">
        <f t="shared" si="247"/>
        <v>255.03802122670089</v>
      </c>
      <c r="CF178" s="133">
        <f t="shared" si="247"/>
        <v>257.05408874216681</v>
      </c>
      <c r="CG178" s="133">
        <f t="shared" si="247"/>
        <v>263.07380827694794</v>
      </c>
      <c r="CH178" s="133">
        <f t="shared" si="247"/>
        <v>274.89795240372302</v>
      </c>
      <c r="CI178" s="133">
        <f t="shared" si="247"/>
        <v>276.59536382344345</v>
      </c>
      <c r="CJ178" s="133">
        <f t="shared" si="247"/>
        <v>279.16816602740084</v>
      </c>
      <c r="CK178" s="133">
        <f t="shared" si="247"/>
        <v>282.54122700632723</v>
      </c>
      <c r="CL178" s="133">
        <f t="shared" si="247"/>
        <v>301.13811281552472</v>
      </c>
      <c r="CM178" s="133">
        <f t="shared" si="247"/>
        <v>290.44895053249599</v>
      </c>
      <c r="CN178" s="133">
        <f t="shared" si="247"/>
        <v>289.16695257096944</v>
      </c>
      <c r="CO178" s="133">
        <f t="shared" si="247"/>
        <v>301.28147353657738</v>
      </c>
      <c r="CP178" s="133">
        <f t="shared" si="247"/>
        <v>314.91207475562578</v>
      </c>
      <c r="CQ178" s="133">
        <f t="shared" si="247"/>
        <v>313.28653053528768</v>
      </c>
      <c r="CR178" s="133">
        <f t="shared" si="247"/>
        <v>321.55784136202811</v>
      </c>
      <c r="CS178" s="133">
        <f t="shared" si="247"/>
        <v>310.49270893383851</v>
      </c>
      <c r="CT178" s="133">
        <f t="shared" si="247"/>
        <v>320.57066913161088</v>
      </c>
      <c r="CU178" s="133">
        <f t="shared" si="247"/>
        <v>326.02872891936403</v>
      </c>
      <c r="CV178" s="133">
        <f t="shared" si="247"/>
        <v>332.86747514997734</v>
      </c>
      <c r="CW178" s="133">
        <f t="shared" si="247"/>
        <v>334.23153952329659</v>
      </c>
      <c r="CX178" s="133">
        <f t="shared" si="247"/>
        <v>340.21158370370648</v>
      </c>
      <c r="CY178" s="133">
        <f t="shared" si="247"/>
        <v>350.34659410892118</v>
      </c>
      <c r="CZ178" s="133">
        <f t="shared" si="247"/>
        <v>357.58381771228056</v>
      </c>
      <c r="DA178" s="133">
        <f t="shared" si="247"/>
        <v>357.31096252298613</v>
      </c>
    </row>
    <row r="179" spans="5:105">
      <c r="E179" s="137" t="s">
        <v>164</v>
      </c>
      <c r="F179" s="133">
        <f t="shared" ref="F179:BQ179" si="248">IF(F178&lt;20.14,385.9+(14.1*(F178)/0.856)/((F178)/0.856+(20.14-F178)/0.8),IF(F178&lt;90,(100*(F178-20.14)/0.8)/((F178-20.14)/0.8+(90-F178)/0.7),IF(F178&lt;164.25,100+(100*(F178-90)/0.7)/((F178-90)/0.7+(164.25-F178)/1),IF(F178&lt;237.53,200+(100*(F178-164.25)/1)/((F178-164.25)/1+(237.53-F178)/1.2),300+(85.9*(F178-237.53)/1.2)/((F178-237.53)/1.2+(360-F178)/0.856)))))</f>
        <v>390.13560885437408</v>
      </c>
      <c r="G179" s="133">
        <f t="shared" si="248"/>
        <v>388.3404872897317</v>
      </c>
      <c r="H179" s="133">
        <f t="shared" si="248"/>
        <v>390.55493680025927</v>
      </c>
      <c r="I179" s="133">
        <f t="shared" si="248"/>
        <v>386.93978359231693</v>
      </c>
      <c r="J179" s="133">
        <f t="shared" si="248"/>
        <v>9.3100233632600927E-3</v>
      </c>
      <c r="K179" s="133">
        <f t="shared" si="248"/>
        <v>397.75897968651054</v>
      </c>
      <c r="L179" s="133">
        <f t="shared" si="248"/>
        <v>4.2838127990469719</v>
      </c>
      <c r="M179" s="133">
        <f t="shared" si="248"/>
        <v>399.16488214884765</v>
      </c>
      <c r="N179" s="133">
        <f t="shared" si="248"/>
        <v>399.30536509157844</v>
      </c>
      <c r="O179" s="133">
        <f t="shared" si="248"/>
        <v>388.90365896221653</v>
      </c>
      <c r="P179" s="133">
        <f t="shared" si="248"/>
        <v>20.033238934017952</v>
      </c>
      <c r="Q179" s="133">
        <f t="shared" si="248"/>
        <v>24.474140754722072</v>
      </c>
      <c r="R179" s="133">
        <f t="shared" si="248"/>
        <v>24.613273652542762</v>
      </c>
      <c r="S179" s="133">
        <f t="shared" si="248"/>
        <v>29.074208544271759</v>
      </c>
      <c r="T179" s="133">
        <f t="shared" si="248"/>
        <v>37.314689371603698</v>
      </c>
      <c r="U179" s="133">
        <f t="shared" si="248"/>
        <v>29.546363786139501</v>
      </c>
      <c r="V179" s="133">
        <f t="shared" si="248"/>
        <v>41.588380316449424</v>
      </c>
      <c r="W179" s="133">
        <f t="shared" si="248"/>
        <v>50.713601589791871</v>
      </c>
      <c r="X179" s="133">
        <f t="shared" si="248"/>
        <v>46.07952610940076</v>
      </c>
      <c r="Y179" s="133">
        <f t="shared" si="248"/>
        <v>63.796461062871721</v>
      </c>
      <c r="Z179" s="133">
        <f t="shared" si="248"/>
        <v>60.768792497436415</v>
      </c>
      <c r="AA179" s="133">
        <f t="shared" si="248"/>
        <v>71.469310909905076</v>
      </c>
      <c r="AB179" s="133">
        <f t="shared" si="248"/>
        <v>68.655806289297345</v>
      </c>
      <c r="AC179" s="133">
        <f t="shared" si="248"/>
        <v>83.649776868171259</v>
      </c>
      <c r="AD179" s="133">
        <f t="shared" si="248"/>
        <v>88.13089844168249</v>
      </c>
      <c r="AE179" s="133">
        <f t="shared" si="248"/>
        <v>90.055416474556793</v>
      </c>
      <c r="AF179" s="133">
        <f t="shared" si="248"/>
        <v>90.14912099488167</v>
      </c>
      <c r="AG179" s="133">
        <f t="shared" si="248"/>
        <v>97.784621053878595</v>
      </c>
      <c r="AH179" s="133">
        <f t="shared" si="248"/>
        <v>108.59533723962183</v>
      </c>
      <c r="AI179" s="133">
        <f t="shared" si="248"/>
        <v>103.06024157484717</v>
      </c>
      <c r="AJ179" s="133">
        <f t="shared" si="248"/>
        <v>95.421198391483571</v>
      </c>
      <c r="AK179" s="133">
        <f t="shared" si="248"/>
        <v>107.22881293153769</v>
      </c>
      <c r="AL179" s="133">
        <f t="shared" si="248"/>
        <v>113.32694361300713</v>
      </c>
      <c r="AM179" s="133">
        <f t="shared" si="248"/>
        <v>106.50739845636483</v>
      </c>
      <c r="AN179" s="133">
        <f t="shared" si="248"/>
        <v>119.17681385415776</v>
      </c>
      <c r="AO179" s="133">
        <f t="shared" si="248"/>
        <v>123.18346827606261</v>
      </c>
      <c r="AP179" s="133">
        <f t="shared" si="248"/>
        <v>95.88268952682057</v>
      </c>
      <c r="AQ179" s="133">
        <f t="shared" si="248"/>
        <v>133.04642127934989</v>
      </c>
      <c r="AR179" s="133">
        <f t="shared" si="248"/>
        <v>118.79771332576094</v>
      </c>
      <c r="AS179" s="133">
        <f t="shared" si="248"/>
        <v>130.0900828572104</v>
      </c>
      <c r="AT179" s="133">
        <f t="shared" si="248"/>
        <v>133.60242157809739</v>
      </c>
      <c r="AU179" s="133">
        <f t="shared" si="248"/>
        <v>137.37159636534844</v>
      </c>
      <c r="AV179" s="133">
        <f t="shared" si="248"/>
        <v>150.41350293896232</v>
      </c>
      <c r="AW179" s="133">
        <f t="shared" si="248"/>
        <v>148.04040631538766</v>
      </c>
      <c r="AX179" s="133">
        <f t="shared" si="248"/>
        <v>152.79096951505809</v>
      </c>
      <c r="AY179" s="133">
        <f t="shared" si="248"/>
        <v>161.36344212222303</v>
      </c>
      <c r="AZ179" s="133">
        <f t="shared" si="248"/>
        <v>158.84793786681786</v>
      </c>
      <c r="BA179" s="133">
        <f t="shared" si="248"/>
        <v>159.42385595846568</v>
      </c>
      <c r="BB179" s="133">
        <f t="shared" si="248"/>
        <v>173.35384662465515</v>
      </c>
      <c r="BC179" s="133">
        <f t="shared" si="248"/>
        <v>170.98195824522833</v>
      </c>
      <c r="BD179" s="133">
        <f t="shared" si="248"/>
        <v>190.92990790053196</v>
      </c>
      <c r="BE179" s="133">
        <f t="shared" si="248"/>
        <v>192.730625480757</v>
      </c>
      <c r="BF179" s="133">
        <f t="shared" si="248"/>
        <v>192.73156427338336</v>
      </c>
      <c r="BG179" s="133">
        <f t="shared" si="248"/>
        <v>208.69855736171937</v>
      </c>
      <c r="BH179" s="133">
        <f t="shared" si="248"/>
        <v>228.20571494989829</v>
      </c>
      <c r="BI179" s="133">
        <f t="shared" si="248"/>
        <v>237.68513251568208</v>
      </c>
      <c r="BJ179" s="133">
        <f t="shared" si="248"/>
        <v>233.7438672974815</v>
      </c>
      <c r="BK179" s="133">
        <f t="shared" si="248"/>
        <v>234.72305804195958</v>
      </c>
      <c r="BL179" s="133">
        <f t="shared" si="248"/>
        <v>241.44063037370412</v>
      </c>
      <c r="BM179" s="133">
        <f t="shared" si="248"/>
        <v>243.0754249177665</v>
      </c>
      <c r="BN179" s="133">
        <f t="shared" si="248"/>
        <v>269.03584536829101</v>
      </c>
      <c r="BO179" s="133">
        <f t="shared" si="248"/>
        <v>263.0427906250772</v>
      </c>
      <c r="BP179" s="133">
        <f t="shared" si="248"/>
        <v>288.29356142853163</v>
      </c>
      <c r="BQ179" s="133">
        <f t="shared" si="248"/>
        <v>327.74295013933522</v>
      </c>
      <c r="BR179" s="133">
        <f t="shared" ref="BR179:DA179" si="249">IF(BR178&lt;20.14,385.9+(14.1*(BR178)/0.856)/((BR178)/0.856+(20.14-BR178)/0.8),IF(BR178&lt;90,(100*(BR178-20.14)/0.8)/((BR178-20.14)/0.8+(90-BR178)/0.7),IF(BR178&lt;164.25,100+(100*(BR178-90)/0.7)/((BR178-90)/0.7+(164.25-BR178)/1),IF(BR178&lt;237.53,200+(100*(BR178-164.25)/1)/((BR178-164.25)/1+(237.53-BR178)/1.2),300+(85.9*(BR178-237.53)/1.2)/((BR178-237.53)/1.2+(360-BR178)/0.856)))))</f>
        <v>269.68054625582374</v>
      </c>
      <c r="BS179" s="133">
        <f t="shared" si="249"/>
        <v>275.92613478137935</v>
      </c>
      <c r="BT179" s="133">
        <f t="shared" si="249"/>
        <v>280.98035166992202</v>
      </c>
      <c r="BU179" s="133">
        <f t="shared" si="249"/>
        <v>283.66456679296897</v>
      </c>
      <c r="BV179" s="133">
        <f t="shared" si="249"/>
        <v>292.42526323190026</v>
      </c>
      <c r="BW179" s="133">
        <f t="shared" si="249"/>
        <v>304.83186044754666</v>
      </c>
      <c r="BX179" s="133">
        <f t="shared" si="249"/>
        <v>301.140233257727</v>
      </c>
      <c r="BY179" s="133">
        <f t="shared" si="249"/>
        <v>304.38345492497012</v>
      </c>
      <c r="BZ179" s="133">
        <f t="shared" si="249"/>
        <v>302.93804596095811</v>
      </c>
      <c r="CA179" s="133">
        <f t="shared" si="249"/>
        <v>301.89351592870747</v>
      </c>
      <c r="CB179" s="133">
        <f t="shared" si="249"/>
        <v>309.09096600693584</v>
      </c>
      <c r="CC179" s="133">
        <f t="shared" si="249"/>
        <v>307.9890127716248</v>
      </c>
      <c r="CD179" s="133">
        <f t="shared" si="249"/>
        <v>308.79591317762464</v>
      </c>
      <c r="CE179" s="133">
        <f t="shared" si="249"/>
        <v>309.13410296114938</v>
      </c>
      <c r="CF179" s="133">
        <f t="shared" si="249"/>
        <v>310.23627422721961</v>
      </c>
      <c r="CG179" s="133">
        <f t="shared" si="249"/>
        <v>313.5930537809013</v>
      </c>
      <c r="CH179" s="133">
        <f t="shared" si="249"/>
        <v>320.48834748393313</v>
      </c>
      <c r="CI179" s="133">
        <f t="shared" si="249"/>
        <v>321.51268116377219</v>
      </c>
      <c r="CJ179" s="133">
        <f t="shared" si="249"/>
        <v>323.08247990071857</v>
      </c>
      <c r="CK179" s="133">
        <f t="shared" si="249"/>
        <v>325.17257419167009</v>
      </c>
      <c r="CL179" s="133">
        <f t="shared" si="249"/>
        <v>337.39226844043418</v>
      </c>
      <c r="CM179" s="133">
        <f t="shared" si="249"/>
        <v>330.22021742724581</v>
      </c>
      <c r="CN179" s="133">
        <f t="shared" si="249"/>
        <v>329.38745876150733</v>
      </c>
      <c r="CO179" s="133">
        <f t="shared" si="249"/>
        <v>337.49132519121656</v>
      </c>
      <c r="CP179" s="133">
        <f t="shared" si="249"/>
        <v>347.28036408540777</v>
      </c>
      <c r="CQ179" s="133">
        <f t="shared" si="249"/>
        <v>346.07307740088163</v>
      </c>
      <c r="CR179" s="133">
        <f t="shared" si="249"/>
        <v>352.33511215810529</v>
      </c>
      <c r="CS179" s="133">
        <f t="shared" si="249"/>
        <v>344.02399983207835</v>
      </c>
      <c r="CT179" s="133">
        <f t="shared" si="249"/>
        <v>351.57192782939222</v>
      </c>
      <c r="CU179" s="133">
        <f t="shared" si="249"/>
        <v>355.84725813269552</v>
      </c>
      <c r="CV179" s="133">
        <f t="shared" si="249"/>
        <v>361.40256725291181</v>
      </c>
      <c r="CW179" s="133">
        <f t="shared" si="249"/>
        <v>362.53813572752676</v>
      </c>
      <c r="CX179" s="133">
        <f t="shared" si="249"/>
        <v>367.62911230520518</v>
      </c>
      <c r="CY179" s="133">
        <f t="shared" si="249"/>
        <v>376.69957250012345</v>
      </c>
      <c r="CZ179" s="133">
        <f t="shared" si="249"/>
        <v>383.54293831429749</v>
      </c>
      <c r="DA179" s="133">
        <f t="shared" si="249"/>
        <v>383.27908765480953</v>
      </c>
    </row>
    <row r="180" spans="5:105">
      <c r="E180" s="137" t="s">
        <v>165</v>
      </c>
      <c r="F180" s="133">
        <f t="shared" ref="F180:BQ180" si="250">IF(F179&gt;300,F179-300,IF(F179&lt;100,100-F179,0))</f>
        <v>90.135608854374084</v>
      </c>
      <c r="G180" s="133">
        <f t="shared" si="250"/>
        <v>88.340487289731698</v>
      </c>
      <c r="H180" s="133">
        <f t="shared" si="250"/>
        <v>90.55493680025927</v>
      </c>
      <c r="I180" s="133">
        <f t="shared" si="250"/>
        <v>86.939783592316928</v>
      </c>
      <c r="J180" s="133">
        <f t="shared" si="250"/>
        <v>99.990689976636745</v>
      </c>
      <c r="K180" s="133">
        <f t="shared" si="250"/>
        <v>97.758979686510543</v>
      </c>
      <c r="L180" s="133">
        <f t="shared" si="250"/>
        <v>95.71618720095303</v>
      </c>
      <c r="M180" s="133">
        <f t="shared" si="250"/>
        <v>99.164882148847653</v>
      </c>
      <c r="N180" s="133">
        <f t="shared" si="250"/>
        <v>99.305365091578437</v>
      </c>
      <c r="O180" s="133">
        <f t="shared" si="250"/>
        <v>88.903658962216525</v>
      </c>
      <c r="P180" s="133">
        <f t="shared" si="250"/>
        <v>79.966761065982041</v>
      </c>
      <c r="Q180" s="133">
        <f t="shared" si="250"/>
        <v>75.525859245277928</v>
      </c>
      <c r="R180" s="133">
        <f t="shared" si="250"/>
        <v>75.386726347457241</v>
      </c>
      <c r="S180" s="133">
        <f t="shared" si="250"/>
        <v>70.925791455728245</v>
      </c>
      <c r="T180" s="133">
        <f t="shared" si="250"/>
        <v>62.685310628396302</v>
      </c>
      <c r="U180" s="133">
        <f t="shared" si="250"/>
        <v>70.453636213860506</v>
      </c>
      <c r="V180" s="133">
        <f t="shared" si="250"/>
        <v>58.411619683550576</v>
      </c>
      <c r="W180" s="133">
        <f t="shared" si="250"/>
        <v>49.286398410208129</v>
      </c>
      <c r="X180" s="133">
        <f t="shared" si="250"/>
        <v>53.92047389059924</v>
      </c>
      <c r="Y180" s="133">
        <f t="shared" si="250"/>
        <v>36.203538937128279</v>
      </c>
      <c r="Z180" s="133">
        <f t="shared" si="250"/>
        <v>39.231207502563585</v>
      </c>
      <c r="AA180" s="133">
        <f t="shared" si="250"/>
        <v>28.530689090094924</v>
      </c>
      <c r="AB180" s="133">
        <f t="shared" si="250"/>
        <v>31.344193710702655</v>
      </c>
      <c r="AC180" s="133">
        <f t="shared" si="250"/>
        <v>16.350223131828741</v>
      </c>
      <c r="AD180" s="133">
        <f t="shared" si="250"/>
        <v>11.86910155831751</v>
      </c>
      <c r="AE180" s="133">
        <f t="shared" si="250"/>
        <v>9.9445835254432069</v>
      </c>
      <c r="AF180" s="133">
        <f t="shared" si="250"/>
        <v>9.8508790051183297</v>
      </c>
      <c r="AG180" s="133">
        <f t="shared" si="250"/>
        <v>2.2153789461214046</v>
      </c>
      <c r="AH180" s="133">
        <f t="shared" si="250"/>
        <v>0</v>
      </c>
      <c r="AI180" s="133">
        <f t="shared" si="250"/>
        <v>0</v>
      </c>
      <c r="AJ180" s="133">
        <f t="shared" si="250"/>
        <v>4.5788016085164287</v>
      </c>
      <c r="AK180" s="133">
        <f t="shared" si="250"/>
        <v>0</v>
      </c>
      <c r="AL180" s="133">
        <f t="shared" si="250"/>
        <v>0</v>
      </c>
      <c r="AM180" s="133">
        <f t="shared" si="250"/>
        <v>0</v>
      </c>
      <c r="AN180" s="133">
        <f t="shared" si="250"/>
        <v>0</v>
      </c>
      <c r="AO180" s="133">
        <f t="shared" si="250"/>
        <v>0</v>
      </c>
      <c r="AP180" s="133">
        <f t="shared" si="250"/>
        <v>4.1173104731794297</v>
      </c>
      <c r="AQ180" s="133">
        <f t="shared" si="250"/>
        <v>0</v>
      </c>
      <c r="AR180" s="133">
        <f t="shared" si="250"/>
        <v>0</v>
      </c>
      <c r="AS180" s="133">
        <f t="shared" si="250"/>
        <v>0</v>
      </c>
      <c r="AT180" s="133">
        <f t="shared" si="250"/>
        <v>0</v>
      </c>
      <c r="AU180" s="133">
        <f t="shared" si="250"/>
        <v>0</v>
      </c>
      <c r="AV180" s="133">
        <f t="shared" si="250"/>
        <v>0</v>
      </c>
      <c r="AW180" s="133">
        <f t="shared" si="250"/>
        <v>0</v>
      </c>
      <c r="AX180" s="133">
        <f t="shared" si="250"/>
        <v>0</v>
      </c>
      <c r="AY180" s="133">
        <f t="shared" si="250"/>
        <v>0</v>
      </c>
      <c r="AZ180" s="133">
        <f t="shared" si="250"/>
        <v>0</v>
      </c>
      <c r="BA180" s="133">
        <f t="shared" si="250"/>
        <v>0</v>
      </c>
      <c r="BB180" s="133">
        <f t="shared" si="250"/>
        <v>0</v>
      </c>
      <c r="BC180" s="133">
        <f t="shared" si="250"/>
        <v>0</v>
      </c>
      <c r="BD180" s="133">
        <f t="shared" si="250"/>
        <v>0</v>
      </c>
      <c r="BE180" s="133">
        <f t="shared" si="250"/>
        <v>0</v>
      </c>
      <c r="BF180" s="133">
        <f t="shared" si="250"/>
        <v>0</v>
      </c>
      <c r="BG180" s="133">
        <f t="shared" si="250"/>
        <v>0</v>
      </c>
      <c r="BH180" s="133">
        <f t="shared" si="250"/>
        <v>0</v>
      </c>
      <c r="BI180" s="133">
        <f t="shared" si="250"/>
        <v>0</v>
      </c>
      <c r="BJ180" s="133">
        <f t="shared" si="250"/>
        <v>0</v>
      </c>
      <c r="BK180" s="133">
        <f t="shared" si="250"/>
        <v>0</v>
      </c>
      <c r="BL180" s="133">
        <f t="shared" si="250"/>
        <v>0</v>
      </c>
      <c r="BM180" s="133">
        <f t="shared" si="250"/>
        <v>0</v>
      </c>
      <c r="BN180" s="133">
        <f t="shared" si="250"/>
        <v>0</v>
      </c>
      <c r="BO180" s="133">
        <f t="shared" si="250"/>
        <v>0</v>
      </c>
      <c r="BP180" s="133">
        <f t="shared" si="250"/>
        <v>0</v>
      </c>
      <c r="BQ180" s="133">
        <f t="shared" si="250"/>
        <v>27.742950139335221</v>
      </c>
      <c r="BR180" s="133">
        <f t="shared" ref="BR180:DA180" si="251">IF(BR179&gt;300,BR179-300,IF(BR179&lt;100,100-BR179,0))</f>
        <v>0</v>
      </c>
      <c r="BS180" s="133">
        <f t="shared" si="251"/>
        <v>0</v>
      </c>
      <c r="BT180" s="133">
        <f t="shared" si="251"/>
        <v>0</v>
      </c>
      <c r="BU180" s="133">
        <f t="shared" si="251"/>
        <v>0</v>
      </c>
      <c r="BV180" s="133">
        <f t="shared" si="251"/>
        <v>0</v>
      </c>
      <c r="BW180" s="133">
        <f t="shared" si="251"/>
        <v>4.83186044754666</v>
      </c>
      <c r="BX180" s="133">
        <f t="shared" si="251"/>
        <v>1.1402332577270045</v>
      </c>
      <c r="BY180" s="133">
        <f t="shared" si="251"/>
        <v>4.383454924970124</v>
      </c>
      <c r="BZ180" s="133">
        <f t="shared" si="251"/>
        <v>2.9380459609581067</v>
      </c>
      <c r="CA180" s="133">
        <f t="shared" si="251"/>
        <v>1.8935159287074725</v>
      </c>
      <c r="CB180" s="133">
        <f t="shared" si="251"/>
        <v>9.0909660069358438</v>
      </c>
      <c r="CC180" s="133">
        <f t="shared" si="251"/>
        <v>7.9890127716248003</v>
      </c>
      <c r="CD180" s="133">
        <f t="shared" si="251"/>
        <v>8.7959131776246409</v>
      </c>
      <c r="CE180" s="133">
        <f t="shared" si="251"/>
        <v>9.1341029611493809</v>
      </c>
      <c r="CF180" s="133">
        <f t="shared" si="251"/>
        <v>10.23627422721961</v>
      </c>
      <c r="CG180" s="133">
        <f t="shared" si="251"/>
        <v>13.5930537809013</v>
      </c>
      <c r="CH180" s="133">
        <f t="shared" si="251"/>
        <v>20.488347483933126</v>
      </c>
      <c r="CI180" s="133">
        <f t="shared" si="251"/>
        <v>21.512681163772186</v>
      </c>
      <c r="CJ180" s="133">
        <f t="shared" si="251"/>
        <v>23.082479900718567</v>
      </c>
      <c r="CK180" s="133">
        <f t="shared" si="251"/>
        <v>25.172574191670094</v>
      </c>
      <c r="CL180" s="133">
        <f t="shared" si="251"/>
        <v>37.392268440434179</v>
      </c>
      <c r="CM180" s="133">
        <f t="shared" si="251"/>
        <v>30.220217427245814</v>
      </c>
      <c r="CN180" s="133">
        <f t="shared" si="251"/>
        <v>29.387458761507332</v>
      </c>
      <c r="CO180" s="133">
        <f t="shared" si="251"/>
        <v>37.491325191216561</v>
      </c>
      <c r="CP180" s="133">
        <f t="shared" si="251"/>
        <v>47.280364085407768</v>
      </c>
      <c r="CQ180" s="133">
        <f t="shared" si="251"/>
        <v>46.07307740088163</v>
      </c>
      <c r="CR180" s="133">
        <f t="shared" si="251"/>
        <v>52.335112158105289</v>
      </c>
      <c r="CS180" s="133">
        <f t="shared" si="251"/>
        <v>44.023999832078346</v>
      </c>
      <c r="CT180" s="133">
        <f t="shared" si="251"/>
        <v>51.571927829392223</v>
      </c>
      <c r="CU180" s="133">
        <f t="shared" si="251"/>
        <v>55.847258132695515</v>
      </c>
      <c r="CV180" s="133">
        <f t="shared" si="251"/>
        <v>61.402567252911808</v>
      </c>
      <c r="CW180" s="133">
        <f t="shared" si="251"/>
        <v>62.538135727526765</v>
      </c>
      <c r="CX180" s="133">
        <f t="shared" si="251"/>
        <v>67.629112305205183</v>
      </c>
      <c r="CY180" s="133">
        <f t="shared" si="251"/>
        <v>76.699572500123452</v>
      </c>
      <c r="CZ180" s="133">
        <f t="shared" si="251"/>
        <v>83.542938314297487</v>
      </c>
      <c r="DA180" s="133">
        <f t="shared" si="251"/>
        <v>83.27908765480953</v>
      </c>
    </row>
    <row r="181" spans="5:105">
      <c r="E181" s="137" t="s">
        <v>166</v>
      </c>
      <c r="F181" s="133">
        <f>IF(F179&lt;=100,F179,IF(F179&lt;200,200-F179,0))</f>
        <v>0</v>
      </c>
      <c r="G181" s="133">
        <f t="shared" ref="G181:BR181" si="252">IF(G179&lt;=100,G179,IF(G179&lt;200,200-G179,0))</f>
        <v>0</v>
      </c>
      <c r="H181" s="133">
        <f t="shared" si="252"/>
        <v>0</v>
      </c>
      <c r="I181" s="133">
        <f t="shared" si="252"/>
        <v>0</v>
      </c>
      <c r="J181" s="133">
        <f t="shared" si="252"/>
        <v>9.3100233632600927E-3</v>
      </c>
      <c r="K181" s="133">
        <f t="shared" si="252"/>
        <v>0</v>
      </c>
      <c r="L181" s="133">
        <f t="shared" si="252"/>
        <v>4.2838127990469719</v>
      </c>
      <c r="M181" s="133">
        <f t="shared" si="252"/>
        <v>0</v>
      </c>
      <c r="N181" s="133">
        <f t="shared" si="252"/>
        <v>0</v>
      </c>
      <c r="O181" s="133">
        <f t="shared" si="252"/>
        <v>0</v>
      </c>
      <c r="P181" s="133">
        <f t="shared" si="252"/>
        <v>20.033238934017952</v>
      </c>
      <c r="Q181" s="133">
        <f t="shared" si="252"/>
        <v>24.474140754722072</v>
      </c>
      <c r="R181" s="133">
        <f t="shared" si="252"/>
        <v>24.613273652542762</v>
      </c>
      <c r="S181" s="133">
        <f t="shared" si="252"/>
        <v>29.074208544271759</v>
      </c>
      <c r="T181" s="133">
        <f t="shared" si="252"/>
        <v>37.314689371603698</v>
      </c>
      <c r="U181" s="133">
        <f t="shared" si="252"/>
        <v>29.546363786139501</v>
      </c>
      <c r="V181" s="133">
        <f t="shared" si="252"/>
        <v>41.588380316449424</v>
      </c>
      <c r="W181" s="133">
        <f t="shared" si="252"/>
        <v>50.713601589791871</v>
      </c>
      <c r="X181" s="133">
        <f t="shared" si="252"/>
        <v>46.07952610940076</v>
      </c>
      <c r="Y181" s="133">
        <f t="shared" si="252"/>
        <v>63.796461062871721</v>
      </c>
      <c r="Z181" s="133">
        <f t="shared" si="252"/>
        <v>60.768792497436415</v>
      </c>
      <c r="AA181" s="133">
        <f t="shared" si="252"/>
        <v>71.469310909905076</v>
      </c>
      <c r="AB181" s="133">
        <f t="shared" si="252"/>
        <v>68.655806289297345</v>
      </c>
      <c r="AC181" s="133">
        <f t="shared" si="252"/>
        <v>83.649776868171259</v>
      </c>
      <c r="AD181" s="133">
        <f t="shared" si="252"/>
        <v>88.13089844168249</v>
      </c>
      <c r="AE181" s="133">
        <f t="shared" si="252"/>
        <v>90.055416474556793</v>
      </c>
      <c r="AF181" s="133">
        <f t="shared" si="252"/>
        <v>90.14912099488167</v>
      </c>
      <c r="AG181" s="133">
        <f t="shared" si="252"/>
        <v>97.784621053878595</v>
      </c>
      <c r="AH181" s="133">
        <f t="shared" si="252"/>
        <v>91.404662760378173</v>
      </c>
      <c r="AI181" s="133">
        <f t="shared" si="252"/>
        <v>96.939758425152831</v>
      </c>
      <c r="AJ181" s="133">
        <f t="shared" si="252"/>
        <v>95.421198391483571</v>
      </c>
      <c r="AK181" s="133">
        <f t="shared" si="252"/>
        <v>92.771187068462311</v>
      </c>
      <c r="AL181" s="133">
        <f t="shared" si="252"/>
        <v>86.673056386992869</v>
      </c>
      <c r="AM181" s="133">
        <f t="shared" si="252"/>
        <v>93.492601543635175</v>
      </c>
      <c r="AN181" s="133">
        <f t="shared" si="252"/>
        <v>80.823186145842243</v>
      </c>
      <c r="AO181" s="133">
        <f t="shared" si="252"/>
        <v>76.816531723937388</v>
      </c>
      <c r="AP181" s="133">
        <f t="shared" si="252"/>
        <v>95.88268952682057</v>
      </c>
      <c r="AQ181" s="133">
        <f t="shared" si="252"/>
        <v>66.953578720650114</v>
      </c>
      <c r="AR181" s="133">
        <f t="shared" si="252"/>
        <v>81.202286674239062</v>
      </c>
      <c r="AS181" s="133">
        <f t="shared" si="252"/>
        <v>69.909917142789595</v>
      </c>
      <c r="AT181" s="133">
        <f t="shared" si="252"/>
        <v>66.397578421902608</v>
      </c>
      <c r="AU181" s="133">
        <f t="shared" si="252"/>
        <v>62.628403634651562</v>
      </c>
      <c r="AV181" s="133">
        <f t="shared" si="252"/>
        <v>49.586497061037676</v>
      </c>
      <c r="AW181" s="133">
        <f t="shared" si="252"/>
        <v>51.959593684612344</v>
      </c>
      <c r="AX181" s="133">
        <f t="shared" si="252"/>
        <v>47.209030484941906</v>
      </c>
      <c r="AY181" s="133">
        <f t="shared" si="252"/>
        <v>38.636557877776966</v>
      </c>
      <c r="AZ181" s="133">
        <f t="shared" si="252"/>
        <v>41.152062133182142</v>
      </c>
      <c r="BA181" s="133">
        <f t="shared" si="252"/>
        <v>40.57614404153432</v>
      </c>
      <c r="BB181" s="133">
        <f t="shared" si="252"/>
        <v>26.646153375344852</v>
      </c>
      <c r="BC181" s="133">
        <f t="shared" si="252"/>
        <v>29.018041754771673</v>
      </c>
      <c r="BD181" s="133">
        <f t="shared" si="252"/>
        <v>9.0700920994680416</v>
      </c>
      <c r="BE181" s="133">
        <f t="shared" si="252"/>
        <v>7.2693745192430015</v>
      </c>
      <c r="BF181" s="133">
        <f t="shared" si="252"/>
        <v>7.2684357266166444</v>
      </c>
      <c r="BG181" s="133">
        <f t="shared" si="252"/>
        <v>0</v>
      </c>
      <c r="BH181" s="133">
        <f t="shared" si="252"/>
        <v>0</v>
      </c>
      <c r="BI181" s="133">
        <f t="shared" si="252"/>
        <v>0</v>
      </c>
      <c r="BJ181" s="133">
        <f t="shared" si="252"/>
        <v>0</v>
      </c>
      <c r="BK181" s="133">
        <f t="shared" si="252"/>
        <v>0</v>
      </c>
      <c r="BL181" s="133">
        <f t="shared" si="252"/>
        <v>0</v>
      </c>
      <c r="BM181" s="133">
        <f t="shared" si="252"/>
        <v>0</v>
      </c>
      <c r="BN181" s="133">
        <f t="shared" si="252"/>
        <v>0</v>
      </c>
      <c r="BO181" s="133">
        <f t="shared" si="252"/>
        <v>0</v>
      </c>
      <c r="BP181" s="133">
        <f t="shared" si="252"/>
        <v>0</v>
      </c>
      <c r="BQ181" s="133">
        <f t="shared" si="252"/>
        <v>0</v>
      </c>
      <c r="BR181" s="133">
        <f t="shared" si="252"/>
        <v>0</v>
      </c>
      <c r="BS181" s="133">
        <f t="shared" ref="BS181:DA181" si="253">IF(BS179&lt;=100,BS179,IF(BS179&lt;200,200-BS179,0))</f>
        <v>0</v>
      </c>
      <c r="BT181" s="133">
        <f t="shared" si="253"/>
        <v>0</v>
      </c>
      <c r="BU181" s="133">
        <f t="shared" si="253"/>
        <v>0</v>
      </c>
      <c r="BV181" s="133">
        <f t="shared" si="253"/>
        <v>0</v>
      </c>
      <c r="BW181" s="133">
        <f t="shared" si="253"/>
        <v>0</v>
      </c>
      <c r="BX181" s="133">
        <f t="shared" si="253"/>
        <v>0</v>
      </c>
      <c r="BY181" s="133">
        <f t="shared" si="253"/>
        <v>0</v>
      </c>
      <c r="BZ181" s="133">
        <f t="shared" si="253"/>
        <v>0</v>
      </c>
      <c r="CA181" s="133">
        <f t="shared" si="253"/>
        <v>0</v>
      </c>
      <c r="CB181" s="133">
        <f t="shared" si="253"/>
        <v>0</v>
      </c>
      <c r="CC181" s="133">
        <f t="shared" si="253"/>
        <v>0</v>
      </c>
      <c r="CD181" s="133">
        <f t="shared" si="253"/>
        <v>0</v>
      </c>
      <c r="CE181" s="133">
        <f t="shared" si="253"/>
        <v>0</v>
      </c>
      <c r="CF181" s="133">
        <f t="shared" si="253"/>
        <v>0</v>
      </c>
      <c r="CG181" s="133">
        <f t="shared" si="253"/>
        <v>0</v>
      </c>
      <c r="CH181" s="133">
        <f t="shared" si="253"/>
        <v>0</v>
      </c>
      <c r="CI181" s="133">
        <f t="shared" si="253"/>
        <v>0</v>
      </c>
      <c r="CJ181" s="133">
        <f t="shared" si="253"/>
        <v>0</v>
      </c>
      <c r="CK181" s="133">
        <f t="shared" si="253"/>
        <v>0</v>
      </c>
      <c r="CL181" s="133">
        <f t="shared" si="253"/>
        <v>0</v>
      </c>
      <c r="CM181" s="133">
        <f t="shared" si="253"/>
        <v>0</v>
      </c>
      <c r="CN181" s="133">
        <f t="shared" si="253"/>
        <v>0</v>
      </c>
      <c r="CO181" s="133">
        <f t="shared" si="253"/>
        <v>0</v>
      </c>
      <c r="CP181" s="133">
        <f t="shared" si="253"/>
        <v>0</v>
      </c>
      <c r="CQ181" s="133">
        <f t="shared" si="253"/>
        <v>0</v>
      </c>
      <c r="CR181" s="133">
        <f t="shared" si="253"/>
        <v>0</v>
      </c>
      <c r="CS181" s="133">
        <f t="shared" si="253"/>
        <v>0</v>
      </c>
      <c r="CT181" s="133">
        <f t="shared" si="253"/>
        <v>0</v>
      </c>
      <c r="CU181" s="133">
        <f t="shared" si="253"/>
        <v>0</v>
      </c>
      <c r="CV181" s="133">
        <f t="shared" si="253"/>
        <v>0</v>
      </c>
      <c r="CW181" s="133">
        <f t="shared" si="253"/>
        <v>0</v>
      </c>
      <c r="CX181" s="133">
        <f t="shared" si="253"/>
        <v>0</v>
      </c>
      <c r="CY181" s="133">
        <f t="shared" si="253"/>
        <v>0</v>
      </c>
      <c r="CZ181" s="133">
        <f t="shared" si="253"/>
        <v>0</v>
      </c>
      <c r="DA181" s="133">
        <f t="shared" si="253"/>
        <v>0</v>
      </c>
    </row>
    <row r="182" spans="5:105">
      <c r="E182" s="137" t="s">
        <v>167</v>
      </c>
      <c r="F182" s="133">
        <f>IF(F179&gt;100,IF(F179&lt;=200,F179-100,IF(F179&lt;300,300-F179,0)),0)</f>
        <v>0</v>
      </c>
      <c r="G182" s="133">
        <f t="shared" ref="G182:BR182" si="254">IF(G179&gt;100,IF(G179&lt;=200,G179-100,IF(G179&lt;300,300-G179,0)),0)</f>
        <v>0</v>
      </c>
      <c r="H182" s="133">
        <f t="shared" si="254"/>
        <v>0</v>
      </c>
      <c r="I182" s="133">
        <f t="shared" si="254"/>
        <v>0</v>
      </c>
      <c r="J182" s="133">
        <f t="shared" si="254"/>
        <v>0</v>
      </c>
      <c r="K182" s="133">
        <f t="shared" si="254"/>
        <v>0</v>
      </c>
      <c r="L182" s="133">
        <f t="shared" si="254"/>
        <v>0</v>
      </c>
      <c r="M182" s="133">
        <f t="shared" si="254"/>
        <v>0</v>
      </c>
      <c r="N182" s="133">
        <f t="shared" si="254"/>
        <v>0</v>
      </c>
      <c r="O182" s="133">
        <f t="shared" si="254"/>
        <v>0</v>
      </c>
      <c r="P182" s="133">
        <f t="shared" si="254"/>
        <v>0</v>
      </c>
      <c r="Q182" s="133">
        <f t="shared" si="254"/>
        <v>0</v>
      </c>
      <c r="R182" s="133">
        <f t="shared" si="254"/>
        <v>0</v>
      </c>
      <c r="S182" s="133">
        <f t="shared" si="254"/>
        <v>0</v>
      </c>
      <c r="T182" s="133">
        <f t="shared" si="254"/>
        <v>0</v>
      </c>
      <c r="U182" s="133">
        <f t="shared" si="254"/>
        <v>0</v>
      </c>
      <c r="V182" s="133">
        <f t="shared" si="254"/>
        <v>0</v>
      </c>
      <c r="W182" s="133">
        <f t="shared" si="254"/>
        <v>0</v>
      </c>
      <c r="X182" s="133">
        <f t="shared" si="254"/>
        <v>0</v>
      </c>
      <c r="Y182" s="133">
        <f t="shared" si="254"/>
        <v>0</v>
      </c>
      <c r="Z182" s="133">
        <f t="shared" si="254"/>
        <v>0</v>
      </c>
      <c r="AA182" s="133">
        <f t="shared" si="254"/>
        <v>0</v>
      </c>
      <c r="AB182" s="133">
        <f t="shared" si="254"/>
        <v>0</v>
      </c>
      <c r="AC182" s="133">
        <f t="shared" si="254"/>
        <v>0</v>
      </c>
      <c r="AD182" s="133">
        <f t="shared" si="254"/>
        <v>0</v>
      </c>
      <c r="AE182" s="133">
        <f t="shared" si="254"/>
        <v>0</v>
      </c>
      <c r="AF182" s="133">
        <f t="shared" si="254"/>
        <v>0</v>
      </c>
      <c r="AG182" s="133">
        <f t="shared" si="254"/>
        <v>0</v>
      </c>
      <c r="AH182" s="133">
        <f t="shared" si="254"/>
        <v>8.5953372396218271</v>
      </c>
      <c r="AI182" s="133">
        <f t="shared" si="254"/>
        <v>3.0602415748471685</v>
      </c>
      <c r="AJ182" s="133">
        <f t="shared" si="254"/>
        <v>0</v>
      </c>
      <c r="AK182" s="133">
        <f t="shared" si="254"/>
        <v>7.2288129315376892</v>
      </c>
      <c r="AL182" s="133">
        <f t="shared" si="254"/>
        <v>13.326943613007131</v>
      </c>
      <c r="AM182" s="133">
        <f t="shared" si="254"/>
        <v>6.5073984563648253</v>
      </c>
      <c r="AN182" s="133">
        <f t="shared" si="254"/>
        <v>19.176813854157757</v>
      </c>
      <c r="AO182" s="133">
        <f t="shared" si="254"/>
        <v>23.183468276062612</v>
      </c>
      <c r="AP182" s="133">
        <f t="shared" si="254"/>
        <v>0</v>
      </c>
      <c r="AQ182" s="133">
        <f t="shared" si="254"/>
        <v>33.046421279349886</v>
      </c>
      <c r="AR182" s="133">
        <f t="shared" si="254"/>
        <v>18.797713325760938</v>
      </c>
      <c r="AS182" s="133">
        <f t="shared" si="254"/>
        <v>30.090082857210405</v>
      </c>
      <c r="AT182" s="133">
        <f t="shared" si="254"/>
        <v>33.602421578097392</v>
      </c>
      <c r="AU182" s="133">
        <f t="shared" si="254"/>
        <v>37.371596365348438</v>
      </c>
      <c r="AV182" s="133">
        <f t="shared" si="254"/>
        <v>50.413502938962324</v>
      </c>
      <c r="AW182" s="133">
        <f t="shared" si="254"/>
        <v>48.040406315387656</v>
      </c>
      <c r="AX182" s="133">
        <f t="shared" si="254"/>
        <v>52.790969515058094</v>
      </c>
      <c r="AY182" s="133">
        <f t="shared" si="254"/>
        <v>61.363442122223034</v>
      </c>
      <c r="AZ182" s="133">
        <f t="shared" si="254"/>
        <v>58.847937866817858</v>
      </c>
      <c r="BA182" s="133">
        <f t="shared" si="254"/>
        <v>59.42385595846568</v>
      </c>
      <c r="BB182" s="133">
        <f t="shared" si="254"/>
        <v>73.353846624655148</v>
      </c>
      <c r="BC182" s="133">
        <f t="shared" si="254"/>
        <v>70.981958245228327</v>
      </c>
      <c r="BD182" s="133">
        <f t="shared" si="254"/>
        <v>90.929907900531958</v>
      </c>
      <c r="BE182" s="133">
        <f t="shared" si="254"/>
        <v>92.730625480756999</v>
      </c>
      <c r="BF182" s="133">
        <f t="shared" si="254"/>
        <v>92.731564273383356</v>
      </c>
      <c r="BG182" s="133">
        <f t="shared" si="254"/>
        <v>91.301442638280633</v>
      </c>
      <c r="BH182" s="133">
        <f t="shared" si="254"/>
        <v>71.794285050101706</v>
      </c>
      <c r="BI182" s="133">
        <f t="shared" si="254"/>
        <v>62.314867484317915</v>
      </c>
      <c r="BJ182" s="133">
        <f t="shared" si="254"/>
        <v>66.256132702518499</v>
      </c>
      <c r="BK182" s="133">
        <f t="shared" si="254"/>
        <v>65.276941958040425</v>
      </c>
      <c r="BL182" s="133">
        <f t="shared" si="254"/>
        <v>58.559369626295876</v>
      </c>
      <c r="BM182" s="133">
        <f t="shared" si="254"/>
        <v>56.924575082233503</v>
      </c>
      <c r="BN182" s="133">
        <f t="shared" si="254"/>
        <v>30.964154631708993</v>
      </c>
      <c r="BO182" s="133">
        <f t="shared" si="254"/>
        <v>36.957209374922797</v>
      </c>
      <c r="BP182" s="133">
        <f t="shared" si="254"/>
        <v>11.706438571468368</v>
      </c>
      <c r="BQ182" s="133">
        <f t="shared" si="254"/>
        <v>0</v>
      </c>
      <c r="BR182" s="133">
        <f t="shared" si="254"/>
        <v>30.319453744176258</v>
      </c>
      <c r="BS182" s="133">
        <f t="shared" ref="BS182:DA182" si="255">IF(BS179&gt;100,IF(BS179&lt;=200,BS179-100,IF(BS179&lt;300,300-BS179,0)),0)</f>
        <v>24.073865218620654</v>
      </c>
      <c r="BT182" s="133">
        <f t="shared" si="255"/>
        <v>19.019648330077985</v>
      </c>
      <c r="BU182" s="133">
        <f t="shared" si="255"/>
        <v>16.335433207031031</v>
      </c>
      <c r="BV182" s="133">
        <f t="shared" si="255"/>
        <v>7.5747367680997399</v>
      </c>
      <c r="BW182" s="133">
        <f t="shared" si="255"/>
        <v>0</v>
      </c>
      <c r="BX182" s="133">
        <f t="shared" si="255"/>
        <v>0</v>
      </c>
      <c r="BY182" s="133">
        <f t="shared" si="255"/>
        <v>0</v>
      </c>
      <c r="BZ182" s="133">
        <f t="shared" si="255"/>
        <v>0</v>
      </c>
      <c r="CA182" s="133">
        <f t="shared" si="255"/>
        <v>0</v>
      </c>
      <c r="CB182" s="133">
        <f t="shared" si="255"/>
        <v>0</v>
      </c>
      <c r="CC182" s="133">
        <f t="shared" si="255"/>
        <v>0</v>
      </c>
      <c r="CD182" s="133">
        <f t="shared" si="255"/>
        <v>0</v>
      </c>
      <c r="CE182" s="133">
        <f t="shared" si="255"/>
        <v>0</v>
      </c>
      <c r="CF182" s="133">
        <f t="shared" si="255"/>
        <v>0</v>
      </c>
      <c r="CG182" s="133">
        <f t="shared" si="255"/>
        <v>0</v>
      </c>
      <c r="CH182" s="133">
        <f t="shared" si="255"/>
        <v>0</v>
      </c>
      <c r="CI182" s="133">
        <f t="shared" si="255"/>
        <v>0</v>
      </c>
      <c r="CJ182" s="133">
        <f t="shared" si="255"/>
        <v>0</v>
      </c>
      <c r="CK182" s="133">
        <f t="shared" si="255"/>
        <v>0</v>
      </c>
      <c r="CL182" s="133">
        <f t="shared" si="255"/>
        <v>0</v>
      </c>
      <c r="CM182" s="133">
        <f t="shared" si="255"/>
        <v>0</v>
      </c>
      <c r="CN182" s="133">
        <f t="shared" si="255"/>
        <v>0</v>
      </c>
      <c r="CO182" s="133">
        <f t="shared" si="255"/>
        <v>0</v>
      </c>
      <c r="CP182" s="133">
        <f t="shared" si="255"/>
        <v>0</v>
      </c>
      <c r="CQ182" s="133">
        <f t="shared" si="255"/>
        <v>0</v>
      </c>
      <c r="CR182" s="133">
        <f t="shared" si="255"/>
        <v>0</v>
      </c>
      <c r="CS182" s="133">
        <f t="shared" si="255"/>
        <v>0</v>
      </c>
      <c r="CT182" s="133">
        <f t="shared" si="255"/>
        <v>0</v>
      </c>
      <c r="CU182" s="133">
        <f t="shared" si="255"/>
        <v>0</v>
      </c>
      <c r="CV182" s="133">
        <f t="shared" si="255"/>
        <v>0</v>
      </c>
      <c r="CW182" s="133">
        <f t="shared" si="255"/>
        <v>0</v>
      </c>
      <c r="CX182" s="133">
        <f t="shared" si="255"/>
        <v>0</v>
      </c>
      <c r="CY182" s="133">
        <f t="shared" si="255"/>
        <v>0</v>
      </c>
      <c r="CZ182" s="133">
        <f t="shared" si="255"/>
        <v>0</v>
      </c>
      <c r="DA182" s="133">
        <f t="shared" si="255"/>
        <v>0</v>
      </c>
    </row>
    <row r="183" spans="5:105">
      <c r="E183" s="137" t="s">
        <v>168</v>
      </c>
      <c r="F183" s="133">
        <f>IF(F179&gt;300,400-F179,IF(F179&gt;200,F179-200,0))</f>
        <v>9.8643911456259161</v>
      </c>
      <c r="G183" s="133">
        <f t="shared" ref="G183:BR183" si="256">IF(G179&gt;300,400-G179,IF(G179&gt;200,G179-200,0))</f>
        <v>11.659512710268302</v>
      </c>
      <c r="H183" s="133">
        <f t="shared" si="256"/>
        <v>9.4450631997407299</v>
      </c>
      <c r="I183" s="133">
        <f t="shared" si="256"/>
        <v>13.060216407683072</v>
      </c>
      <c r="J183" s="133">
        <f t="shared" si="256"/>
        <v>0</v>
      </c>
      <c r="K183" s="133">
        <f t="shared" si="256"/>
        <v>2.2410203134894573</v>
      </c>
      <c r="L183" s="133">
        <f t="shared" si="256"/>
        <v>0</v>
      </c>
      <c r="M183" s="133">
        <f t="shared" si="256"/>
        <v>0.83511785115234716</v>
      </c>
      <c r="N183" s="133">
        <f t="shared" si="256"/>
        <v>0.69463490842156261</v>
      </c>
      <c r="O183" s="133">
        <f t="shared" si="256"/>
        <v>11.096341037783475</v>
      </c>
      <c r="P183" s="133">
        <f t="shared" si="256"/>
        <v>0</v>
      </c>
      <c r="Q183" s="133">
        <f t="shared" si="256"/>
        <v>0</v>
      </c>
      <c r="R183" s="133">
        <f t="shared" si="256"/>
        <v>0</v>
      </c>
      <c r="S183" s="133">
        <f t="shared" si="256"/>
        <v>0</v>
      </c>
      <c r="T183" s="133">
        <f t="shared" si="256"/>
        <v>0</v>
      </c>
      <c r="U183" s="133">
        <f t="shared" si="256"/>
        <v>0</v>
      </c>
      <c r="V183" s="133">
        <f t="shared" si="256"/>
        <v>0</v>
      </c>
      <c r="W183" s="133">
        <f t="shared" si="256"/>
        <v>0</v>
      </c>
      <c r="X183" s="133">
        <f t="shared" si="256"/>
        <v>0</v>
      </c>
      <c r="Y183" s="133">
        <f t="shared" si="256"/>
        <v>0</v>
      </c>
      <c r="Z183" s="133">
        <f t="shared" si="256"/>
        <v>0</v>
      </c>
      <c r="AA183" s="133">
        <f t="shared" si="256"/>
        <v>0</v>
      </c>
      <c r="AB183" s="133">
        <f t="shared" si="256"/>
        <v>0</v>
      </c>
      <c r="AC183" s="133">
        <f t="shared" si="256"/>
        <v>0</v>
      </c>
      <c r="AD183" s="133">
        <f t="shared" si="256"/>
        <v>0</v>
      </c>
      <c r="AE183" s="133">
        <f t="shared" si="256"/>
        <v>0</v>
      </c>
      <c r="AF183" s="133">
        <f t="shared" si="256"/>
        <v>0</v>
      </c>
      <c r="AG183" s="133">
        <f t="shared" si="256"/>
        <v>0</v>
      </c>
      <c r="AH183" s="133">
        <f t="shared" si="256"/>
        <v>0</v>
      </c>
      <c r="AI183" s="133">
        <f t="shared" si="256"/>
        <v>0</v>
      </c>
      <c r="AJ183" s="133">
        <f t="shared" si="256"/>
        <v>0</v>
      </c>
      <c r="AK183" s="133">
        <f t="shared" si="256"/>
        <v>0</v>
      </c>
      <c r="AL183" s="133">
        <f t="shared" si="256"/>
        <v>0</v>
      </c>
      <c r="AM183" s="133">
        <f t="shared" si="256"/>
        <v>0</v>
      </c>
      <c r="AN183" s="133">
        <f t="shared" si="256"/>
        <v>0</v>
      </c>
      <c r="AO183" s="133">
        <f t="shared" si="256"/>
        <v>0</v>
      </c>
      <c r="AP183" s="133">
        <f t="shared" si="256"/>
        <v>0</v>
      </c>
      <c r="AQ183" s="133">
        <f t="shared" si="256"/>
        <v>0</v>
      </c>
      <c r="AR183" s="133">
        <f t="shared" si="256"/>
        <v>0</v>
      </c>
      <c r="AS183" s="133">
        <f t="shared" si="256"/>
        <v>0</v>
      </c>
      <c r="AT183" s="133">
        <f t="shared" si="256"/>
        <v>0</v>
      </c>
      <c r="AU183" s="133">
        <f t="shared" si="256"/>
        <v>0</v>
      </c>
      <c r="AV183" s="133">
        <f t="shared" si="256"/>
        <v>0</v>
      </c>
      <c r="AW183" s="133">
        <f t="shared" si="256"/>
        <v>0</v>
      </c>
      <c r="AX183" s="133">
        <f t="shared" si="256"/>
        <v>0</v>
      </c>
      <c r="AY183" s="133">
        <f t="shared" si="256"/>
        <v>0</v>
      </c>
      <c r="AZ183" s="133">
        <f t="shared" si="256"/>
        <v>0</v>
      </c>
      <c r="BA183" s="133">
        <f t="shared" si="256"/>
        <v>0</v>
      </c>
      <c r="BB183" s="133">
        <f t="shared" si="256"/>
        <v>0</v>
      </c>
      <c r="BC183" s="133">
        <f t="shared" si="256"/>
        <v>0</v>
      </c>
      <c r="BD183" s="133">
        <f t="shared" si="256"/>
        <v>0</v>
      </c>
      <c r="BE183" s="133">
        <f t="shared" si="256"/>
        <v>0</v>
      </c>
      <c r="BF183" s="133">
        <f t="shared" si="256"/>
        <v>0</v>
      </c>
      <c r="BG183" s="133">
        <f t="shared" si="256"/>
        <v>8.6985573617193666</v>
      </c>
      <c r="BH183" s="133">
        <f t="shared" si="256"/>
        <v>28.205714949898294</v>
      </c>
      <c r="BI183" s="133">
        <f t="shared" si="256"/>
        <v>37.685132515682085</v>
      </c>
      <c r="BJ183" s="133">
        <f t="shared" si="256"/>
        <v>33.743867297481501</v>
      </c>
      <c r="BK183" s="133">
        <f t="shared" si="256"/>
        <v>34.723058041959575</v>
      </c>
      <c r="BL183" s="133">
        <f t="shared" si="256"/>
        <v>41.440630373704124</v>
      </c>
      <c r="BM183" s="133">
        <f t="shared" si="256"/>
        <v>43.075424917766497</v>
      </c>
      <c r="BN183" s="133">
        <f t="shared" si="256"/>
        <v>69.035845368291007</v>
      </c>
      <c r="BO183" s="133">
        <f t="shared" si="256"/>
        <v>63.042790625077203</v>
      </c>
      <c r="BP183" s="133">
        <f t="shared" si="256"/>
        <v>88.293561428531632</v>
      </c>
      <c r="BQ183" s="133">
        <f t="shared" si="256"/>
        <v>72.257049860664779</v>
      </c>
      <c r="BR183" s="133">
        <f t="shared" si="256"/>
        <v>69.680546255823742</v>
      </c>
      <c r="BS183" s="133">
        <f t="shared" ref="BS183:DA183" si="257">IF(BS179&gt;300,400-BS179,IF(BS179&gt;200,BS179-200,0))</f>
        <v>75.926134781379346</v>
      </c>
      <c r="BT183" s="133">
        <f t="shared" si="257"/>
        <v>80.980351669922015</v>
      </c>
      <c r="BU183" s="133">
        <f t="shared" si="257"/>
        <v>83.664566792968969</v>
      </c>
      <c r="BV183" s="133">
        <f t="shared" si="257"/>
        <v>92.42526323190026</v>
      </c>
      <c r="BW183" s="133">
        <f t="shared" si="257"/>
        <v>95.16813955245334</v>
      </c>
      <c r="BX183" s="133">
        <f t="shared" si="257"/>
        <v>98.859766742272996</v>
      </c>
      <c r="BY183" s="133">
        <f t="shared" si="257"/>
        <v>95.616545075029876</v>
      </c>
      <c r="BZ183" s="133">
        <f t="shared" si="257"/>
        <v>97.061954039041893</v>
      </c>
      <c r="CA183" s="133">
        <f t="shared" si="257"/>
        <v>98.106484071292527</v>
      </c>
      <c r="CB183" s="133">
        <f t="shared" si="257"/>
        <v>90.909033993064156</v>
      </c>
      <c r="CC183" s="133">
        <f t="shared" si="257"/>
        <v>92.0109872283752</v>
      </c>
      <c r="CD183" s="133">
        <f t="shared" si="257"/>
        <v>91.204086822375359</v>
      </c>
      <c r="CE183" s="133">
        <f t="shared" si="257"/>
        <v>90.865897038850619</v>
      </c>
      <c r="CF183" s="133">
        <f t="shared" si="257"/>
        <v>89.76372577278039</v>
      </c>
      <c r="CG183" s="133">
        <f t="shared" si="257"/>
        <v>86.4069462190987</v>
      </c>
      <c r="CH183" s="133">
        <f t="shared" si="257"/>
        <v>79.511652516066874</v>
      </c>
      <c r="CI183" s="133">
        <f t="shared" si="257"/>
        <v>78.487318836227814</v>
      </c>
      <c r="CJ183" s="133">
        <f t="shared" si="257"/>
        <v>76.917520099281433</v>
      </c>
      <c r="CK183" s="133">
        <f t="shared" si="257"/>
        <v>74.827425808329906</v>
      </c>
      <c r="CL183" s="133">
        <f t="shared" si="257"/>
        <v>62.607731559565821</v>
      </c>
      <c r="CM183" s="133">
        <f t="shared" si="257"/>
        <v>69.779782572754186</v>
      </c>
      <c r="CN183" s="133">
        <f t="shared" si="257"/>
        <v>70.612541238492668</v>
      </c>
      <c r="CO183" s="133">
        <f t="shared" si="257"/>
        <v>62.508674808783439</v>
      </c>
      <c r="CP183" s="133">
        <f t="shared" si="257"/>
        <v>52.719635914592232</v>
      </c>
      <c r="CQ183" s="133">
        <f t="shared" si="257"/>
        <v>53.92692259911837</v>
      </c>
      <c r="CR183" s="133">
        <f t="shared" si="257"/>
        <v>47.664887841894711</v>
      </c>
      <c r="CS183" s="133">
        <f t="shared" si="257"/>
        <v>55.976000167921654</v>
      </c>
      <c r="CT183" s="133">
        <f t="shared" si="257"/>
        <v>48.428072170607777</v>
      </c>
      <c r="CU183" s="133">
        <f t="shared" si="257"/>
        <v>44.152741867304485</v>
      </c>
      <c r="CV183" s="133">
        <f t="shared" si="257"/>
        <v>38.597432747088192</v>
      </c>
      <c r="CW183" s="133">
        <f t="shared" si="257"/>
        <v>37.461864272473235</v>
      </c>
      <c r="CX183" s="133">
        <f t="shared" si="257"/>
        <v>32.370887694794817</v>
      </c>
      <c r="CY183" s="133">
        <f t="shared" si="257"/>
        <v>23.300427499876548</v>
      </c>
      <c r="CZ183" s="133">
        <f t="shared" si="257"/>
        <v>16.457061685702513</v>
      </c>
      <c r="DA183" s="133">
        <f t="shared" si="257"/>
        <v>16.72091234519047</v>
      </c>
    </row>
    <row r="184" spans="5:105">
      <c r="E184" s="137" t="s">
        <v>169</v>
      </c>
      <c r="F184" s="133">
        <f t="shared" ref="F184:BQ184" si="258">((12500/13)*$F$48*F144)*(COS((F178*PI()/180)+2)+3.8)</f>
        <v>3160.5598839618074</v>
      </c>
      <c r="G184" s="133">
        <f t="shared" si="258"/>
        <v>3199.3066896758919</v>
      </c>
      <c r="H184" s="133">
        <f t="shared" si="258"/>
        <v>3151.7541337543616</v>
      </c>
      <c r="I184" s="133">
        <f t="shared" si="258"/>
        <v>3230.7164459992041</v>
      </c>
      <c r="J184" s="133">
        <f t="shared" si="258"/>
        <v>2977.9451615434386</v>
      </c>
      <c r="K184" s="133">
        <f t="shared" si="258"/>
        <v>3015.0109531765165</v>
      </c>
      <c r="L184" s="133">
        <f t="shared" si="258"/>
        <v>2938.708293953719</v>
      </c>
      <c r="M184" s="133">
        <f t="shared" si="258"/>
        <v>2991.5088680720041</v>
      </c>
      <c r="N184" s="133">
        <f t="shared" si="258"/>
        <v>2989.2168763995915</v>
      </c>
      <c r="O184" s="133">
        <f t="shared" si="258"/>
        <v>3186.9680311343614</v>
      </c>
      <c r="P184" s="133">
        <f t="shared" si="258"/>
        <v>2819.6377740279654</v>
      </c>
      <c r="Q184" s="133">
        <f t="shared" si="258"/>
        <v>2793.3471729475905</v>
      </c>
      <c r="R184" s="133">
        <f t="shared" si="258"/>
        <v>2792.5749782068156</v>
      </c>
      <c r="S184" s="133">
        <f t="shared" si="258"/>
        <v>2769.4643077434971</v>
      </c>
      <c r="T184" s="133">
        <f t="shared" si="258"/>
        <v>2735.0757696198648</v>
      </c>
      <c r="U184" s="133">
        <f t="shared" si="258"/>
        <v>2767.2044603589934</v>
      </c>
      <c r="V184" s="133">
        <f t="shared" si="258"/>
        <v>2721.3984064497217</v>
      </c>
      <c r="W184" s="133">
        <f t="shared" si="258"/>
        <v>2701.3853339481002</v>
      </c>
      <c r="X184" s="133">
        <f t="shared" si="258"/>
        <v>2710.0083333696753</v>
      </c>
      <c r="Y184" s="133">
        <f t="shared" si="258"/>
        <v>2693.4183393117196</v>
      </c>
      <c r="Z184" s="133">
        <f t="shared" si="258"/>
        <v>2693.1836007898678</v>
      </c>
      <c r="AA184" s="133">
        <f t="shared" si="258"/>
        <v>2699.3212880494516</v>
      </c>
      <c r="AB184" s="133">
        <f t="shared" si="258"/>
        <v>2696.2924763846545</v>
      </c>
      <c r="AC184" s="133">
        <f t="shared" si="258"/>
        <v>2723.296063901751</v>
      </c>
      <c r="AD184" s="133">
        <f t="shared" si="258"/>
        <v>2736.2749994591445</v>
      </c>
      <c r="AE184" s="133">
        <f t="shared" si="258"/>
        <v>2742.4906200838727</v>
      </c>
      <c r="AF184" s="133">
        <f t="shared" si="258"/>
        <v>2742.8028548961929</v>
      </c>
      <c r="AG184" s="133">
        <f t="shared" si="258"/>
        <v>2771.1265910655193</v>
      </c>
      <c r="AH184" s="133">
        <f t="shared" si="258"/>
        <v>2815.1672228862385</v>
      </c>
      <c r="AI184" s="133">
        <f t="shared" si="258"/>
        <v>2791.9229373796315</v>
      </c>
      <c r="AJ184" s="133">
        <f t="shared" si="258"/>
        <v>2761.7645211633167</v>
      </c>
      <c r="AK184" s="133">
        <f t="shared" si="258"/>
        <v>2809.1396674636326</v>
      </c>
      <c r="AL184" s="133">
        <f t="shared" si="258"/>
        <v>2837.563316432299</v>
      </c>
      <c r="AM184" s="133">
        <f t="shared" si="258"/>
        <v>2806.0350809527904</v>
      </c>
      <c r="AN184" s="133">
        <f t="shared" si="258"/>
        <v>2868.6838401087548</v>
      </c>
      <c r="AO184" s="133">
        <f t="shared" si="258"/>
        <v>2892.3133268752176</v>
      </c>
      <c r="AP184" s="133">
        <f t="shared" si="258"/>
        <v>2763.551685849196</v>
      </c>
      <c r="AQ184" s="133">
        <f t="shared" si="258"/>
        <v>2959.0937118018992</v>
      </c>
      <c r="AR184" s="133">
        <f t="shared" si="258"/>
        <v>2866.5475174713993</v>
      </c>
      <c r="AS184" s="133">
        <f t="shared" si="258"/>
        <v>2937.7419887679457</v>
      </c>
      <c r="AT184" s="133">
        <f t="shared" si="258"/>
        <v>2963.2414827878465</v>
      </c>
      <c r="AU184" s="133">
        <f t="shared" si="258"/>
        <v>2992.4883952750165</v>
      </c>
      <c r="AV184" s="133">
        <f t="shared" si="258"/>
        <v>3109.6580512920486</v>
      </c>
      <c r="AW184" s="133">
        <f t="shared" si="258"/>
        <v>3086.4213512406527</v>
      </c>
      <c r="AX184" s="133">
        <f t="shared" si="258"/>
        <v>3133.8240348860049</v>
      </c>
      <c r="AY184" s="133">
        <f t="shared" si="258"/>
        <v>3228.5151328703855</v>
      </c>
      <c r="AZ184" s="133">
        <f t="shared" si="258"/>
        <v>3199.4856598575766</v>
      </c>
      <c r="BA184" s="133">
        <f t="shared" si="258"/>
        <v>3206.039873903957</v>
      </c>
      <c r="BB184" s="133">
        <f t="shared" si="258"/>
        <v>3381.3713310694898</v>
      </c>
      <c r="BC184" s="133">
        <f t="shared" si="258"/>
        <v>3349.2253901503072</v>
      </c>
      <c r="BD184" s="133">
        <f t="shared" si="258"/>
        <v>3647.919284530793</v>
      </c>
      <c r="BE184" s="133">
        <f t="shared" si="258"/>
        <v>3677.8489654403429</v>
      </c>
      <c r="BF184" s="133">
        <f t="shared" si="258"/>
        <v>3677.8646826426016</v>
      </c>
      <c r="BG184" s="133">
        <f t="shared" si="258"/>
        <v>3891.4157025538534</v>
      </c>
      <c r="BH184" s="133">
        <f t="shared" si="258"/>
        <v>4090.3545386503165</v>
      </c>
      <c r="BI184" s="133">
        <f t="shared" si="258"/>
        <v>4184.3827907876166</v>
      </c>
      <c r="BJ184" s="133">
        <f t="shared" si="258"/>
        <v>4145.662965444697</v>
      </c>
      <c r="BK184" s="133">
        <f t="shared" si="258"/>
        <v>4155.3387057402106</v>
      </c>
      <c r="BL184" s="133">
        <f t="shared" si="258"/>
        <v>4220.6531941596413</v>
      </c>
      <c r="BM184" s="133">
        <f t="shared" si="258"/>
        <v>4236.2225929519309</v>
      </c>
      <c r="BN184" s="133">
        <f t="shared" si="258"/>
        <v>4456.8361211926149</v>
      </c>
      <c r="BO184" s="133">
        <f t="shared" si="258"/>
        <v>4411.4372026020264</v>
      </c>
      <c r="BP184" s="133">
        <f t="shared" si="258"/>
        <v>4570.0380433364317</v>
      </c>
      <c r="BQ184" s="133">
        <f t="shared" si="258"/>
        <v>4378.6429366856373</v>
      </c>
      <c r="BR184" s="133">
        <f t="shared" ref="BR184:DA184" si="259">((12500/13)*$F$48*BR144)*(COS((BR178*PI()/180)+2)+3.8)</f>
        <v>4461.4711479244816</v>
      </c>
      <c r="BS184" s="133">
        <f t="shared" si="259"/>
        <v>4503.6066503876118</v>
      </c>
      <c r="BT184" s="133">
        <f t="shared" si="259"/>
        <v>4533.6968256904083</v>
      </c>
      <c r="BU184" s="133">
        <f t="shared" si="259"/>
        <v>4548.0735658461772</v>
      </c>
      <c r="BV184" s="133">
        <f t="shared" si="259"/>
        <v>4586.4029884244464</v>
      </c>
      <c r="BW184" s="133">
        <f t="shared" si="259"/>
        <v>4616.4287344770482</v>
      </c>
      <c r="BX184" s="133">
        <f t="shared" si="259"/>
        <v>4612.1783104395754</v>
      </c>
      <c r="BY184" s="133">
        <f t="shared" si="259"/>
        <v>4616.7145630324194</v>
      </c>
      <c r="BZ184" s="133">
        <f t="shared" si="259"/>
        <v>4616.150424589543</v>
      </c>
      <c r="CA184" s="133">
        <f t="shared" si="259"/>
        <v>4614.2935062375236</v>
      </c>
      <c r="CB184" s="133">
        <f t="shared" si="259"/>
        <v>4603.457137297165</v>
      </c>
      <c r="CC184" s="133">
        <f t="shared" si="259"/>
        <v>4608.5288991099878</v>
      </c>
      <c r="CD184" s="133">
        <f t="shared" si="259"/>
        <v>4604.9276770573542</v>
      </c>
      <c r="CE184" s="133">
        <f t="shared" si="259"/>
        <v>4603.2353326012035</v>
      </c>
      <c r="CF184" s="133">
        <f t="shared" si="259"/>
        <v>4596.9881760069238</v>
      </c>
      <c r="CG184" s="133">
        <f t="shared" si="259"/>
        <v>4571.4326615014133</v>
      </c>
      <c r="CH184" s="133">
        <f t="shared" si="259"/>
        <v>4492.1785204601547</v>
      </c>
      <c r="CI184" s="133">
        <f t="shared" si="259"/>
        <v>4477.7863076114263</v>
      </c>
      <c r="CJ184" s="133">
        <f t="shared" si="259"/>
        <v>4454.5992887133634</v>
      </c>
      <c r="CK184" s="133">
        <f t="shared" si="259"/>
        <v>4421.7655861050334</v>
      </c>
      <c r="CL184" s="133">
        <f t="shared" si="259"/>
        <v>4196.5620793266635</v>
      </c>
      <c r="CM184" s="133">
        <f t="shared" si="259"/>
        <v>4334.5929722766505</v>
      </c>
      <c r="CN184" s="133">
        <f t="shared" si="259"/>
        <v>4349.6500135825872</v>
      </c>
      <c r="CO184" s="133">
        <f t="shared" si="259"/>
        <v>4194.5715852702624</v>
      </c>
      <c r="CP184" s="133">
        <f t="shared" si="259"/>
        <v>3991.7400378339289</v>
      </c>
      <c r="CQ184" s="133">
        <f t="shared" si="259"/>
        <v>4017.1617766366498</v>
      </c>
      <c r="CR184" s="133">
        <f t="shared" si="259"/>
        <v>3885.2105724792891</v>
      </c>
      <c r="CS184" s="133">
        <f t="shared" si="259"/>
        <v>4060.1616728430449</v>
      </c>
      <c r="CT184" s="133">
        <f t="shared" si="259"/>
        <v>3901.2655208566866</v>
      </c>
      <c r="CU184" s="133">
        <f t="shared" si="259"/>
        <v>3811.7128636581815</v>
      </c>
      <c r="CV184" s="133">
        <f t="shared" si="259"/>
        <v>3697.5984414609816</v>
      </c>
      <c r="CW184" s="133">
        <f t="shared" si="259"/>
        <v>3674.7123290898207</v>
      </c>
      <c r="CX184" s="133">
        <f t="shared" si="259"/>
        <v>3574.4204427339273</v>
      </c>
      <c r="CY184" s="133">
        <f t="shared" si="259"/>
        <v>3407.0198157139412</v>
      </c>
      <c r="CZ184" s="133">
        <f t="shared" si="259"/>
        <v>3291.920788837846</v>
      </c>
      <c r="DA184" s="133">
        <f t="shared" si="259"/>
        <v>3296.1665377448585</v>
      </c>
    </row>
    <row r="185" spans="5:105">
      <c r="E185" s="137" t="s">
        <v>19</v>
      </c>
      <c r="F185" s="133">
        <f t="shared" ref="F185:BQ185" si="260">(2*F170+F171+(1/20)*F172-0.305)*F143</f>
        <v>39.501102128317278</v>
      </c>
      <c r="G185" s="133">
        <f t="shared" si="260"/>
        <v>32.818791277259386</v>
      </c>
      <c r="H185" s="133">
        <f t="shared" si="260"/>
        <v>23.138984021032115</v>
      </c>
      <c r="I185" s="133">
        <f t="shared" si="260"/>
        <v>12.196054224921827</v>
      </c>
      <c r="J185" s="133">
        <f t="shared" si="260"/>
        <v>26.262568217693282</v>
      </c>
      <c r="K185" s="133">
        <f t="shared" si="260"/>
        <v>18.410949374108451</v>
      </c>
      <c r="L185" s="133">
        <f t="shared" si="260"/>
        <v>19.069810446461645</v>
      </c>
      <c r="M185" s="133">
        <f t="shared" si="260"/>
        <v>15.786581404297163</v>
      </c>
      <c r="N185" s="133">
        <f t="shared" si="260"/>
        <v>15.403038403814211</v>
      </c>
      <c r="O185" s="133">
        <f t="shared" si="260"/>
        <v>11.419286792814535</v>
      </c>
      <c r="P185" s="133">
        <f t="shared" si="260"/>
        <v>28.284333330965776</v>
      </c>
      <c r="Q185" s="133">
        <f t="shared" si="260"/>
        <v>21.697192221418998</v>
      </c>
      <c r="R185" s="133">
        <f t="shared" si="260"/>
        <v>23.966827842032565</v>
      </c>
      <c r="S185" s="133">
        <f t="shared" si="260"/>
        <v>16.254616003617794</v>
      </c>
      <c r="T185" s="133">
        <f t="shared" si="260"/>
        <v>27.847872915781345</v>
      </c>
      <c r="U185" s="133">
        <f t="shared" si="260"/>
        <v>26.664298266891652</v>
      </c>
      <c r="V185" s="133">
        <f t="shared" si="260"/>
        <v>17.75247023392733</v>
      </c>
      <c r="W185" s="133">
        <f t="shared" si="260"/>
        <v>18.63908797239154</v>
      </c>
      <c r="X185" s="133">
        <f t="shared" si="260"/>
        <v>20.966126911937224</v>
      </c>
      <c r="Y185" s="133">
        <f t="shared" si="260"/>
        <v>26.961733558382107</v>
      </c>
      <c r="Z185" s="133">
        <f t="shared" si="260"/>
        <v>24.578865787114264</v>
      </c>
      <c r="AA185" s="133">
        <f t="shared" si="260"/>
        <v>33.108651031585261</v>
      </c>
      <c r="AB185" s="133">
        <f t="shared" si="260"/>
        <v>29.712668700201395</v>
      </c>
      <c r="AC185" s="133">
        <f t="shared" si="260"/>
        <v>35.442131846375574</v>
      </c>
      <c r="AD185" s="133">
        <f t="shared" si="260"/>
        <v>35.061470457187674</v>
      </c>
      <c r="AE185" s="133">
        <f t="shared" si="260"/>
        <v>27.033508530715565</v>
      </c>
      <c r="AF185" s="133">
        <f t="shared" si="260"/>
        <v>34.594965261499546</v>
      </c>
      <c r="AG185" s="133">
        <f t="shared" si="260"/>
        <v>27.599806722125933</v>
      </c>
      <c r="AH185" s="133">
        <f t="shared" si="260"/>
        <v>16.012086429703587</v>
      </c>
      <c r="AI185" s="133">
        <f t="shared" si="260"/>
        <v>33.226135088244057</v>
      </c>
      <c r="AJ185" s="133">
        <f t="shared" si="260"/>
        <v>24.015726203121588</v>
      </c>
      <c r="AK185" s="133">
        <f t="shared" si="260"/>
        <v>33.97950292290399</v>
      </c>
      <c r="AL185" s="133">
        <f t="shared" si="260"/>
        <v>28.345384683042326</v>
      </c>
      <c r="AM185" s="133">
        <f t="shared" si="260"/>
        <v>34.50816805724191</v>
      </c>
      <c r="AN185" s="133">
        <f t="shared" si="260"/>
        <v>23.350190740184004</v>
      </c>
      <c r="AO185" s="133">
        <f t="shared" si="260"/>
        <v>16.210795659591319</v>
      </c>
      <c r="AP185" s="133">
        <f t="shared" si="260"/>
        <v>30.595659529384466</v>
      </c>
      <c r="AQ185" s="133">
        <f t="shared" si="260"/>
        <v>18.240999051187895</v>
      </c>
      <c r="AR185" s="133">
        <f t="shared" si="260"/>
        <v>33.032131659465627</v>
      </c>
      <c r="AS185" s="133">
        <f t="shared" si="260"/>
        <v>13.607715887793649</v>
      </c>
      <c r="AT185" s="133">
        <f t="shared" si="260"/>
        <v>18.680994513973737</v>
      </c>
      <c r="AU185" s="133">
        <f t="shared" si="260"/>
        <v>33.812183709197413</v>
      </c>
      <c r="AV185" s="133">
        <f t="shared" si="260"/>
        <v>25.811222867678705</v>
      </c>
      <c r="AW185" s="133">
        <f t="shared" si="260"/>
        <v>27.205051635455789</v>
      </c>
      <c r="AX185" s="133">
        <f t="shared" si="260"/>
        <v>11.431886775691627</v>
      </c>
      <c r="AY185" s="133">
        <f t="shared" si="260"/>
        <v>21.832790216070581</v>
      </c>
      <c r="AZ185" s="133">
        <f t="shared" si="260"/>
        <v>24.937305337384608</v>
      </c>
      <c r="BA185" s="133">
        <f t="shared" si="260"/>
        <v>26.034096382466632</v>
      </c>
      <c r="BB185" s="133">
        <f t="shared" si="260"/>
        <v>29.425765372935849</v>
      </c>
      <c r="BC185" s="133">
        <f t="shared" si="260"/>
        <v>17.393431850695492</v>
      </c>
      <c r="BD185" s="133">
        <f t="shared" si="260"/>
        <v>20.294755448244757</v>
      </c>
      <c r="BE185" s="133">
        <f t="shared" si="260"/>
        <v>21.67066626567485</v>
      </c>
      <c r="BF185" s="133">
        <f t="shared" si="260"/>
        <v>15.506752367116</v>
      </c>
      <c r="BG185" s="133">
        <f t="shared" si="260"/>
        <v>18.391334994674757</v>
      </c>
      <c r="BH185" s="133">
        <f t="shared" si="260"/>
        <v>33.396730214345205</v>
      </c>
      <c r="BI185" s="133">
        <f t="shared" si="260"/>
        <v>31.796886603791993</v>
      </c>
      <c r="BJ185" s="133">
        <f t="shared" si="260"/>
        <v>26.468479270832677</v>
      </c>
      <c r="BK185" s="133">
        <f t="shared" si="260"/>
        <v>21.281774977064014</v>
      </c>
      <c r="BL185" s="133">
        <f t="shared" si="260"/>
        <v>19.912790063800717</v>
      </c>
      <c r="BM185" s="133">
        <f t="shared" si="260"/>
        <v>33.234981434396332</v>
      </c>
      <c r="BN185" s="133">
        <f t="shared" si="260"/>
        <v>33.905992983607639</v>
      </c>
      <c r="BO185" s="133">
        <f t="shared" si="260"/>
        <v>28.889864066806808</v>
      </c>
      <c r="BP185" s="133">
        <f t="shared" si="260"/>
        <v>24.9998683602408</v>
      </c>
      <c r="BQ185" s="133">
        <f t="shared" si="260"/>
        <v>13.395013111255979</v>
      </c>
      <c r="BR185" s="133">
        <f t="shared" ref="BR185:DA185" si="261">(2*BR170+BR171+(1/20)*BR172-0.305)*BR143</f>
        <v>21.483415879213467</v>
      </c>
      <c r="BS185" s="133">
        <f t="shared" si="261"/>
        <v>15.29343915215707</v>
      </c>
      <c r="BT185" s="133">
        <f t="shared" si="261"/>
        <v>16.431726390940028</v>
      </c>
      <c r="BU185" s="133">
        <f t="shared" si="261"/>
        <v>17.555431773624942</v>
      </c>
      <c r="BV185" s="133">
        <f t="shared" si="261"/>
        <v>23.646559666773442</v>
      </c>
      <c r="BW185" s="133">
        <f t="shared" si="261"/>
        <v>19.791229438012881</v>
      </c>
      <c r="BX185" s="133">
        <f t="shared" si="261"/>
        <v>26.97607287370133</v>
      </c>
      <c r="BY185" s="133">
        <f t="shared" si="261"/>
        <v>13.354728614067611</v>
      </c>
      <c r="BZ185" s="133">
        <f t="shared" si="261"/>
        <v>28.897398581721383</v>
      </c>
      <c r="CA185" s="133">
        <f t="shared" si="261"/>
        <v>21.262478947894852</v>
      </c>
      <c r="CB185" s="133">
        <f t="shared" si="261"/>
        <v>11.256047304035441</v>
      </c>
      <c r="CC185" s="133">
        <f t="shared" si="261"/>
        <v>12.766837072231025</v>
      </c>
      <c r="CD185" s="133">
        <f t="shared" si="261"/>
        <v>17.75115152058164</v>
      </c>
      <c r="CE185" s="133">
        <f t="shared" si="261"/>
        <v>16.616039297092588</v>
      </c>
      <c r="CF185" s="133">
        <f t="shared" si="261"/>
        <v>16.61359061368578</v>
      </c>
      <c r="CG185" s="133">
        <f t="shared" si="261"/>
        <v>27.565635020444429</v>
      </c>
      <c r="CH185" s="133">
        <f t="shared" si="261"/>
        <v>24.51811387528172</v>
      </c>
      <c r="CI185" s="133">
        <f t="shared" si="261"/>
        <v>16.449412161140859</v>
      </c>
      <c r="CJ185" s="133">
        <f t="shared" si="261"/>
        <v>33.495654566434162</v>
      </c>
      <c r="CK185" s="133">
        <f t="shared" si="261"/>
        <v>27.460476716666111</v>
      </c>
      <c r="CL185" s="133">
        <f t="shared" si="261"/>
        <v>11.15076177305253</v>
      </c>
      <c r="CM185" s="133">
        <f t="shared" si="261"/>
        <v>15.649907960515744</v>
      </c>
      <c r="CN185" s="133">
        <f t="shared" si="261"/>
        <v>24.315477050072474</v>
      </c>
      <c r="CO185" s="133">
        <f t="shared" si="261"/>
        <v>15.085785518644585</v>
      </c>
      <c r="CP185" s="133">
        <f t="shared" si="261"/>
        <v>23.217439288427702</v>
      </c>
      <c r="CQ185" s="133">
        <f t="shared" si="261"/>
        <v>14.654729712284141</v>
      </c>
      <c r="CR185" s="133">
        <f t="shared" si="261"/>
        <v>16.621240000503239</v>
      </c>
      <c r="CS185" s="133">
        <f t="shared" si="261"/>
        <v>30.560754582493114</v>
      </c>
      <c r="CT185" s="133">
        <f t="shared" si="261"/>
        <v>20.856756968262058</v>
      </c>
      <c r="CU185" s="133">
        <f t="shared" si="261"/>
        <v>25.158766335293141</v>
      </c>
      <c r="CV185" s="133">
        <f t="shared" si="261"/>
        <v>14.878772470878566</v>
      </c>
      <c r="CW185" s="133">
        <f t="shared" si="261"/>
        <v>26.238293827740527</v>
      </c>
      <c r="CX185" s="133">
        <f t="shared" si="261"/>
        <v>29.624262390355753</v>
      </c>
      <c r="CY185" s="133">
        <f t="shared" si="261"/>
        <v>19.899019615628745</v>
      </c>
      <c r="CZ185" s="133">
        <f t="shared" si="261"/>
        <v>24.262816406964525</v>
      </c>
      <c r="DA185" s="133">
        <f t="shared" si="261"/>
        <v>19.537341439276538</v>
      </c>
    </row>
    <row r="186" spans="5:105">
      <c r="E186" s="137" t="s">
        <v>170</v>
      </c>
      <c r="F186" s="133">
        <f t="shared" ref="F186:BQ186" si="262">(2*F173+F174+(1/20)*F175-0.305)*F143</f>
        <v>39.501102128317278</v>
      </c>
      <c r="G186" s="133">
        <f t="shared" si="262"/>
        <v>39.501102128317278</v>
      </c>
      <c r="H186" s="133">
        <f t="shared" si="262"/>
        <v>39.501102128317278</v>
      </c>
      <c r="I186" s="133">
        <f t="shared" si="262"/>
        <v>39.501102128317278</v>
      </c>
      <c r="J186" s="133">
        <f t="shared" si="262"/>
        <v>39.501102128317278</v>
      </c>
      <c r="K186" s="133">
        <f t="shared" si="262"/>
        <v>39.501102128317278</v>
      </c>
      <c r="L186" s="133">
        <f t="shared" si="262"/>
        <v>39.501102128317278</v>
      </c>
      <c r="M186" s="133">
        <f t="shared" si="262"/>
        <v>39.501102128317278</v>
      </c>
      <c r="N186" s="133">
        <f t="shared" si="262"/>
        <v>39.501102128317278</v>
      </c>
      <c r="O186" s="133">
        <f t="shared" si="262"/>
        <v>39.501102128317278</v>
      </c>
      <c r="P186" s="133">
        <f t="shared" si="262"/>
        <v>39.501102128317278</v>
      </c>
      <c r="Q186" s="133">
        <f t="shared" si="262"/>
        <v>39.501102128317278</v>
      </c>
      <c r="R186" s="133">
        <f t="shared" si="262"/>
        <v>39.501102128317278</v>
      </c>
      <c r="S186" s="133">
        <f t="shared" si="262"/>
        <v>39.501102128317278</v>
      </c>
      <c r="T186" s="133">
        <f t="shared" si="262"/>
        <v>39.501102128317278</v>
      </c>
      <c r="U186" s="133">
        <f t="shared" si="262"/>
        <v>39.501102128317278</v>
      </c>
      <c r="V186" s="133">
        <f t="shared" si="262"/>
        <v>39.501102128317278</v>
      </c>
      <c r="W186" s="133">
        <f t="shared" si="262"/>
        <v>39.501102128317278</v>
      </c>
      <c r="X186" s="133">
        <f t="shared" si="262"/>
        <v>39.501102128317278</v>
      </c>
      <c r="Y186" s="133">
        <f t="shared" si="262"/>
        <v>39.501102128317278</v>
      </c>
      <c r="Z186" s="133">
        <f t="shared" si="262"/>
        <v>39.501102128317278</v>
      </c>
      <c r="AA186" s="133">
        <f t="shared" si="262"/>
        <v>39.501102128317278</v>
      </c>
      <c r="AB186" s="133">
        <f t="shared" si="262"/>
        <v>39.501102128317278</v>
      </c>
      <c r="AC186" s="133">
        <f t="shared" si="262"/>
        <v>39.501102128317278</v>
      </c>
      <c r="AD186" s="133">
        <f t="shared" si="262"/>
        <v>39.501102128317278</v>
      </c>
      <c r="AE186" s="133">
        <f t="shared" si="262"/>
        <v>39.501102128317278</v>
      </c>
      <c r="AF186" s="133">
        <f t="shared" si="262"/>
        <v>39.501102128317278</v>
      </c>
      <c r="AG186" s="133">
        <f t="shared" si="262"/>
        <v>39.501102128317278</v>
      </c>
      <c r="AH186" s="133">
        <f t="shared" si="262"/>
        <v>39.501102128317278</v>
      </c>
      <c r="AI186" s="133">
        <f t="shared" si="262"/>
        <v>39.501102128317278</v>
      </c>
      <c r="AJ186" s="133">
        <f t="shared" si="262"/>
        <v>39.501102128317278</v>
      </c>
      <c r="AK186" s="133">
        <f t="shared" si="262"/>
        <v>39.501102128317278</v>
      </c>
      <c r="AL186" s="133">
        <f t="shared" si="262"/>
        <v>39.501102128317278</v>
      </c>
      <c r="AM186" s="133">
        <f t="shared" si="262"/>
        <v>39.501102128317278</v>
      </c>
      <c r="AN186" s="133">
        <f t="shared" si="262"/>
        <v>39.501102128317278</v>
      </c>
      <c r="AO186" s="133">
        <f t="shared" si="262"/>
        <v>39.501102128317278</v>
      </c>
      <c r="AP186" s="133">
        <f t="shared" si="262"/>
        <v>39.501102128317278</v>
      </c>
      <c r="AQ186" s="133">
        <f t="shared" si="262"/>
        <v>39.501102128317278</v>
      </c>
      <c r="AR186" s="133">
        <f t="shared" si="262"/>
        <v>39.501102128317278</v>
      </c>
      <c r="AS186" s="133">
        <f t="shared" si="262"/>
        <v>39.501102128317278</v>
      </c>
      <c r="AT186" s="133">
        <f t="shared" si="262"/>
        <v>39.501102128317278</v>
      </c>
      <c r="AU186" s="133">
        <f t="shared" si="262"/>
        <v>39.501102128317278</v>
      </c>
      <c r="AV186" s="133">
        <f t="shared" si="262"/>
        <v>39.501102128317278</v>
      </c>
      <c r="AW186" s="133">
        <f t="shared" si="262"/>
        <v>39.501102128317278</v>
      </c>
      <c r="AX186" s="133">
        <f t="shared" si="262"/>
        <v>39.501102128317278</v>
      </c>
      <c r="AY186" s="133">
        <f t="shared" si="262"/>
        <v>39.501102128317278</v>
      </c>
      <c r="AZ186" s="133">
        <f t="shared" si="262"/>
        <v>39.501102128317278</v>
      </c>
      <c r="BA186" s="133">
        <f t="shared" si="262"/>
        <v>39.501102128317278</v>
      </c>
      <c r="BB186" s="133">
        <f t="shared" si="262"/>
        <v>39.501102128317278</v>
      </c>
      <c r="BC186" s="133">
        <f t="shared" si="262"/>
        <v>39.501102128317278</v>
      </c>
      <c r="BD186" s="133">
        <f t="shared" si="262"/>
        <v>39.501102128317278</v>
      </c>
      <c r="BE186" s="133">
        <f t="shared" si="262"/>
        <v>39.501102128317278</v>
      </c>
      <c r="BF186" s="133">
        <f t="shared" si="262"/>
        <v>39.501102128317278</v>
      </c>
      <c r="BG186" s="133">
        <f t="shared" si="262"/>
        <v>39.501102128317278</v>
      </c>
      <c r="BH186" s="133">
        <f t="shared" si="262"/>
        <v>39.501102128317278</v>
      </c>
      <c r="BI186" s="133">
        <f t="shared" si="262"/>
        <v>39.501102128317278</v>
      </c>
      <c r="BJ186" s="133">
        <f t="shared" si="262"/>
        <v>39.501102128317278</v>
      </c>
      <c r="BK186" s="133">
        <f t="shared" si="262"/>
        <v>39.501102128317278</v>
      </c>
      <c r="BL186" s="133">
        <f t="shared" si="262"/>
        <v>39.501102128317278</v>
      </c>
      <c r="BM186" s="133">
        <f t="shared" si="262"/>
        <v>39.501102128317278</v>
      </c>
      <c r="BN186" s="133">
        <f t="shared" si="262"/>
        <v>39.501102128317278</v>
      </c>
      <c r="BO186" s="133">
        <f t="shared" si="262"/>
        <v>39.501102128317278</v>
      </c>
      <c r="BP186" s="133">
        <f t="shared" si="262"/>
        <v>39.501102128317278</v>
      </c>
      <c r="BQ186" s="133">
        <f t="shared" si="262"/>
        <v>39.501102128317278</v>
      </c>
      <c r="BR186" s="133">
        <f t="shared" ref="BR186:DA186" si="263">(2*BR173+BR174+(1/20)*BR175-0.305)*BR143</f>
        <v>39.501102128317278</v>
      </c>
      <c r="BS186" s="133">
        <f t="shared" si="263"/>
        <v>39.501102128317278</v>
      </c>
      <c r="BT186" s="133">
        <f t="shared" si="263"/>
        <v>39.501102128317278</v>
      </c>
      <c r="BU186" s="133">
        <f t="shared" si="263"/>
        <v>39.501102128317278</v>
      </c>
      <c r="BV186" s="133">
        <f t="shared" si="263"/>
        <v>39.501102128317278</v>
      </c>
      <c r="BW186" s="133">
        <f t="shared" si="263"/>
        <v>39.501102128317278</v>
      </c>
      <c r="BX186" s="133">
        <f t="shared" si="263"/>
        <v>39.501102128317278</v>
      </c>
      <c r="BY186" s="133">
        <f t="shared" si="263"/>
        <v>39.501102128317278</v>
      </c>
      <c r="BZ186" s="133">
        <f t="shared" si="263"/>
        <v>39.501102128317278</v>
      </c>
      <c r="CA186" s="133">
        <f t="shared" si="263"/>
        <v>39.501102128317278</v>
      </c>
      <c r="CB186" s="133">
        <f t="shared" si="263"/>
        <v>39.501102128317278</v>
      </c>
      <c r="CC186" s="133">
        <f t="shared" si="263"/>
        <v>39.501102128317278</v>
      </c>
      <c r="CD186" s="133">
        <f t="shared" si="263"/>
        <v>39.501102128317278</v>
      </c>
      <c r="CE186" s="133">
        <f t="shared" si="263"/>
        <v>39.501102128317278</v>
      </c>
      <c r="CF186" s="133">
        <f t="shared" si="263"/>
        <v>39.501102128317278</v>
      </c>
      <c r="CG186" s="133">
        <f t="shared" si="263"/>
        <v>39.501102128317278</v>
      </c>
      <c r="CH186" s="133">
        <f t="shared" si="263"/>
        <v>39.501102128317278</v>
      </c>
      <c r="CI186" s="133">
        <f t="shared" si="263"/>
        <v>39.501102128317278</v>
      </c>
      <c r="CJ186" s="133">
        <f t="shared" si="263"/>
        <v>39.501102128317278</v>
      </c>
      <c r="CK186" s="133">
        <f t="shared" si="263"/>
        <v>39.501102128317278</v>
      </c>
      <c r="CL186" s="133">
        <f t="shared" si="263"/>
        <v>39.501102128317278</v>
      </c>
      <c r="CM186" s="133">
        <f t="shared" si="263"/>
        <v>39.501102128317278</v>
      </c>
      <c r="CN186" s="133">
        <f t="shared" si="263"/>
        <v>39.501102128317278</v>
      </c>
      <c r="CO186" s="133">
        <f t="shared" si="263"/>
        <v>39.501102128317278</v>
      </c>
      <c r="CP186" s="133">
        <f t="shared" si="263"/>
        <v>39.501102128317278</v>
      </c>
      <c r="CQ186" s="133">
        <f t="shared" si="263"/>
        <v>39.501102128317278</v>
      </c>
      <c r="CR186" s="133">
        <f t="shared" si="263"/>
        <v>39.501102128317278</v>
      </c>
      <c r="CS186" s="133">
        <f t="shared" si="263"/>
        <v>39.501102128317278</v>
      </c>
      <c r="CT186" s="133">
        <f t="shared" si="263"/>
        <v>39.501102128317278</v>
      </c>
      <c r="CU186" s="133">
        <f t="shared" si="263"/>
        <v>39.501102128317278</v>
      </c>
      <c r="CV186" s="133">
        <f t="shared" si="263"/>
        <v>39.501102128317278</v>
      </c>
      <c r="CW186" s="133">
        <f t="shared" si="263"/>
        <v>39.501102128317278</v>
      </c>
      <c r="CX186" s="133">
        <f t="shared" si="263"/>
        <v>39.501102128317278</v>
      </c>
      <c r="CY186" s="133">
        <f t="shared" si="263"/>
        <v>39.501102128317278</v>
      </c>
      <c r="CZ186" s="133">
        <f t="shared" si="263"/>
        <v>39.501102128317278</v>
      </c>
      <c r="DA186" s="133">
        <f t="shared" si="263"/>
        <v>39.501102128317278</v>
      </c>
    </row>
    <row r="187" spans="5:105">
      <c r="E187" s="137" t="s">
        <v>72</v>
      </c>
      <c r="F187" s="133">
        <f t="shared" ref="F187:BQ187" si="264">100*(F185/F186)^($F$47*F145)</f>
        <v>100</v>
      </c>
      <c r="G187" s="133">
        <f t="shared" si="264"/>
        <v>78.15750701416286</v>
      </c>
      <c r="H187" s="133">
        <f t="shared" si="264"/>
        <v>49.10654209387242</v>
      </c>
      <c r="I187" s="133">
        <f t="shared" si="264"/>
        <v>20.955358741774326</v>
      </c>
      <c r="J187" s="133">
        <f t="shared" si="264"/>
        <v>58.112248284710375</v>
      </c>
      <c r="K187" s="133">
        <f t="shared" si="264"/>
        <v>36.235551580018772</v>
      </c>
      <c r="L187" s="133">
        <f t="shared" si="264"/>
        <v>37.970020622115506</v>
      </c>
      <c r="M187" s="133">
        <f t="shared" si="264"/>
        <v>29.533953356043735</v>
      </c>
      <c r="N187" s="133">
        <f t="shared" si="264"/>
        <v>28.583625162439404</v>
      </c>
      <c r="O187" s="133">
        <f t="shared" si="264"/>
        <v>19.199484818705301</v>
      </c>
      <c r="P187" s="133">
        <f t="shared" si="264"/>
        <v>64.135450489182617</v>
      </c>
      <c r="Q187" s="133">
        <f t="shared" si="264"/>
        <v>45.080048735130759</v>
      </c>
      <c r="R187" s="133">
        <f t="shared" si="264"/>
        <v>51.456482423696869</v>
      </c>
      <c r="S187" s="133">
        <f t="shared" si="264"/>
        <v>30.703976546198497</v>
      </c>
      <c r="T187" s="133">
        <f t="shared" si="264"/>
        <v>62.822749769422295</v>
      </c>
      <c r="U187" s="133">
        <f t="shared" si="264"/>
        <v>59.297291132210525</v>
      </c>
      <c r="V187" s="133">
        <f t="shared" si="264"/>
        <v>34.522422889414081</v>
      </c>
      <c r="W187" s="133">
        <f t="shared" si="264"/>
        <v>36.833853524949163</v>
      </c>
      <c r="X187" s="133">
        <f t="shared" si="264"/>
        <v>43.07152083737958</v>
      </c>
      <c r="Y187" s="133">
        <f t="shared" si="264"/>
        <v>60.178486532855203</v>
      </c>
      <c r="Z187" s="133">
        <f t="shared" si="264"/>
        <v>53.211176503027367</v>
      </c>
      <c r="AA187" s="133">
        <f t="shared" si="264"/>
        <v>79.076782643543865</v>
      </c>
      <c r="AB187" s="133">
        <f t="shared" si="264"/>
        <v>68.477782117830287</v>
      </c>
      <c r="AC187" s="133">
        <f t="shared" si="264"/>
        <v>86.572829604776942</v>
      </c>
      <c r="AD187" s="133">
        <f t="shared" si="264"/>
        <v>85.338566104315248</v>
      </c>
      <c r="AE187" s="133">
        <f t="shared" si="264"/>
        <v>60.391612272145203</v>
      </c>
      <c r="AF187" s="133">
        <f t="shared" si="264"/>
        <v>83.831980056769197</v>
      </c>
      <c r="AG187" s="133">
        <f t="shared" si="264"/>
        <v>62.079676232023019</v>
      </c>
      <c r="AH187" s="133">
        <f t="shared" si="264"/>
        <v>30.096278031019125</v>
      </c>
      <c r="AI187" s="133">
        <f t="shared" si="264"/>
        <v>79.450135268905683</v>
      </c>
      <c r="AJ187" s="133">
        <f t="shared" si="264"/>
        <v>51.596134949437598</v>
      </c>
      <c r="AK187" s="133">
        <f t="shared" si="264"/>
        <v>81.854572100611719</v>
      </c>
      <c r="AL187" s="133">
        <f t="shared" si="264"/>
        <v>64.319604379791201</v>
      </c>
      <c r="AM187" s="133">
        <f t="shared" si="264"/>
        <v>83.552402890602778</v>
      </c>
      <c r="AN187" s="133">
        <f t="shared" si="264"/>
        <v>49.703486053705142</v>
      </c>
      <c r="AO187" s="133">
        <f t="shared" si="264"/>
        <v>30.593954574330418</v>
      </c>
      <c r="AP187" s="133">
        <f t="shared" si="264"/>
        <v>71.197051064039016</v>
      </c>
      <c r="AQ187" s="133">
        <f t="shared" si="264"/>
        <v>35.791435268286328</v>
      </c>
      <c r="AR187" s="133">
        <f t="shared" si="264"/>
        <v>78.833846449051919</v>
      </c>
      <c r="AS187" s="133">
        <f t="shared" si="264"/>
        <v>24.240810699923383</v>
      </c>
      <c r="AT187" s="133">
        <f t="shared" si="264"/>
        <v>36.944018655439272</v>
      </c>
      <c r="AU187" s="133">
        <f t="shared" si="264"/>
        <v>81.319025178392536</v>
      </c>
      <c r="AV187" s="133">
        <f t="shared" si="264"/>
        <v>56.787964097367663</v>
      </c>
      <c r="AW187" s="133">
        <f t="shared" si="264"/>
        <v>60.901741193558166</v>
      </c>
      <c r="AX187" s="133">
        <f t="shared" si="264"/>
        <v>19.227660762949483</v>
      </c>
      <c r="AY187" s="133">
        <f t="shared" si="264"/>
        <v>45.455073310915765</v>
      </c>
      <c r="AZ187" s="133">
        <f t="shared" si="264"/>
        <v>54.245545680309803</v>
      </c>
      <c r="BA187" s="133">
        <f t="shared" si="264"/>
        <v>57.440947032991218</v>
      </c>
      <c r="BB187" s="133">
        <f t="shared" si="264"/>
        <v>67.59991448410031</v>
      </c>
      <c r="BC187" s="133">
        <f t="shared" si="264"/>
        <v>33.597075171646736</v>
      </c>
      <c r="BD187" s="133">
        <f t="shared" si="264"/>
        <v>41.247213768365384</v>
      </c>
      <c r="BE187" s="133">
        <f t="shared" si="264"/>
        <v>45.006775858402946</v>
      </c>
      <c r="BF187" s="133">
        <f t="shared" si="264"/>
        <v>28.839842355094962</v>
      </c>
      <c r="BG187" s="133">
        <f t="shared" si="264"/>
        <v>36.184225760716181</v>
      </c>
      <c r="BH187" s="133">
        <f t="shared" si="264"/>
        <v>79.993044807921478</v>
      </c>
      <c r="BI187" s="133">
        <f t="shared" si="264"/>
        <v>74.938024159666583</v>
      </c>
      <c r="BJ187" s="133">
        <f t="shared" si="264"/>
        <v>58.718913651447345</v>
      </c>
      <c r="BK187" s="133">
        <f t="shared" si="264"/>
        <v>43.935945683915953</v>
      </c>
      <c r="BL187" s="133">
        <f t="shared" si="264"/>
        <v>40.218112415386805</v>
      </c>
      <c r="BM187" s="133">
        <f t="shared" si="264"/>
        <v>79.478265723430781</v>
      </c>
      <c r="BN187" s="133">
        <f t="shared" si="264"/>
        <v>81.619177820692343</v>
      </c>
      <c r="BO187" s="133">
        <f t="shared" si="264"/>
        <v>65.967724733112533</v>
      </c>
      <c r="BP187" s="133">
        <f t="shared" si="264"/>
        <v>54.426592434931834</v>
      </c>
      <c r="BQ187" s="133">
        <f t="shared" si="264"/>
        <v>23.738249130923403</v>
      </c>
      <c r="BR187" s="133">
        <f t="shared" ref="BR187:CW187" si="265">100*(BR185/BR186)^($F$47*BR145)</f>
        <v>44.490375070480006</v>
      </c>
      <c r="BS187" s="133">
        <f t="shared" si="265"/>
        <v>28.313486472243888</v>
      </c>
      <c r="BT187" s="133">
        <f t="shared" si="265"/>
        <v>31.149651844532528</v>
      </c>
      <c r="BU187" s="133">
        <f t="shared" si="265"/>
        <v>34.013824603229367</v>
      </c>
      <c r="BV187" s="133">
        <f t="shared" si="265"/>
        <v>50.544132576039594</v>
      </c>
      <c r="BW187" s="133">
        <f t="shared" si="265"/>
        <v>39.891957849122441</v>
      </c>
      <c r="BX187" s="133">
        <f t="shared" si="265"/>
        <v>60.221050184874969</v>
      </c>
      <c r="BY187" s="133">
        <f t="shared" si="265"/>
        <v>23.643362097621672</v>
      </c>
      <c r="BZ187" s="133">
        <f t="shared" si="265"/>
        <v>65.990603832230676</v>
      </c>
      <c r="CA187" s="133">
        <f t="shared" si="265"/>
        <v>43.882980062287587</v>
      </c>
      <c r="CB187" s="133">
        <f t="shared" si="265"/>
        <v>18.835379867921315</v>
      </c>
      <c r="CC187" s="133">
        <f t="shared" si="265"/>
        <v>22.269463646297133</v>
      </c>
      <c r="CD187" s="133">
        <f t="shared" si="265"/>
        <v>34.519012794253669</v>
      </c>
      <c r="CE187" s="133">
        <f t="shared" si="265"/>
        <v>31.61513631148982</v>
      </c>
      <c r="CF187" s="133">
        <f t="shared" si="265"/>
        <v>31.608940922577215</v>
      </c>
      <c r="CG187" s="133">
        <f t="shared" si="265"/>
        <v>61.97748814832412</v>
      </c>
      <c r="CH187" s="133">
        <f t="shared" si="265"/>
        <v>53.036351807639669</v>
      </c>
      <c r="CI187" s="133">
        <f t="shared" si="265"/>
        <v>31.194243127864731</v>
      </c>
      <c r="CJ187" s="133">
        <f t="shared" si="265"/>
        <v>80.308285563758929</v>
      </c>
      <c r="CK187" s="133">
        <f t="shared" si="265"/>
        <v>61.663281780334799</v>
      </c>
      <c r="CL187" s="133">
        <f t="shared" si="265"/>
        <v>18.601461479729757</v>
      </c>
      <c r="CM187" s="133">
        <f t="shared" si="265"/>
        <v>29.194425859453183</v>
      </c>
      <c r="CN187" s="133">
        <f t="shared" si="265"/>
        <v>52.454261250189973</v>
      </c>
      <c r="CO187" s="133">
        <f t="shared" si="265"/>
        <v>27.803415881716226</v>
      </c>
      <c r="CP187" s="133">
        <f t="shared" si="265"/>
        <v>49.328075215390811</v>
      </c>
      <c r="CQ187" s="133">
        <f t="shared" si="265"/>
        <v>26.751990675810966</v>
      </c>
      <c r="CR187" s="133">
        <f t="shared" si="265"/>
        <v>31.628295556954455</v>
      </c>
      <c r="CS187" s="133">
        <f t="shared" si="265"/>
        <v>71.089060357001586</v>
      </c>
      <c r="CT187" s="133">
        <f t="shared" si="265"/>
        <v>42.772999915853227</v>
      </c>
      <c r="CU187" s="133">
        <f t="shared" si="265"/>
        <v>54.887087516617825</v>
      </c>
      <c r="CV187" s="133">
        <f t="shared" si="265"/>
        <v>27.297218290968754</v>
      </c>
      <c r="CW187" s="133">
        <f t="shared" si="265"/>
        <v>58.040832939059847</v>
      </c>
      <c r="CX187" s="133">
        <f>100*(CX185/CX186)^($F$47*CX145)</f>
        <v>68.206976937161556</v>
      </c>
      <c r="CY187" s="133">
        <f>100*(CY185/CY186)^($F$47*CY145)</f>
        <v>40.181132402906876</v>
      </c>
      <c r="CZ187" s="133">
        <f>100*(CZ185/CZ186)^($F$47*CZ145)</f>
        <v>52.303250491503896</v>
      </c>
      <c r="DA187" s="133">
        <f>100*(DA185/DA186)^($F$47*DA145)</f>
        <v>39.212892722612828</v>
      </c>
    </row>
    <row r="188" spans="5:105">
      <c r="E188" s="137" t="s">
        <v>171</v>
      </c>
      <c r="F188" s="133">
        <f t="shared" ref="F188:BQ188" si="266">(4/$F$47)*((F187/100)^0.5)*(F186+4)*(F141^0.25)</f>
        <v>238.02650952152914</v>
      </c>
      <c r="G188" s="133">
        <f t="shared" si="266"/>
        <v>210.43146426469761</v>
      </c>
      <c r="H188" s="133">
        <f t="shared" si="266"/>
        <v>166.79960004029257</v>
      </c>
      <c r="I188" s="133">
        <f t="shared" si="266"/>
        <v>108.96145103501473</v>
      </c>
      <c r="J188" s="133">
        <f t="shared" si="266"/>
        <v>181.45091688819784</v>
      </c>
      <c r="K188" s="133">
        <f t="shared" si="266"/>
        <v>143.28237325782331</v>
      </c>
      <c r="L188" s="133">
        <f t="shared" si="266"/>
        <v>146.67150373308357</v>
      </c>
      <c r="M188" s="133">
        <f t="shared" si="266"/>
        <v>129.35586379432891</v>
      </c>
      <c r="N188" s="133">
        <f t="shared" si="266"/>
        <v>127.25767431413983</v>
      </c>
      <c r="O188" s="133">
        <f t="shared" si="266"/>
        <v>104.2965915493694</v>
      </c>
      <c r="P188" s="133">
        <f t="shared" si="266"/>
        <v>190.62260615758512</v>
      </c>
      <c r="Q188" s="133">
        <f t="shared" si="266"/>
        <v>159.81499167104641</v>
      </c>
      <c r="R188" s="133">
        <f t="shared" si="266"/>
        <v>170.74397007953158</v>
      </c>
      <c r="S188" s="133">
        <f t="shared" si="266"/>
        <v>131.89327155614944</v>
      </c>
      <c r="T188" s="133">
        <f t="shared" si="266"/>
        <v>188.66172407200156</v>
      </c>
      <c r="U188" s="133">
        <f t="shared" si="266"/>
        <v>183.29168135364864</v>
      </c>
      <c r="V188" s="133">
        <f t="shared" si="266"/>
        <v>139.85434454157195</v>
      </c>
      <c r="W188" s="133">
        <f t="shared" si="266"/>
        <v>144.46043105712036</v>
      </c>
      <c r="X188" s="133">
        <f t="shared" si="266"/>
        <v>156.21417208294181</v>
      </c>
      <c r="Y188" s="133">
        <f t="shared" si="266"/>
        <v>184.6485742601526</v>
      </c>
      <c r="Z188" s="133">
        <f t="shared" si="266"/>
        <v>173.63079698540054</v>
      </c>
      <c r="AA188" s="133">
        <f t="shared" si="266"/>
        <v>211.66537658682694</v>
      </c>
      <c r="AB188" s="133">
        <f t="shared" si="266"/>
        <v>196.97003902896961</v>
      </c>
      <c r="AC188" s="133">
        <f t="shared" si="266"/>
        <v>221.47062656286067</v>
      </c>
      <c r="AD188" s="133">
        <f t="shared" si="266"/>
        <v>219.88621252441655</v>
      </c>
      <c r="AE188" s="133">
        <f t="shared" si="266"/>
        <v>184.97525730461467</v>
      </c>
      <c r="AF188" s="133">
        <f t="shared" si="266"/>
        <v>217.93660944854363</v>
      </c>
      <c r="AG188" s="133">
        <f t="shared" si="266"/>
        <v>187.54265057607478</v>
      </c>
      <c r="AH188" s="133">
        <f t="shared" si="266"/>
        <v>130.58152108143878</v>
      </c>
      <c r="AI188" s="133">
        <f t="shared" si="266"/>
        <v>212.16446597156272</v>
      </c>
      <c r="AJ188" s="133">
        <f t="shared" si="266"/>
        <v>170.97551204275121</v>
      </c>
      <c r="AK188" s="133">
        <f t="shared" si="266"/>
        <v>215.35095365817227</v>
      </c>
      <c r="AL188" s="133">
        <f t="shared" si="266"/>
        <v>190.89607996739574</v>
      </c>
      <c r="AM188" s="133">
        <f t="shared" si="266"/>
        <v>217.57289989202266</v>
      </c>
      <c r="AN188" s="133">
        <f t="shared" si="266"/>
        <v>167.81035379251884</v>
      </c>
      <c r="AO188" s="133">
        <f t="shared" si="266"/>
        <v>131.65675201867938</v>
      </c>
      <c r="AP188" s="133">
        <f t="shared" si="266"/>
        <v>200.84282941619537</v>
      </c>
      <c r="AQ188" s="133">
        <f t="shared" si="266"/>
        <v>142.40160532344925</v>
      </c>
      <c r="AR188" s="133">
        <f t="shared" si="266"/>
        <v>211.33999198198612</v>
      </c>
      <c r="AS188" s="133">
        <f t="shared" si="266"/>
        <v>117.19225152600046</v>
      </c>
      <c r="AT188" s="133">
        <f t="shared" si="266"/>
        <v>144.67630068439183</v>
      </c>
      <c r="AU188" s="133">
        <f t="shared" si="266"/>
        <v>214.6453131585634</v>
      </c>
      <c r="AV188" s="133">
        <f t="shared" si="266"/>
        <v>179.37151554791404</v>
      </c>
      <c r="AW188" s="133">
        <f t="shared" si="266"/>
        <v>185.75485892843014</v>
      </c>
      <c r="AX188" s="133">
        <f t="shared" si="266"/>
        <v>104.37309301856627</v>
      </c>
      <c r="AY188" s="133">
        <f t="shared" si="266"/>
        <v>160.47837177874416</v>
      </c>
      <c r="AZ188" s="133">
        <f t="shared" si="266"/>
        <v>175.31027427975388</v>
      </c>
      <c r="BA188" s="133">
        <f t="shared" si="266"/>
        <v>180.39982994853781</v>
      </c>
      <c r="BB188" s="133">
        <f t="shared" si="266"/>
        <v>195.7034137475483</v>
      </c>
      <c r="BC188" s="133">
        <f t="shared" si="266"/>
        <v>137.96726769091822</v>
      </c>
      <c r="BD188" s="133">
        <f t="shared" si="266"/>
        <v>152.87013066583785</v>
      </c>
      <c r="BE188" s="133">
        <f t="shared" si="266"/>
        <v>159.6850576229549</v>
      </c>
      <c r="BF188" s="133">
        <f t="shared" si="266"/>
        <v>127.8267564757127</v>
      </c>
      <c r="BG188" s="133">
        <f t="shared" si="266"/>
        <v>143.18086119444419</v>
      </c>
      <c r="BH188" s="133">
        <f t="shared" si="266"/>
        <v>212.88812745503</v>
      </c>
      <c r="BI188" s="133">
        <f t="shared" si="266"/>
        <v>206.05181632389591</v>
      </c>
      <c r="BJ188" s="133">
        <f t="shared" si="266"/>
        <v>182.39559020554879</v>
      </c>
      <c r="BK188" s="133">
        <f t="shared" si="266"/>
        <v>157.77395682885631</v>
      </c>
      <c r="BL188" s="133">
        <f t="shared" si="266"/>
        <v>150.95106099226666</v>
      </c>
      <c r="BM188" s="133">
        <f t="shared" si="266"/>
        <v>212.202022576383</v>
      </c>
      <c r="BN188" s="133">
        <f t="shared" si="266"/>
        <v>215.04108165792263</v>
      </c>
      <c r="BO188" s="133">
        <f t="shared" si="266"/>
        <v>193.32636297213634</v>
      </c>
      <c r="BP188" s="133">
        <f t="shared" si="266"/>
        <v>175.60258323397767</v>
      </c>
      <c r="BQ188" s="133">
        <f t="shared" si="266"/>
        <v>115.97107149269418</v>
      </c>
      <c r="BR188" s="133">
        <f t="shared" ref="BR188:CW188" si="267">(4/$F$47)*((BR187/100)^0.5)*(BR186+4)*(BR141^0.25)</f>
        <v>158.76631380713724</v>
      </c>
      <c r="BS188" s="133">
        <f t="shared" si="267"/>
        <v>126.6549020872591</v>
      </c>
      <c r="BT188" s="133">
        <f t="shared" si="267"/>
        <v>132.84705355628239</v>
      </c>
      <c r="BU188" s="133">
        <f t="shared" si="267"/>
        <v>138.82032665540478</v>
      </c>
      <c r="BV188" s="133">
        <f t="shared" si="267"/>
        <v>169.22351118931925</v>
      </c>
      <c r="BW188" s="133">
        <f t="shared" si="267"/>
        <v>150.33773532937442</v>
      </c>
      <c r="BX188" s="133">
        <f t="shared" si="267"/>
        <v>184.71386277852685</v>
      </c>
      <c r="BY188" s="133">
        <f t="shared" si="267"/>
        <v>115.73905839431403</v>
      </c>
      <c r="BZ188" s="133">
        <f t="shared" si="267"/>
        <v>193.35988504368211</v>
      </c>
      <c r="CA188" s="133">
        <f t="shared" si="267"/>
        <v>157.67882839132966</v>
      </c>
      <c r="CB188" s="133">
        <f t="shared" si="267"/>
        <v>103.30290147539185</v>
      </c>
      <c r="CC188" s="133">
        <f t="shared" si="267"/>
        <v>112.32597751081401</v>
      </c>
      <c r="CD188" s="133">
        <f t="shared" si="267"/>
        <v>139.84743702521737</v>
      </c>
      <c r="CE188" s="133">
        <f t="shared" si="267"/>
        <v>133.83597199791927</v>
      </c>
      <c r="CF188" s="133">
        <f t="shared" si="267"/>
        <v>133.8228579231571</v>
      </c>
      <c r="CG188" s="133">
        <f t="shared" si="267"/>
        <v>187.38823194537821</v>
      </c>
      <c r="CH188" s="133">
        <f t="shared" si="267"/>
        <v>173.34533134697</v>
      </c>
      <c r="CI188" s="133">
        <f t="shared" si="267"/>
        <v>132.94210601684964</v>
      </c>
      <c r="CJ188" s="133">
        <f t="shared" si="267"/>
        <v>213.30719529827738</v>
      </c>
      <c r="CK188" s="133">
        <f t="shared" si="267"/>
        <v>186.91262869611305</v>
      </c>
      <c r="CL188" s="133">
        <f t="shared" si="267"/>
        <v>102.6594330917338</v>
      </c>
      <c r="CM188" s="133">
        <f t="shared" si="267"/>
        <v>128.61016560534989</v>
      </c>
      <c r="CN188" s="133">
        <f t="shared" si="267"/>
        <v>172.39144720389595</v>
      </c>
      <c r="CO188" s="133">
        <f t="shared" si="267"/>
        <v>125.50886610287023</v>
      </c>
      <c r="CP188" s="133">
        <f t="shared" si="267"/>
        <v>167.17541610757144</v>
      </c>
      <c r="CQ188" s="133">
        <f t="shared" si="267"/>
        <v>123.11284861856464</v>
      </c>
      <c r="CR188" s="133">
        <f t="shared" si="267"/>
        <v>133.86382253702803</v>
      </c>
      <c r="CS188" s="133">
        <f t="shared" si="267"/>
        <v>200.69045379441337</v>
      </c>
      <c r="CT188" s="133">
        <f t="shared" si="267"/>
        <v>155.67188473745972</v>
      </c>
      <c r="CU188" s="133">
        <f t="shared" si="267"/>
        <v>176.34389182354121</v>
      </c>
      <c r="CV188" s="133">
        <f t="shared" si="267"/>
        <v>124.3610912981293</v>
      </c>
      <c r="CW188" s="133">
        <f t="shared" si="267"/>
        <v>181.33938821752736</v>
      </c>
      <c r="CX188" s="133">
        <f>(4/$F$47)*((CX187/100)^0.5)*(CX186+4)*(CX141^0.25)</f>
        <v>196.5801801174108</v>
      </c>
      <c r="CY188" s="133">
        <f>(4/$F$47)*((CY187/100)^0.5)*(CY186+4)*(CY141^0.25)</f>
        <v>150.88164629877022</v>
      </c>
      <c r="CZ188" s="133">
        <f>(4/$F$47)*((CZ187/100)^0.5)*(CZ186+4)*(CZ141^0.25)</f>
        <v>172.14311917268429</v>
      </c>
      <c r="DA188" s="133">
        <f>(4/$F$47)*((DA187/100)^0.5)*(DA186+4)*(DA141^0.25)</f>
        <v>149.05267297462598</v>
      </c>
    </row>
    <row r="189" spans="5:105">
      <c r="E189" s="137" t="s">
        <v>172</v>
      </c>
      <c r="F189" s="133">
        <f t="shared" ref="F189:BQ189" si="268">(F184*(F176^2+F177^2)^0.5)/(F170+F171+(21/20)*F172)</f>
        <v>4.204794240704135E-3</v>
      </c>
      <c r="G189" s="133">
        <f t="shared" si="268"/>
        <v>34.873294601735381</v>
      </c>
      <c r="H189" s="133">
        <f t="shared" si="268"/>
        <v>108.74271924626596</v>
      </c>
      <c r="I189" s="133">
        <f t="shared" si="268"/>
        <v>58.863652674929973</v>
      </c>
      <c r="J189" s="133">
        <f t="shared" si="268"/>
        <v>55.028081941743956</v>
      </c>
      <c r="K189" s="133">
        <f t="shared" si="268"/>
        <v>139.96971770703229</v>
      </c>
      <c r="L189" s="133">
        <f t="shared" si="268"/>
        <v>56.683121564600455</v>
      </c>
      <c r="M189" s="133">
        <f t="shared" si="268"/>
        <v>153.09215262270118</v>
      </c>
      <c r="N189" s="133">
        <f t="shared" si="268"/>
        <v>132.45077861173149</v>
      </c>
      <c r="O189" s="133">
        <f t="shared" si="268"/>
        <v>11.931420068765187</v>
      </c>
      <c r="P189" s="133">
        <f t="shared" si="268"/>
        <v>111.69139952078109</v>
      </c>
      <c r="Q189" s="133">
        <f t="shared" si="268"/>
        <v>131.17500214355857</v>
      </c>
      <c r="R189" s="133">
        <f t="shared" si="268"/>
        <v>136.40796193456495</v>
      </c>
      <c r="S189" s="133">
        <f t="shared" si="268"/>
        <v>93.869567167053788</v>
      </c>
      <c r="T189" s="133">
        <f t="shared" si="268"/>
        <v>17.497760411240201</v>
      </c>
      <c r="U189" s="133">
        <f t="shared" si="268"/>
        <v>39.661560589488097</v>
      </c>
      <c r="V189" s="133">
        <f t="shared" si="268"/>
        <v>85.454937989068938</v>
      </c>
      <c r="W189" s="133">
        <f t="shared" si="268"/>
        <v>80.97851969628465</v>
      </c>
      <c r="X189" s="133">
        <f t="shared" si="268"/>
        <v>53.411823733510346</v>
      </c>
      <c r="Y189" s="133">
        <f t="shared" si="268"/>
        <v>86.592320733868874</v>
      </c>
      <c r="Z189" s="133">
        <f t="shared" si="268"/>
        <v>139.54207272913851</v>
      </c>
      <c r="AA189" s="133">
        <f t="shared" si="268"/>
        <v>94.085034778456375</v>
      </c>
      <c r="AB189" s="133">
        <f t="shared" si="268"/>
        <v>107.61813714535147</v>
      </c>
      <c r="AC189" s="133">
        <f t="shared" si="268"/>
        <v>26.260914730167805</v>
      </c>
      <c r="AD189" s="133">
        <f t="shared" si="268"/>
        <v>68.079498267974216</v>
      </c>
      <c r="AE189" s="133">
        <f t="shared" si="268"/>
        <v>128.90383768129703</v>
      </c>
      <c r="AF189" s="133">
        <f t="shared" si="268"/>
        <v>87.926612166207804</v>
      </c>
      <c r="AG189" s="133">
        <f t="shared" si="268"/>
        <v>36.958885766275884</v>
      </c>
      <c r="AH189" s="133">
        <f t="shared" si="268"/>
        <v>63.822883154918621</v>
      </c>
      <c r="AI189" s="133">
        <f t="shared" si="268"/>
        <v>89.64016493938351</v>
      </c>
      <c r="AJ189" s="133">
        <f t="shared" si="268"/>
        <v>49.912754555182133</v>
      </c>
      <c r="AK189" s="133">
        <f t="shared" si="268"/>
        <v>88.270871974679778</v>
      </c>
      <c r="AL189" s="133">
        <f t="shared" si="268"/>
        <v>118.49953729742558</v>
      </c>
      <c r="AM189" s="133">
        <f t="shared" si="268"/>
        <v>49.09741310825595</v>
      </c>
      <c r="AN189" s="133">
        <f t="shared" si="268"/>
        <v>116.66683636172984</v>
      </c>
      <c r="AO189" s="133">
        <f t="shared" si="268"/>
        <v>64.84322473794893</v>
      </c>
      <c r="AP189" s="133">
        <f t="shared" si="268"/>
        <v>9.788899636585759</v>
      </c>
      <c r="AQ189" s="133">
        <f t="shared" si="268"/>
        <v>79.924379389510833</v>
      </c>
      <c r="AR189" s="133">
        <f t="shared" si="268"/>
        <v>36.508189721248556</v>
      </c>
      <c r="AS189" s="133">
        <f t="shared" si="268"/>
        <v>26.200780162375352</v>
      </c>
      <c r="AT189" s="133">
        <f t="shared" si="268"/>
        <v>47.558358003495179</v>
      </c>
      <c r="AU189" s="133">
        <f t="shared" si="268"/>
        <v>17.385080751712202</v>
      </c>
      <c r="AV189" s="133">
        <f t="shared" si="268"/>
        <v>131.24679746494277</v>
      </c>
      <c r="AW189" s="133">
        <f t="shared" si="268"/>
        <v>133.66806603774157</v>
      </c>
      <c r="AX189" s="133">
        <f t="shared" si="268"/>
        <v>4.9561744729959889</v>
      </c>
      <c r="AY189" s="133">
        <f t="shared" si="268"/>
        <v>107.73439119834603</v>
      </c>
      <c r="AZ189" s="133">
        <f t="shared" si="268"/>
        <v>68.467623248526962</v>
      </c>
      <c r="BA189" s="133">
        <f t="shared" si="268"/>
        <v>40.445210984786421</v>
      </c>
      <c r="BB189" s="133">
        <f t="shared" si="268"/>
        <v>65.993548737031389</v>
      </c>
      <c r="BC189" s="133">
        <f t="shared" si="268"/>
        <v>91.463917222360806</v>
      </c>
      <c r="BD189" s="133">
        <f t="shared" si="268"/>
        <v>63.986931055611237</v>
      </c>
      <c r="BE189" s="133">
        <f t="shared" si="268"/>
        <v>49.745421911175512</v>
      </c>
      <c r="BF189" s="133">
        <f t="shared" si="268"/>
        <v>95.765246936092367</v>
      </c>
      <c r="BG189" s="133">
        <f t="shared" si="268"/>
        <v>130.79085095242289</v>
      </c>
      <c r="BH189" s="133">
        <f t="shared" si="268"/>
        <v>31.936695665015471</v>
      </c>
      <c r="BI189" s="133">
        <f t="shared" si="268"/>
        <v>38.77568705369621</v>
      </c>
      <c r="BJ189" s="133">
        <f t="shared" si="268"/>
        <v>92.855730222836883</v>
      </c>
      <c r="BK189" s="133">
        <f t="shared" si="268"/>
        <v>118.93783382423466</v>
      </c>
      <c r="BL189" s="133">
        <f t="shared" si="268"/>
        <v>125.4377950740178</v>
      </c>
      <c r="BM189" s="133">
        <f t="shared" si="268"/>
        <v>32.356059292070952</v>
      </c>
      <c r="BN189" s="133">
        <f t="shared" si="268"/>
        <v>12.299182777960452</v>
      </c>
      <c r="BO189" s="133">
        <f t="shared" si="268"/>
        <v>35.37774466025823</v>
      </c>
      <c r="BP189" s="133">
        <f t="shared" si="268"/>
        <v>17.251540267579482</v>
      </c>
      <c r="BQ189" s="133">
        <f t="shared" si="268"/>
        <v>7.152000075578786</v>
      </c>
      <c r="BR189" s="133">
        <f t="shared" ref="BR189:DA189" si="269">(BR184*(BR176^2+BR177^2)^0.5)/(BR170+BR171+(21/20)*BR172)</f>
        <v>122.85931146361305</v>
      </c>
      <c r="BS189" s="133">
        <f t="shared" si="269"/>
        <v>74.759065569232391</v>
      </c>
      <c r="BT189" s="133">
        <f t="shared" si="269"/>
        <v>137.61277116118526</v>
      </c>
      <c r="BU189" s="133">
        <f t="shared" si="269"/>
        <v>139.30314534984339</v>
      </c>
      <c r="BV189" s="133">
        <f t="shared" si="269"/>
        <v>73.600691222562077</v>
      </c>
      <c r="BW189" s="133">
        <f t="shared" si="269"/>
        <v>42.33574344166842</v>
      </c>
      <c r="BX189" s="133">
        <f t="shared" si="269"/>
        <v>88.137563387409458</v>
      </c>
      <c r="BY189" s="133">
        <f t="shared" si="269"/>
        <v>132.36916502961733</v>
      </c>
      <c r="BZ189" s="133">
        <f t="shared" si="269"/>
        <v>22.618810519488537</v>
      </c>
      <c r="CA189" s="133">
        <f t="shared" si="269"/>
        <v>142.52431754915349</v>
      </c>
      <c r="CB189" s="133">
        <f t="shared" si="269"/>
        <v>18.413779890109957</v>
      </c>
      <c r="CC189" s="133">
        <f t="shared" si="269"/>
        <v>136.06632341292271</v>
      </c>
      <c r="CD189" s="133">
        <f t="shared" si="269"/>
        <v>170.30814290326737</v>
      </c>
      <c r="CE189" s="133">
        <f t="shared" si="269"/>
        <v>120.29639981803076</v>
      </c>
      <c r="CF189" s="133">
        <f t="shared" si="269"/>
        <v>174.64503272657097</v>
      </c>
      <c r="CG189" s="133">
        <f t="shared" si="269"/>
        <v>59.329818741124981</v>
      </c>
      <c r="CH189" s="133">
        <f t="shared" si="269"/>
        <v>79.303631142668593</v>
      </c>
      <c r="CI189" s="133">
        <f t="shared" si="269"/>
        <v>136.45951185235583</v>
      </c>
      <c r="CJ189" s="133">
        <f t="shared" si="269"/>
        <v>20.574873039147811</v>
      </c>
      <c r="CK189" s="133">
        <f t="shared" si="269"/>
        <v>45.556995065336046</v>
      </c>
      <c r="CL189" s="133">
        <f t="shared" si="269"/>
        <v>38.492601961919434</v>
      </c>
      <c r="CM189" s="133">
        <f t="shared" si="269"/>
        <v>62.14747860063099</v>
      </c>
      <c r="CN189" s="133">
        <f t="shared" si="269"/>
        <v>80.304268798367758</v>
      </c>
      <c r="CO189" s="133">
        <f t="shared" si="269"/>
        <v>125.68473900140887</v>
      </c>
      <c r="CP189" s="133">
        <f t="shared" si="269"/>
        <v>82.580214378579683</v>
      </c>
      <c r="CQ189" s="133">
        <f t="shared" si="269"/>
        <v>105.08387977856182</v>
      </c>
      <c r="CR189" s="133">
        <f t="shared" si="269"/>
        <v>107.7344218058023</v>
      </c>
      <c r="CS189" s="133">
        <f t="shared" si="269"/>
        <v>12.270975092086131</v>
      </c>
      <c r="CT189" s="133">
        <f t="shared" si="269"/>
        <v>59.460951100500928</v>
      </c>
      <c r="CU189" s="133">
        <f t="shared" si="269"/>
        <v>39.992587294959357</v>
      </c>
      <c r="CV189" s="133">
        <f t="shared" si="269"/>
        <v>101.19241150834226</v>
      </c>
      <c r="CW189" s="133">
        <f t="shared" si="269"/>
        <v>52.321589845525644</v>
      </c>
      <c r="CX189" s="133">
        <f t="shared" si="269"/>
        <v>42.428401485625464</v>
      </c>
      <c r="CY189" s="133">
        <f t="shared" si="269"/>
        <v>83.943033284012643</v>
      </c>
      <c r="CZ189" s="133">
        <f t="shared" si="269"/>
        <v>100.90186933772259</v>
      </c>
      <c r="DA189" s="133">
        <f t="shared" si="269"/>
        <v>129.01983728019326</v>
      </c>
    </row>
    <row r="190" spans="5:105">
      <c r="E190" s="137" t="s">
        <v>173</v>
      </c>
      <c r="F190" s="138">
        <f>100*(F192/F188)^0.5</f>
        <v>0.50791838306523907</v>
      </c>
      <c r="G190" s="138">
        <f t="shared" ref="G190:BR190" si="270">100*(G192/G188)^0.5</f>
        <v>29.459857038279303</v>
      </c>
      <c r="H190" s="138">
        <f t="shared" si="270"/>
        <v>49.146079584886031</v>
      </c>
      <c r="I190" s="138">
        <f t="shared" si="270"/>
        <v>37.285505735136034</v>
      </c>
      <c r="J190" s="138">
        <f t="shared" si="270"/>
        <v>36.171936810391657</v>
      </c>
      <c r="K190" s="138">
        <f t="shared" si="270"/>
        <v>55.058469346971783</v>
      </c>
      <c r="L190" s="138">
        <f t="shared" si="270"/>
        <v>36.657512063200855</v>
      </c>
      <c r="M190" s="138">
        <f t="shared" si="270"/>
        <v>57.324148576067365</v>
      </c>
      <c r="N190" s="138">
        <f t="shared" si="270"/>
        <v>53.707300838684901</v>
      </c>
      <c r="O190" s="138">
        <f t="shared" si="270"/>
        <v>18.181104200371486</v>
      </c>
      <c r="P190" s="138">
        <f t="shared" si="270"/>
        <v>49.741362179178559</v>
      </c>
      <c r="Q190" s="138">
        <f t="shared" si="270"/>
        <v>53.473890276324866</v>
      </c>
      <c r="R190" s="138">
        <f t="shared" si="270"/>
        <v>54.423525147241669</v>
      </c>
      <c r="S190" s="138">
        <f t="shared" si="270"/>
        <v>45.998636824774593</v>
      </c>
      <c r="T190" s="138">
        <f t="shared" si="270"/>
        <v>21.599858401955391</v>
      </c>
      <c r="U190" s="138">
        <f t="shared" si="270"/>
        <v>31.215852791950638</v>
      </c>
      <c r="V190" s="138">
        <f t="shared" si="270"/>
        <v>44.095118912501313</v>
      </c>
      <c r="W190" s="138">
        <f t="shared" si="270"/>
        <v>43.040293051681758</v>
      </c>
      <c r="X190" s="138">
        <f t="shared" si="270"/>
        <v>35.689924382005515</v>
      </c>
      <c r="Y190" s="138">
        <f t="shared" si="270"/>
        <v>44.358261336881895</v>
      </c>
      <c r="Z190" s="138">
        <f t="shared" si="270"/>
        <v>54.982707377829655</v>
      </c>
      <c r="AA190" s="138">
        <f t="shared" si="270"/>
        <v>46.046120109509097</v>
      </c>
      <c r="AB190" s="138">
        <f t="shared" si="270"/>
        <v>48.91671183217219</v>
      </c>
      <c r="AC190" s="138">
        <f t="shared" si="270"/>
        <v>25.929743869472517</v>
      </c>
      <c r="AD190" s="138">
        <f t="shared" si="270"/>
        <v>39.807614274390225</v>
      </c>
      <c r="AE190" s="138">
        <f t="shared" si="270"/>
        <v>53.055257396553102</v>
      </c>
      <c r="AF190" s="138">
        <f t="shared" si="270"/>
        <v>44.664548438794625</v>
      </c>
      <c r="AG190" s="138">
        <f t="shared" si="270"/>
        <v>30.240034753970246</v>
      </c>
      <c r="AH190" s="138">
        <f t="shared" si="270"/>
        <v>38.66768600073113</v>
      </c>
      <c r="AI190" s="138">
        <f t="shared" si="270"/>
        <v>45.054169204132236</v>
      </c>
      <c r="AJ190" s="138">
        <f t="shared" si="270"/>
        <v>34.618160471211255</v>
      </c>
      <c r="AK190" s="138">
        <f t="shared" si="270"/>
        <v>44.743157847165335</v>
      </c>
      <c r="AL190" s="138">
        <f t="shared" si="270"/>
        <v>51.083575719460107</v>
      </c>
      <c r="AM190" s="138">
        <f t="shared" si="270"/>
        <v>34.362532941846894</v>
      </c>
      <c r="AN190" s="138">
        <f t="shared" si="270"/>
        <v>50.726527572826775</v>
      </c>
      <c r="AO190" s="138">
        <f t="shared" si="270"/>
        <v>38.944655523515294</v>
      </c>
      <c r="AP190" s="138">
        <f t="shared" si="270"/>
        <v>16.631791759341503</v>
      </c>
      <c r="AQ190" s="138">
        <f t="shared" si="270"/>
        <v>42.7872591302404</v>
      </c>
      <c r="AR190" s="138">
        <f t="shared" si="270"/>
        <v>30.073531447748987</v>
      </c>
      <c r="AS190" s="138">
        <f t="shared" si="270"/>
        <v>25.90300772333164</v>
      </c>
      <c r="AT190" s="138">
        <f t="shared" si="270"/>
        <v>33.873562802865024</v>
      </c>
      <c r="AU190" s="138">
        <f t="shared" si="270"/>
        <v>21.537154082577196</v>
      </c>
      <c r="AV190" s="138">
        <f t="shared" si="270"/>
        <v>53.487058706472112</v>
      </c>
      <c r="AW190" s="138">
        <f t="shared" si="270"/>
        <v>53.928860471629683</v>
      </c>
      <c r="AX190" s="138">
        <f t="shared" si="270"/>
        <v>12.244040530255067</v>
      </c>
      <c r="AY190" s="138">
        <f t="shared" si="270"/>
        <v>48.940483707312126</v>
      </c>
      <c r="AZ190" s="138">
        <f t="shared" si="270"/>
        <v>39.90958006667946</v>
      </c>
      <c r="BA190" s="138">
        <f t="shared" si="270"/>
        <v>31.491909301356429</v>
      </c>
      <c r="BB190" s="138">
        <f t="shared" si="270"/>
        <v>39.254049142514233</v>
      </c>
      <c r="BC190" s="138">
        <f t="shared" si="270"/>
        <v>45.464372722011376</v>
      </c>
      <c r="BD190" s="138">
        <f t="shared" si="270"/>
        <v>38.712379902776924</v>
      </c>
      <c r="BE190" s="138">
        <f t="shared" si="270"/>
        <v>34.56588637433515</v>
      </c>
      <c r="BF190" s="138">
        <f t="shared" si="270"/>
        <v>46.414359783082617</v>
      </c>
      <c r="BG190" s="138">
        <f t="shared" si="270"/>
        <v>53.403363254366674</v>
      </c>
      <c r="BH190" s="138">
        <f t="shared" si="270"/>
        <v>28.316481300469516</v>
      </c>
      <c r="BI190" s="138">
        <f t="shared" si="270"/>
        <v>30.900148769756907</v>
      </c>
      <c r="BJ190" s="138">
        <f t="shared" si="270"/>
        <v>45.774405645951482</v>
      </c>
      <c r="BK190" s="138">
        <f t="shared" si="270"/>
        <v>51.168514115207245</v>
      </c>
      <c r="BL190" s="138">
        <f t="shared" si="270"/>
        <v>52.408481892574578</v>
      </c>
      <c r="BM190" s="138">
        <f t="shared" si="270"/>
        <v>28.48320297802222</v>
      </c>
      <c r="BN190" s="138">
        <f t="shared" si="270"/>
        <v>18.431178690077616</v>
      </c>
      <c r="BO190" s="138">
        <f t="shared" si="270"/>
        <v>29.650864419433997</v>
      </c>
      <c r="BP190" s="138">
        <f t="shared" si="270"/>
        <v>21.462550937800859</v>
      </c>
      <c r="BQ190" s="138">
        <f t="shared" si="270"/>
        <v>14.441129890865549</v>
      </c>
      <c r="BR190" s="138">
        <f t="shared" si="270"/>
        <v>51.92092598422672</v>
      </c>
      <c r="BS190" s="138">
        <f t="shared" ref="BS190:DA190" si="271">100*(BS192/BS188)^0.5</f>
        <v>41.520018043940425</v>
      </c>
      <c r="BT190" s="138">
        <f t="shared" si="271"/>
        <v>54.639312705362073</v>
      </c>
      <c r="BU190" s="138">
        <f t="shared" si="271"/>
        <v>54.940323175889425</v>
      </c>
      <c r="BV190" s="138">
        <f t="shared" si="271"/>
        <v>41.229270110240179</v>
      </c>
      <c r="BW190" s="138">
        <f t="shared" si="271"/>
        <v>32.146006663458458</v>
      </c>
      <c r="BX190" s="138">
        <f t="shared" si="271"/>
        <v>44.712737768986848</v>
      </c>
      <c r="BY190" s="138">
        <f t="shared" si="271"/>
        <v>53.692406289154818</v>
      </c>
      <c r="BZ190" s="138">
        <f t="shared" si="271"/>
        <v>24.244888306467022</v>
      </c>
      <c r="CA190" s="138">
        <f t="shared" si="271"/>
        <v>55.508415588012319</v>
      </c>
      <c r="CB190" s="138">
        <f t="shared" si="271"/>
        <v>22.101569785600717</v>
      </c>
      <c r="CC190" s="138">
        <f t="shared" si="271"/>
        <v>54.36214531463569</v>
      </c>
      <c r="CD190" s="138">
        <f t="shared" si="271"/>
        <v>60.140180964252551</v>
      </c>
      <c r="CE190" s="138">
        <f t="shared" si="271"/>
        <v>51.430705070740323</v>
      </c>
      <c r="CF190" s="138">
        <f t="shared" si="271"/>
        <v>60.824577603601504</v>
      </c>
      <c r="CG190" s="138">
        <f t="shared" si="271"/>
        <v>37.418093363974258</v>
      </c>
      <c r="CH190" s="138">
        <f t="shared" si="271"/>
        <v>42.637396435481342</v>
      </c>
      <c r="CI190" s="138">
        <f t="shared" si="271"/>
        <v>54.432779420340196</v>
      </c>
      <c r="CJ190" s="138">
        <f t="shared" si="271"/>
        <v>23.233279570436913</v>
      </c>
      <c r="CK190" s="138">
        <f t="shared" si="271"/>
        <v>33.224509359508168</v>
      </c>
      <c r="CL190" s="138">
        <f t="shared" si="271"/>
        <v>30.798429104991961</v>
      </c>
      <c r="CM190" s="138">
        <f t="shared" si="271"/>
        <v>38.207566323520467</v>
      </c>
      <c r="CN190" s="138">
        <f t="shared" si="271"/>
        <v>42.878657457160216</v>
      </c>
      <c r="CO190" s="138">
        <f t="shared" si="271"/>
        <v>52.454885216391808</v>
      </c>
      <c r="CP190" s="138">
        <f t="shared" si="271"/>
        <v>43.421317550185549</v>
      </c>
      <c r="CQ190" s="138">
        <f t="shared" si="271"/>
        <v>48.394949287843616</v>
      </c>
      <c r="CR190" s="138">
        <f t="shared" si="271"/>
        <v>48.940489964131416</v>
      </c>
      <c r="CS190" s="138">
        <f t="shared" si="271"/>
        <v>18.412144650189134</v>
      </c>
      <c r="CT190" s="138">
        <f t="shared" si="271"/>
        <v>37.455286883217845</v>
      </c>
      <c r="CU190" s="138">
        <f t="shared" si="271"/>
        <v>31.332826238318301</v>
      </c>
      <c r="CV190" s="138">
        <f t="shared" si="271"/>
        <v>47.580102156607317</v>
      </c>
      <c r="CW190" s="138">
        <f t="shared" si="271"/>
        <v>35.360240811821477</v>
      </c>
      <c r="CX190" s="138">
        <f t="shared" si="271"/>
        <v>32.177647962527459</v>
      </c>
      <c r="CY190" s="138">
        <f t="shared" si="271"/>
        <v>43.742327806850163</v>
      </c>
      <c r="CZ190" s="138">
        <f t="shared" si="271"/>
        <v>47.518578463457075</v>
      </c>
      <c r="DA190" s="138">
        <f t="shared" si="271"/>
        <v>53.076736895262485</v>
      </c>
    </row>
    <row r="191" spans="5:105">
      <c r="E191" s="137" t="s">
        <v>21</v>
      </c>
      <c r="F191" s="133">
        <f t="shared" ref="F191:BQ191" si="272">(F189^0.9)*((F187/100)^0.5)*((1.64-0.29^F142)^0.73)</f>
        <v>6.5057747686821689E-3</v>
      </c>
      <c r="G191" s="133">
        <f t="shared" si="272"/>
        <v>19.348966821469798</v>
      </c>
      <c r="H191" s="133">
        <f t="shared" si="272"/>
        <v>42.683359750735377</v>
      </c>
      <c r="I191" s="133">
        <f t="shared" si="272"/>
        <v>16.048660399839996</v>
      </c>
      <c r="J191" s="133">
        <f t="shared" si="272"/>
        <v>25.152926793020931</v>
      </c>
      <c r="K191" s="133">
        <f t="shared" si="272"/>
        <v>46.017907452018626</v>
      </c>
      <c r="L191" s="133">
        <f t="shared" si="272"/>
        <v>20.881300805178657</v>
      </c>
      <c r="M191" s="133">
        <f t="shared" si="272"/>
        <v>45.034690152891471</v>
      </c>
      <c r="N191" s="133">
        <f t="shared" si="272"/>
        <v>38.889867913352582</v>
      </c>
      <c r="O191" s="133">
        <f t="shared" si="272"/>
        <v>3.6525524433734029</v>
      </c>
      <c r="P191" s="133">
        <f t="shared" si="272"/>
        <v>49.968416207226163</v>
      </c>
      <c r="Q191" s="133">
        <f t="shared" si="272"/>
        <v>48.415777491801734</v>
      </c>
      <c r="R191" s="133">
        <f t="shared" si="272"/>
        <v>53.580226528863278</v>
      </c>
      <c r="S191" s="133">
        <f t="shared" si="272"/>
        <v>29.566396495399641</v>
      </c>
      <c r="T191" s="133">
        <f t="shared" si="272"/>
        <v>9.3254852590444983</v>
      </c>
      <c r="U191" s="133">
        <f t="shared" si="272"/>
        <v>18.922520997735109</v>
      </c>
      <c r="V191" s="133">
        <f t="shared" si="272"/>
        <v>28.80997166577329</v>
      </c>
      <c r="W191" s="133">
        <f t="shared" si="272"/>
        <v>28.352096510321147</v>
      </c>
      <c r="X191" s="133">
        <f t="shared" si="272"/>
        <v>21.081306369556085</v>
      </c>
      <c r="Y191" s="133">
        <f t="shared" si="272"/>
        <v>38.492916878519836</v>
      </c>
      <c r="Z191" s="133">
        <f t="shared" si="272"/>
        <v>55.611528674644802</v>
      </c>
      <c r="AA191" s="133">
        <f t="shared" si="272"/>
        <v>47.54684894217862</v>
      </c>
      <c r="AB191" s="133">
        <f t="shared" si="272"/>
        <v>49.934478212816316</v>
      </c>
      <c r="AC191" s="133">
        <f t="shared" si="272"/>
        <v>15.776055333196997</v>
      </c>
      <c r="AD191" s="133">
        <f t="shared" si="272"/>
        <v>36.916127093352145</v>
      </c>
      <c r="AE191" s="133">
        <f t="shared" si="272"/>
        <v>55.164073006106712</v>
      </c>
      <c r="AF191" s="133">
        <f t="shared" si="272"/>
        <v>46.061907413385832</v>
      </c>
      <c r="AG191" s="133">
        <f t="shared" si="272"/>
        <v>18.169812861173526</v>
      </c>
      <c r="AH191" s="133">
        <f t="shared" si="272"/>
        <v>20.685399955965391</v>
      </c>
      <c r="AI191" s="133">
        <f t="shared" si="272"/>
        <v>45.627686904170162</v>
      </c>
      <c r="AJ191" s="133">
        <f t="shared" si="272"/>
        <v>21.708395201065365</v>
      </c>
      <c r="AK191" s="133">
        <f t="shared" si="272"/>
        <v>45.675771993349713</v>
      </c>
      <c r="AL191" s="133">
        <f t="shared" si="272"/>
        <v>52.777087661381969</v>
      </c>
      <c r="AM191" s="133">
        <f t="shared" si="272"/>
        <v>27.218298420452577</v>
      </c>
      <c r="AN191" s="133">
        <f t="shared" si="272"/>
        <v>45.748288810942519</v>
      </c>
      <c r="AO191" s="133">
        <f t="shared" si="272"/>
        <v>21.15556863155501</v>
      </c>
      <c r="AP191" s="133">
        <f t="shared" si="272"/>
        <v>5.8859997747818156</v>
      </c>
      <c r="AQ191" s="133">
        <f t="shared" si="272"/>
        <v>27.620380209784898</v>
      </c>
      <c r="AR191" s="133">
        <f t="shared" si="272"/>
        <v>20.250529222478228</v>
      </c>
      <c r="AS191" s="133">
        <f t="shared" si="272"/>
        <v>8.3307695497141712</v>
      </c>
      <c r="AT191" s="133">
        <f t="shared" si="272"/>
        <v>17.587535378659961</v>
      </c>
      <c r="AU191" s="133">
        <f t="shared" si="272"/>
        <v>10.54833400585826</v>
      </c>
      <c r="AV191" s="133">
        <f t="shared" si="272"/>
        <v>54.367172009145143</v>
      </c>
      <c r="AW191" s="133">
        <f t="shared" si="272"/>
        <v>57.235898230847191</v>
      </c>
      <c r="AX191" s="133">
        <f t="shared" si="272"/>
        <v>1.6577685775426425</v>
      </c>
      <c r="AY191" s="133">
        <f t="shared" si="272"/>
        <v>40.722914917063918</v>
      </c>
      <c r="AZ191" s="133">
        <f t="shared" si="272"/>
        <v>29.583361342625292</v>
      </c>
      <c r="BA191" s="133">
        <f t="shared" si="272"/>
        <v>18.954832042988656</v>
      </c>
      <c r="BB191" s="133">
        <f t="shared" si="272"/>
        <v>31.948697531506024</v>
      </c>
      <c r="BC191" s="133">
        <f t="shared" si="272"/>
        <v>30.213727172284891</v>
      </c>
      <c r="BD191" s="133">
        <f t="shared" si="272"/>
        <v>24.272148005147159</v>
      </c>
      <c r="BE191" s="133">
        <f t="shared" si="272"/>
        <v>20.213685674862678</v>
      </c>
      <c r="BF191" s="133">
        <f t="shared" si="272"/>
        <v>29.175098477627859</v>
      </c>
      <c r="BG191" s="133">
        <f t="shared" si="272"/>
        <v>43.262142258822131</v>
      </c>
      <c r="BH191" s="133">
        <f t="shared" si="272"/>
        <v>18.084888925393408</v>
      </c>
      <c r="BI191" s="133">
        <f t="shared" si="272"/>
        <v>20.844113081901988</v>
      </c>
      <c r="BJ191" s="133">
        <f t="shared" si="272"/>
        <v>40.489796571869576</v>
      </c>
      <c r="BK191" s="133">
        <f t="shared" si="272"/>
        <v>43.764982733175295</v>
      </c>
      <c r="BL191" s="133">
        <f t="shared" si="272"/>
        <v>43.926354501540793</v>
      </c>
      <c r="BM191" s="133">
        <f t="shared" si="272"/>
        <v>18.239503043407968</v>
      </c>
      <c r="BN191" s="133">
        <f t="shared" si="272"/>
        <v>7.7395103950172439</v>
      </c>
      <c r="BO191" s="133">
        <f t="shared" si="272"/>
        <v>18.007425695617012</v>
      </c>
      <c r="BP191" s="133">
        <f t="shared" si="272"/>
        <v>8.5699721568175775</v>
      </c>
      <c r="BQ191" s="133">
        <f t="shared" si="272"/>
        <v>2.5623464591442793</v>
      </c>
      <c r="BR191" s="133">
        <f t="shared" ref="BR191:DA191" si="273">(BR189^0.9)*((BR187/100)^0.5)*((1.64-0.29^BR142)^0.73)</f>
        <v>45.344963109102231</v>
      </c>
      <c r="BS191" s="133">
        <f t="shared" si="273"/>
        <v>23.132517714909767</v>
      </c>
      <c r="BT191" s="133">
        <f t="shared" si="273"/>
        <v>42.019242115835162</v>
      </c>
      <c r="BU191" s="133">
        <f t="shared" si="273"/>
        <v>44.393697073517359</v>
      </c>
      <c r="BV191" s="133">
        <f t="shared" si="273"/>
        <v>30.475990365607128</v>
      </c>
      <c r="BW191" s="133">
        <f t="shared" si="273"/>
        <v>16.459168728016042</v>
      </c>
      <c r="BX191" s="133">
        <f t="shared" si="273"/>
        <v>39.124414238889223</v>
      </c>
      <c r="BY191" s="133">
        <f t="shared" si="273"/>
        <v>35.350170531763375</v>
      </c>
      <c r="BZ191" s="133">
        <f t="shared" si="273"/>
        <v>12.041832650689193</v>
      </c>
      <c r="CA191" s="133">
        <f t="shared" si="273"/>
        <v>51.472691662367559</v>
      </c>
      <c r="CB191" s="133">
        <f t="shared" si="273"/>
        <v>5.3461925262656846</v>
      </c>
      <c r="CC191" s="133">
        <f t="shared" si="273"/>
        <v>35.168934732305878</v>
      </c>
      <c r="CD191" s="133">
        <f t="shared" si="273"/>
        <v>53.588278457722765</v>
      </c>
      <c r="CE191" s="133">
        <f t="shared" si="273"/>
        <v>37.506250203962246</v>
      </c>
      <c r="CF191" s="133">
        <f t="shared" si="273"/>
        <v>52.453483620133653</v>
      </c>
      <c r="CG191" s="133">
        <f t="shared" si="273"/>
        <v>27.796585749997259</v>
      </c>
      <c r="CH191" s="133">
        <f t="shared" si="273"/>
        <v>33.387149150622534</v>
      </c>
      <c r="CI191" s="133">
        <f t="shared" si="273"/>
        <v>41.732020150547918</v>
      </c>
      <c r="CJ191" s="133">
        <f t="shared" si="273"/>
        <v>12.198666967700504</v>
      </c>
      <c r="CK191" s="133">
        <f t="shared" si="273"/>
        <v>21.859570801490289</v>
      </c>
      <c r="CL191" s="133">
        <f t="shared" si="273"/>
        <v>10.316724318721839</v>
      </c>
      <c r="CM191" s="133">
        <f t="shared" si="273"/>
        <v>19.89114950089435</v>
      </c>
      <c r="CN191" s="133">
        <f t="shared" si="273"/>
        <v>33.580248549468926</v>
      </c>
      <c r="CO191" s="133">
        <f t="shared" si="273"/>
        <v>36.587448220563289</v>
      </c>
      <c r="CP191" s="133">
        <f t="shared" si="273"/>
        <v>33.393676849605015</v>
      </c>
      <c r="CQ191" s="133">
        <f t="shared" si="273"/>
        <v>30.54845786272902</v>
      </c>
      <c r="CR191" s="133">
        <f t="shared" si="273"/>
        <v>33.969228308340362</v>
      </c>
      <c r="CS191" s="133">
        <f t="shared" si="273"/>
        <v>7.2081083142696896</v>
      </c>
      <c r="CT191" s="133">
        <f t="shared" si="273"/>
        <v>23.137811143093522</v>
      </c>
      <c r="CU191" s="133">
        <f t="shared" si="273"/>
        <v>18.341945323139509</v>
      </c>
      <c r="CV191" s="133">
        <f t="shared" si="273"/>
        <v>29.827791419708266</v>
      </c>
      <c r="CW191" s="133">
        <f t="shared" si="273"/>
        <v>24.021958203021232</v>
      </c>
      <c r="CX191" s="133">
        <f t="shared" si="273"/>
        <v>21.564239838062807</v>
      </c>
      <c r="CY191" s="133">
        <f t="shared" si="273"/>
        <v>30.586235537927969</v>
      </c>
      <c r="CZ191" s="133">
        <f t="shared" si="273"/>
        <v>41.181520815648213</v>
      </c>
      <c r="DA191" s="133">
        <f t="shared" si="273"/>
        <v>44.487093378141608</v>
      </c>
    </row>
    <row r="192" spans="5:105">
      <c r="E192" s="137" t="s">
        <v>174</v>
      </c>
      <c r="F192" s="133">
        <f t="shared" ref="F192:BQ192" si="274">F191*F141^0.25</f>
        <v>6.1406336912731025E-3</v>
      </c>
      <c r="G192" s="133">
        <f t="shared" si="274"/>
        <v>18.262992768701459</v>
      </c>
      <c r="H192" s="133">
        <f t="shared" si="274"/>
        <v>40.287726867493191</v>
      </c>
      <c r="I192" s="133">
        <f t="shared" si="274"/>
        <v>15.147918311813971</v>
      </c>
      <c r="J192" s="133">
        <f t="shared" si="274"/>
        <v>23.741201500376739</v>
      </c>
      <c r="K192" s="133">
        <f t="shared" si="274"/>
        <v>43.435120788694825</v>
      </c>
      <c r="L192" s="133">
        <f t="shared" si="274"/>
        <v>19.709323455085087</v>
      </c>
      <c r="M192" s="133">
        <f t="shared" si="274"/>
        <v>42.507087235807816</v>
      </c>
      <c r="N192" s="133">
        <f t="shared" si="274"/>
        <v>36.707147365058177</v>
      </c>
      <c r="O192" s="133">
        <f t="shared" si="274"/>
        <v>3.4475504287191758</v>
      </c>
      <c r="P192" s="133">
        <f t="shared" si="274"/>
        <v>47.163904526593988</v>
      </c>
      <c r="Q192" s="133">
        <f t="shared" si="274"/>
        <v>45.698408725508713</v>
      </c>
      <c r="R192" s="133">
        <f t="shared" si="274"/>
        <v>50.572999513143209</v>
      </c>
      <c r="S192" s="133">
        <f t="shared" si="274"/>
        <v>27.906962184300561</v>
      </c>
      <c r="T192" s="133">
        <f t="shared" si="274"/>
        <v>8.8020859936346945</v>
      </c>
      <c r="U192" s="133">
        <f t="shared" si="274"/>
        <v>17.860481509729858</v>
      </c>
      <c r="V192" s="133">
        <f t="shared" si="274"/>
        <v>27.192992217790334</v>
      </c>
      <c r="W192" s="133">
        <f t="shared" si="274"/>
        <v>26.760815619931279</v>
      </c>
      <c r="X192" s="133">
        <f t="shared" si="274"/>
        <v>19.898103569787228</v>
      </c>
      <c r="Y192" s="133">
        <f t="shared" si="274"/>
        <v>36.332475479702786</v>
      </c>
      <c r="Z192" s="133">
        <f t="shared" si="274"/>
        <v>52.490293430784945</v>
      </c>
      <c r="AA192" s="133">
        <f t="shared" si="274"/>
        <v>44.87824938756016</v>
      </c>
      <c r="AB192" s="133">
        <f t="shared" si="274"/>
        <v>47.131871325430836</v>
      </c>
      <c r="AC192" s="133">
        <f t="shared" si="274"/>
        <v>14.890613391776164</v>
      </c>
      <c r="AD192" s="133">
        <f t="shared" si="274"/>
        <v>34.844184104251845</v>
      </c>
      <c r="AE192" s="133">
        <f t="shared" si="274"/>
        <v>52.067951518980223</v>
      </c>
      <c r="AF192" s="133">
        <f t="shared" si="274"/>
        <v>43.476651222008748</v>
      </c>
      <c r="AG192" s="133">
        <f t="shared" si="274"/>
        <v>17.150019634333315</v>
      </c>
      <c r="AH192" s="133">
        <f t="shared" si="274"/>
        <v>19.524417675589177</v>
      </c>
      <c r="AI192" s="133">
        <f t="shared" si="274"/>
        <v>43.066801637118857</v>
      </c>
      <c r="AJ192" s="133">
        <f t="shared" si="274"/>
        <v>20.489996609909639</v>
      </c>
      <c r="AK192" s="133">
        <f t="shared" si="274"/>
        <v>43.112187917640775</v>
      </c>
      <c r="AL192" s="133">
        <f t="shared" si="274"/>
        <v>49.814937366238354</v>
      </c>
      <c r="AM192" s="133">
        <f t="shared" si="274"/>
        <v>25.690652726610221</v>
      </c>
      <c r="AN192" s="133">
        <f t="shared" si="274"/>
        <v>43.18063467903773</v>
      </c>
      <c r="AO192" s="133">
        <f t="shared" si="274"/>
        <v>19.968197811324139</v>
      </c>
      <c r="AP192" s="133">
        <f t="shared" si="274"/>
        <v>5.5556439946002785</v>
      </c>
      <c r="AQ192" s="133">
        <f t="shared" si="274"/>
        <v>26.070167399344822</v>
      </c>
      <c r="AR192" s="133">
        <f t="shared" si="274"/>
        <v>19.113954360711642</v>
      </c>
      <c r="AS192" s="133">
        <f t="shared" si="274"/>
        <v>7.8631993867148982</v>
      </c>
      <c r="AT192" s="133">
        <f t="shared" si="274"/>
        <v>16.600422875465384</v>
      </c>
      <c r="AU192" s="133">
        <f t="shared" si="274"/>
        <v>9.9563015146151024</v>
      </c>
      <c r="AV192" s="133">
        <f t="shared" si="274"/>
        <v>51.315777137827681</v>
      </c>
      <c r="AW192" s="133">
        <f t="shared" si="274"/>
        <v>54.023494129940907</v>
      </c>
      <c r="AX192" s="133">
        <f t="shared" si="274"/>
        <v>1.5647251774832469</v>
      </c>
      <c r="AY192" s="133">
        <f t="shared" si="274"/>
        <v>38.437313346650726</v>
      </c>
      <c r="AZ192" s="133">
        <f t="shared" si="274"/>
        <v>27.922974867823299</v>
      </c>
      <c r="BA192" s="133">
        <f t="shared" si="274"/>
        <v>17.890979075375583</v>
      </c>
      <c r="BB192" s="133">
        <f t="shared" si="274"/>
        <v>30.155554938462711</v>
      </c>
      <c r="BC192" s="133">
        <f t="shared" si="274"/>
        <v>28.517960982324023</v>
      </c>
      <c r="BD192" s="133">
        <f t="shared" si="274"/>
        <v>22.909857026938727</v>
      </c>
      <c r="BE192" s="133">
        <f t="shared" si="274"/>
        <v>19.079178682512147</v>
      </c>
      <c r="BF192" s="133">
        <f t="shared" si="274"/>
        <v>27.537626036540789</v>
      </c>
      <c r="BG192" s="133">
        <f t="shared" si="274"/>
        <v>40.834024809774554</v>
      </c>
      <c r="BH192" s="133">
        <f t="shared" si="274"/>
        <v>17.069862112779191</v>
      </c>
      <c r="BI192" s="133">
        <f t="shared" si="274"/>
        <v>19.674222918319852</v>
      </c>
      <c r="BJ192" s="133">
        <f t="shared" si="274"/>
        <v>38.217278928698661</v>
      </c>
      <c r="BK192" s="133">
        <f t="shared" si="274"/>
        <v>41.308643017126705</v>
      </c>
      <c r="BL192" s="133">
        <f t="shared" si="274"/>
        <v>41.460957684153861</v>
      </c>
      <c r="BM192" s="133">
        <f t="shared" si="274"/>
        <v>17.215798407222874</v>
      </c>
      <c r="BN192" s="133">
        <f t="shared" si="274"/>
        <v>7.305125058183993</v>
      </c>
      <c r="BO192" s="133">
        <f t="shared" si="274"/>
        <v>16.996746559979918</v>
      </c>
      <c r="BP192" s="133">
        <f t="shared" si="274"/>
        <v>8.0889765831973826</v>
      </c>
      <c r="BQ192" s="133">
        <f t="shared" si="274"/>
        <v>2.4185330041671449</v>
      </c>
      <c r="BR192" s="133">
        <f t="shared" ref="BR192:CW192" si="275">BR191*BR141^0.25</f>
        <v>42.799945909239057</v>
      </c>
      <c r="BS192" s="133">
        <f t="shared" si="275"/>
        <v>21.83418926950042</v>
      </c>
      <c r="BT192" s="133">
        <f t="shared" si="275"/>
        <v>39.660883291003543</v>
      </c>
      <c r="BU192" s="133">
        <f t="shared" si="275"/>
        <v>41.902070333282175</v>
      </c>
      <c r="BV192" s="133">
        <f t="shared" si="275"/>
        <v>28.765504473784553</v>
      </c>
      <c r="BW192" s="133">
        <f t="shared" si="275"/>
        <v>15.535386578111892</v>
      </c>
      <c r="BX192" s="133">
        <f t="shared" si="275"/>
        <v>36.928529616975013</v>
      </c>
      <c r="BY192" s="133">
        <f t="shared" si="275"/>
        <v>33.366117930265617</v>
      </c>
      <c r="BZ192" s="133">
        <f t="shared" si="275"/>
        <v>11.365976522189529</v>
      </c>
      <c r="CA192" s="133">
        <f t="shared" si="275"/>
        <v>48.583751488598111</v>
      </c>
      <c r="CB192" s="133">
        <f t="shared" si="275"/>
        <v>5.0461337986758297</v>
      </c>
      <c r="CC192" s="133">
        <f t="shared" si="275"/>
        <v>33.195054114535189</v>
      </c>
      <c r="CD192" s="133">
        <f t="shared" si="275"/>
        <v>50.580599521964956</v>
      </c>
      <c r="CE192" s="133">
        <f t="shared" si="275"/>
        <v>35.401186149950597</v>
      </c>
      <c r="CF192" s="133">
        <f t="shared" si="275"/>
        <v>49.509495824073795</v>
      </c>
      <c r="CG192" s="133">
        <f t="shared" si="275"/>
        <v>26.236483282585301</v>
      </c>
      <c r="CH192" s="133">
        <f t="shared" si="275"/>
        <v>31.5132724724502</v>
      </c>
      <c r="CI192" s="133">
        <f t="shared" si="275"/>
        <v>39.389781855797573</v>
      </c>
      <c r="CJ192" s="133">
        <f t="shared" si="275"/>
        <v>11.514008405436318</v>
      </c>
      <c r="CK192" s="133">
        <f t="shared" si="275"/>
        <v>20.632687375925162</v>
      </c>
      <c r="CL192" s="133">
        <f t="shared" si="275"/>
        <v>9.7376910802512295</v>
      </c>
      <c r="CM192" s="133">
        <f t="shared" si="275"/>
        <v>18.774745072843022</v>
      </c>
      <c r="CN192" s="133">
        <f t="shared" si="275"/>
        <v>31.695534034905265</v>
      </c>
      <c r="CO192" s="133">
        <f t="shared" si="275"/>
        <v>34.533952558952627</v>
      </c>
      <c r="CP192" s="133">
        <f t="shared" si="275"/>
        <v>31.519433799843714</v>
      </c>
      <c r="CQ192" s="133">
        <f t="shared" si="275"/>
        <v>28.833904682855895</v>
      </c>
      <c r="CR192" s="133">
        <f t="shared" si="275"/>
        <v>32.062682037637778</v>
      </c>
      <c r="CS192" s="133">
        <f t="shared" si="275"/>
        <v>6.8035482842139876</v>
      </c>
      <c r="CT192" s="133">
        <f t="shared" si="275"/>
        <v>21.839185600391549</v>
      </c>
      <c r="CU192" s="133">
        <f t="shared" si="275"/>
        <v>17.312491043641604</v>
      </c>
      <c r="CV192" s="133">
        <f t="shared" si="275"/>
        <v>28.153686138942238</v>
      </c>
      <c r="CW192" s="133">
        <f t="shared" si="275"/>
        <v>22.67370929930096</v>
      </c>
      <c r="CX192" s="133">
        <f>CX191*CX141^0.25</f>
        <v>20.353932065669273</v>
      </c>
      <c r="CY192" s="133">
        <f>CY191*CY141^0.25</f>
        <v>28.869562060086562</v>
      </c>
      <c r="CZ192" s="133">
        <f>CZ191*CZ141^0.25</f>
        <v>38.870179674181728</v>
      </c>
      <c r="DA192" s="133">
        <f>DA191*DA141^0.25</f>
        <v>41.990224706159772</v>
      </c>
    </row>
    <row r="193" spans="5:105">
      <c r="E193" s="133"/>
      <c r="F193" s="133"/>
      <c r="G193" s="133"/>
      <c r="H193" s="133"/>
      <c r="I193" s="133"/>
      <c r="J193" s="133"/>
      <c r="K193" s="133"/>
      <c r="L193" s="133"/>
      <c r="M193" s="133"/>
      <c r="N193" s="133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  <c r="AC193" s="133"/>
      <c r="AD193" s="133"/>
      <c r="AE193" s="133"/>
      <c r="AF193" s="133"/>
      <c r="AG193" s="133"/>
      <c r="AH193" s="133"/>
      <c r="AI193" s="133"/>
      <c r="AJ193" s="133"/>
      <c r="AK193" s="133"/>
      <c r="AL193" s="133"/>
      <c r="AM193" s="133"/>
      <c r="AN193" s="133"/>
      <c r="AO193" s="133"/>
      <c r="AP193" s="133"/>
      <c r="AQ193" s="133"/>
      <c r="AR193" s="133"/>
      <c r="AS193" s="133"/>
      <c r="AT193" s="133"/>
      <c r="AU193" s="133"/>
      <c r="AV193" s="133"/>
      <c r="AW193" s="133"/>
      <c r="AX193" s="133"/>
      <c r="AY193" s="133"/>
      <c r="AZ193" s="133"/>
      <c r="BA193" s="133"/>
      <c r="BB193" s="133"/>
      <c r="BC193" s="133"/>
      <c r="BD193" s="133"/>
      <c r="BE193" s="133"/>
      <c r="BF193" s="133"/>
      <c r="BG193" s="133"/>
      <c r="BH193" s="133"/>
      <c r="BI193" s="133"/>
      <c r="BJ193" s="133"/>
      <c r="BK193" s="133"/>
      <c r="BL193" s="133"/>
      <c r="BM193" s="133"/>
      <c r="BN193" s="133"/>
      <c r="BO193" s="133"/>
      <c r="BP193" s="133"/>
      <c r="BQ193" s="133"/>
      <c r="BR193" s="133"/>
      <c r="BS193" s="133"/>
      <c r="BT193" s="133"/>
      <c r="BU193" s="133"/>
      <c r="BV193" s="133"/>
      <c r="BW193" s="133"/>
      <c r="BX193" s="133"/>
      <c r="BY193" s="133"/>
      <c r="BZ193" s="133"/>
      <c r="CA193" s="133"/>
      <c r="CB193" s="133"/>
      <c r="CC193" s="133"/>
      <c r="CD193" s="133"/>
      <c r="CE193" s="133"/>
      <c r="CF193" s="133"/>
      <c r="CG193" s="133"/>
      <c r="CH193" s="133"/>
      <c r="CI193" s="133"/>
      <c r="CJ193" s="133"/>
      <c r="CK193" s="133"/>
      <c r="CL193" s="133"/>
      <c r="CM193" s="133"/>
      <c r="CN193" s="133"/>
      <c r="CO193" s="133"/>
      <c r="CP193" s="133"/>
      <c r="CQ193" s="133"/>
      <c r="CR193" s="133"/>
      <c r="CS193" s="133"/>
      <c r="CT193" s="133"/>
      <c r="CU193" s="133"/>
      <c r="CV193" s="133"/>
      <c r="CW193" s="133"/>
      <c r="CX193" s="133"/>
      <c r="CY193" s="133"/>
      <c r="CZ193" s="133"/>
      <c r="DA193" s="133"/>
    </row>
    <row r="194" spans="5:105">
      <c r="E194" s="137" t="s">
        <v>175</v>
      </c>
      <c r="F194" s="133">
        <f>F191*COS(PI()*F178/180)</f>
        <v>6.4659837240329176E-3</v>
      </c>
      <c r="G194" s="133">
        <f t="shared" ref="G194:BR194" si="276">G191*COS(PI()*G178/180)</f>
        <v>19.308956350794709</v>
      </c>
      <c r="H194" s="133">
        <f t="shared" si="276"/>
        <v>42.369394413901148</v>
      </c>
      <c r="I194" s="133">
        <f t="shared" si="276"/>
        <v>16.042551007875694</v>
      </c>
      <c r="J194" s="133">
        <f t="shared" si="276"/>
        <v>23.613804799162743</v>
      </c>
      <c r="K194" s="133">
        <f t="shared" si="276"/>
        <v>43.979583662966562</v>
      </c>
      <c r="L194" s="133">
        <f t="shared" si="276"/>
        <v>19.143678066236326</v>
      </c>
      <c r="M194" s="133">
        <f t="shared" si="276"/>
        <v>42.575799179662525</v>
      </c>
      <c r="N194" s="133">
        <f t="shared" si="276"/>
        <v>36.724502767954263</v>
      </c>
      <c r="O194" s="133">
        <f t="shared" si="276"/>
        <v>3.6411764704433622</v>
      </c>
      <c r="P194" s="133">
        <f t="shared" si="276"/>
        <v>40.583856644307041</v>
      </c>
      <c r="Q194" s="133">
        <f t="shared" si="276"/>
        <v>37.615461514493703</v>
      </c>
      <c r="R194" s="133">
        <f t="shared" si="276"/>
        <v>41.566740343181174</v>
      </c>
      <c r="S194" s="133">
        <f t="shared" si="276"/>
        <v>21.82401026023614</v>
      </c>
      <c r="T194" s="133">
        <f t="shared" si="276"/>
        <v>6.1884753369319565</v>
      </c>
      <c r="U194" s="133">
        <f t="shared" si="276"/>
        <v>13.889753351504311</v>
      </c>
      <c r="V194" s="133">
        <f t="shared" si="276"/>
        <v>17.941684438426851</v>
      </c>
      <c r="W194" s="133">
        <f t="shared" si="276"/>
        <v>15.06856872439973</v>
      </c>
      <c r="X194" s="133">
        <f t="shared" si="276"/>
        <v>12.194702024025485</v>
      </c>
      <c r="Y194" s="133">
        <f t="shared" si="276"/>
        <v>15.151179652960368</v>
      </c>
      <c r="Z194" s="133">
        <f t="shared" si="276"/>
        <v>23.693787631779227</v>
      </c>
      <c r="AA194" s="133">
        <f t="shared" si="276"/>
        <v>14.759909326958862</v>
      </c>
      <c r="AB194" s="133">
        <f t="shared" si="276"/>
        <v>17.030453108624272</v>
      </c>
      <c r="AC194" s="133">
        <f t="shared" si="276"/>
        <v>2.7945142091704351</v>
      </c>
      <c r="AD194" s="133">
        <f t="shared" si="276"/>
        <v>4.7319821170217971</v>
      </c>
      <c r="AE194" s="133">
        <f t="shared" si="276"/>
        <v>5.9149847299344005</v>
      </c>
      <c r="AF194" s="133">
        <f t="shared" si="276"/>
        <v>4.8920622624690733</v>
      </c>
      <c r="AG194" s="133">
        <f t="shared" si="276"/>
        <v>0.43060210305398128</v>
      </c>
      <c r="AH194" s="133">
        <f t="shared" si="276"/>
        <v>-1.6537908890109094</v>
      </c>
      <c r="AI194" s="133">
        <f t="shared" si="276"/>
        <v>-1.2782175065321657</v>
      </c>
      <c r="AJ194" s="133">
        <f t="shared" si="276"/>
        <v>1.0661336149371894</v>
      </c>
      <c r="AK194" s="133">
        <f t="shared" si="276"/>
        <v>-3.0592954630435605</v>
      </c>
      <c r="AL194" s="133">
        <f t="shared" si="276"/>
        <v>-6.6285647582594871</v>
      </c>
      <c r="AM194" s="133">
        <f t="shared" si="276"/>
        <v>-1.6377215630535744</v>
      </c>
      <c r="AN194" s="133">
        <f t="shared" si="276"/>
        <v>-8.3962821297430672</v>
      </c>
      <c r="AO194" s="133">
        <f t="shared" si="276"/>
        <v>-4.7410874830836791</v>
      </c>
      <c r="AP194" s="133">
        <f t="shared" si="276"/>
        <v>0.25980509575248495</v>
      </c>
      <c r="AQ194" s="133">
        <f t="shared" si="276"/>
        <v>-9.0224269454492507</v>
      </c>
      <c r="AR194" s="133">
        <f t="shared" si="276"/>
        <v>-3.6396182180254044</v>
      </c>
      <c r="AS194" s="133">
        <f t="shared" si="276"/>
        <v>-2.4622493982233644</v>
      </c>
      <c r="AT194" s="133">
        <f t="shared" si="276"/>
        <v>-5.8485023064844466</v>
      </c>
      <c r="AU194" s="133">
        <f t="shared" si="276"/>
        <v>-3.9303979421889212</v>
      </c>
      <c r="AV194" s="133">
        <f t="shared" si="276"/>
        <v>-27.896519228256821</v>
      </c>
      <c r="AW194" s="133">
        <f t="shared" si="276"/>
        <v>-27.899996532288529</v>
      </c>
      <c r="AX194" s="133">
        <f t="shared" si="276"/>
        <v>-0.89318807064496664</v>
      </c>
      <c r="AY194" s="133">
        <f t="shared" si="276"/>
        <v>-25.677265254876158</v>
      </c>
      <c r="AZ194" s="133">
        <f t="shared" si="276"/>
        <v>-17.862914029674034</v>
      </c>
      <c r="BA194" s="133">
        <f t="shared" si="276"/>
        <v>-11.561549746685225</v>
      </c>
      <c r="BB194" s="133">
        <f t="shared" si="276"/>
        <v>-24.069103436223632</v>
      </c>
      <c r="BC194" s="133">
        <f t="shared" si="276"/>
        <v>-22.051781451915641</v>
      </c>
      <c r="BD194" s="133">
        <f t="shared" si="276"/>
        <v>-21.996104159809683</v>
      </c>
      <c r="BE194" s="133">
        <f t="shared" si="276"/>
        <v>-18.575252036577496</v>
      </c>
      <c r="BF194" s="133">
        <f t="shared" si="276"/>
        <v>-26.81047968099368</v>
      </c>
      <c r="BG194" s="133">
        <f t="shared" si="276"/>
        <v>-42.556859097064155</v>
      </c>
      <c r="BH194" s="133">
        <f t="shared" si="276"/>
        <v>-18.0700148563431</v>
      </c>
      <c r="BI194" s="133">
        <f t="shared" si="276"/>
        <v>-20.598446861339518</v>
      </c>
      <c r="BJ194" s="133">
        <f t="shared" si="276"/>
        <v>-40.261725607605776</v>
      </c>
      <c r="BK194" s="133">
        <f t="shared" si="276"/>
        <v>-43.461020470886019</v>
      </c>
      <c r="BL194" s="133">
        <f t="shared" si="276"/>
        <v>-43.054587740229621</v>
      </c>
      <c r="BM194" s="133">
        <f t="shared" si="276"/>
        <v>-17.800981593552901</v>
      </c>
      <c r="BN194" s="133">
        <f t="shared" si="276"/>
        <v>-6.5713924845319758</v>
      </c>
      <c r="BO194" s="133">
        <f t="shared" si="276"/>
        <v>-16.006304763011041</v>
      </c>
      <c r="BP194" s="133">
        <f t="shared" si="276"/>
        <v>-5.7929503577506187</v>
      </c>
      <c r="BQ194" s="133">
        <f t="shared" si="276"/>
        <v>0.73243237503979663</v>
      </c>
      <c r="BR194" s="133">
        <f t="shared" si="276"/>
        <v>-38.289160529944127</v>
      </c>
      <c r="BS194" s="133">
        <f t="shared" ref="BS194:DA194" si="277">BS191*COS(PI()*BS178/180)</f>
        <v>-18.393263595202342</v>
      </c>
      <c r="BT194" s="133">
        <f t="shared" si="277"/>
        <v>-31.510474231723155</v>
      </c>
      <c r="BU194" s="133">
        <f t="shared" si="277"/>
        <v>-32.138119956036888</v>
      </c>
      <c r="BV194" s="133">
        <f t="shared" si="277"/>
        <v>-19.192187418023114</v>
      </c>
      <c r="BW194" s="133">
        <f t="shared" si="277"/>
        <v>-6.4380157349909393</v>
      </c>
      <c r="BX194" s="133">
        <f t="shared" si="277"/>
        <v>-19.682206168548266</v>
      </c>
      <c r="BY194" s="133">
        <f t="shared" si="277"/>
        <v>-14.313316043044617</v>
      </c>
      <c r="BZ194" s="133">
        <f t="shared" si="277"/>
        <v>-5.4063796930451149</v>
      </c>
      <c r="CA194" s="133">
        <f t="shared" si="277"/>
        <v>-24.733123890758652</v>
      </c>
      <c r="CB194" s="133">
        <f t="shared" si="277"/>
        <v>-1.3874174748031318</v>
      </c>
      <c r="CC194" s="133">
        <f t="shared" si="277"/>
        <v>-10.328048482450782</v>
      </c>
      <c r="CD194" s="133">
        <f t="shared" si="277"/>
        <v>-14.397069461026248</v>
      </c>
      <c r="CE194" s="133">
        <f t="shared" si="277"/>
        <v>-9.6832888167884015</v>
      </c>
      <c r="CF194" s="133">
        <f t="shared" si="277"/>
        <v>-11.751212837867856</v>
      </c>
      <c r="CG194" s="133">
        <f t="shared" si="277"/>
        <v>-3.3520082661276902</v>
      </c>
      <c r="CH194" s="133">
        <f t="shared" si="277"/>
        <v>2.8506387451656829</v>
      </c>
      <c r="CI194" s="133">
        <f t="shared" si="277"/>
        <v>4.7932050327211302</v>
      </c>
      <c r="CJ194" s="133">
        <f t="shared" si="277"/>
        <v>1.9436465760311794</v>
      </c>
      <c r="CK194" s="133">
        <f t="shared" si="277"/>
        <v>4.7466319877802583</v>
      </c>
      <c r="CL194" s="133">
        <f t="shared" si="277"/>
        <v>5.3348070152660743</v>
      </c>
      <c r="CM194" s="133">
        <f t="shared" si="277"/>
        <v>6.9494243082547893</v>
      </c>
      <c r="CN194" s="133">
        <f t="shared" si="277"/>
        <v>11.025130622562658</v>
      </c>
      <c r="CO194" s="133">
        <f t="shared" si="277"/>
        <v>18.997768962125569</v>
      </c>
      <c r="CP194" s="133">
        <f t="shared" si="277"/>
        <v>23.576631564483868</v>
      </c>
      <c r="CQ194" s="133">
        <f t="shared" si="277"/>
        <v>20.945465954916941</v>
      </c>
      <c r="CR194" s="133">
        <f t="shared" si="277"/>
        <v>26.60592930756798</v>
      </c>
      <c r="CS194" s="133">
        <f t="shared" si="277"/>
        <v>4.6805943533854526</v>
      </c>
      <c r="CT194" s="133">
        <f t="shared" si="277"/>
        <v>17.871842944001624</v>
      </c>
      <c r="CU194" s="133">
        <f t="shared" si="277"/>
        <v>15.211302763057596</v>
      </c>
      <c r="CV194" s="133">
        <f t="shared" si="277"/>
        <v>26.545364193024824</v>
      </c>
      <c r="CW194" s="133">
        <f t="shared" si="277"/>
        <v>21.633171824296422</v>
      </c>
      <c r="CX194" s="133">
        <f t="shared" si="277"/>
        <v>20.290854949805176</v>
      </c>
      <c r="CY194" s="133">
        <f t="shared" si="277"/>
        <v>30.153139402994434</v>
      </c>
      <c r="CZ194" s="133">
        <f t="shared" si="277"/>
        <v>41.144908925389615</v>
      </c>
      <c r="DA194" s="133">
        <f t="shared" si="277"/>
        <v>44.43810728967744</v>
      </c>
    </row>
    <row r="195" spans="5:105">
      <c r="E195" s="137" t="s">
        <v>176</v>
      </c>
      <c r="F195" s="133">
        <f>F191*SIN(PI()*F178/180)</f>
        <v>7.1844263609764278E-4</v>
      </c>
      <c r="G195" s="133">
        <f t="shared" ref="G195:BR195" si="278">G191*SIN(PI()*G178/180)</f>
        <v>1.2436726665178883</v>
      </c>
      <c r="H195" s="133">
        <f t="shared" si="278"/>
        <v>5.1675542193555151</v>
      </c>
      <c r="I195" s="133">
        <f t="shared" si="278"/>
        <v>0.44278413374799386</v>
      </c>
      <c r="J195" s="133">
        <f t="shared" si="278"/>
        <v>8.6635990882605451</v>
      </c>
      <c r="K195" s="133">
        <f t="shared" si="278"/>
        <v>13.544151028937771</v>
      </c>
      <c r="L195" s="133">
        <f t="shared" si="278"/>
        <v>8.3395631427945354</v>
      </c>
      <c r="M195" s="133">
        <f t="shared" si="278"/>
        <v>14.67735130668977</v>
      </c>
      <c r="N195" s="133">
        <f t="shared" si="278"/>
        <v>12.795808796810388</v>
      </c>
      <c r="O195" s="133">
        <f t="shared" si="278"/>
        <v>0.28805079878839757</v>
      </c>
      <c r="P195" s="133">
        <f t="shared" si="278"/>
        <v>29.151212635719247</v>
      </c>
      <c r="Q195" s="133">
        <f t="shared" si="278"/>
        <v>30.482200793041478</v>
      </c>
      <c r="R195" s="133">
        <f t="shared" si="278"/>
        <v>33.808974727531428</v>
      </c>
      <c r="S195" s="133">
        <f t="shared" si="278"/>
        <v>19.947039326283182</v>
      </c>
      <c r="T195" s="133">
        <f t="shared" si="278"/>
        <v>6.9762058685822295</v>
      </c>
      <c r="U195" s="133">
        <f t="shared" si="278"/>
        <v>12.850546787748016</v>
      </c>
      <c r="V195" s="133">
        <f t="shared" si="278"/>
        <v>22.541304906650179</v>
      </c>
      <c r="W195" s="133">
        <f t="shared" si="278"/>
        <v>24.016236448049199</v>
      </c>
      <c r="X195" s="133">
        <f t="shared" si="278"/>
        <v>17.196241472842683</v>
      </c>
      <c r="Y195" s="133">
        <f t="shared" si="278"/>
        <v>35.385680789556062</v>
      </c>
      <c r="Z195" s="133">
        <f t="shared" si="278"/>
        <v>50.311495199317882</v>
      </c>
      <c r="AA195" s="133">
        <f t="shared" si="278"/>
        <v>45.197875182250606</v>
      </c>
      <c r="AB195" s="133">
        <f t="shared" si="278"/>
        <v>46.940555826504408</v>
      </c>
      <c r="AC195" s="133">
        <f t="shared" si="278"/>
        <v>15.526577607793609</v>
      </c>
      <c r="AD195" s="133">
        <f t="shared" si="278"/>
        <v>36.611593584774674</v>
      </c>
      <c r="AE195" s="133">
        <f t="shared" si="278"/>
        <v>54.846038200290401</v>
      </c>
      <c r="AF195" s="133">
        <f t="shared" si="278"/>
        <v>45.801386893624247</v>
      </c>
      <c r="AG195" s="133">
        <f t="shared" si="278"/>
        <v>18.164709775796375</v>
      </c>
      <c r="AH195" s="133">
        <f t="shared" si="278"/>
        <v>20.619183956540994</v>
      </c>
      <c r="AI195" s="133">
        <f t="shared" si="278"/>
        <v>45.609779348632856</v>
      </c>
      <c r="AJ195" s="133">
        <f t="shared" si="278"/>
        <v>21.68219964211977</v>
      </c>
      <c r="AK195" s="133">
        <f t="shared" si="278"/>
        <v>45.57320329380272</v>
      </c>
      <c r="AL195" s="133">
        <f t="shared" si="278"/>
        <v>52.35917408881425</v>
      </c>
      <c r="AM195" s="133">
        <f t="shared" si="278"/>
        <v>27.168982995075847</v>
      </c>
      <c r="AN195" s="133">
        <f t="shared" si="278"/>
        <v>44.971194953293889</v>
      </c>
      <c r="AO195" s="133">
        <f t="shared" si="278"/>
        <v>20.617472531864365</v>
      </c>
      <c r="AP195" s="133">
        <f t="shared" si="278"/>
        <v>5.8802631455533199</v>
      </c>
      <c r="AQ195" s="133">
        <f t="shared" si="278"/>
        <v>26.105195171595796</v>
      </c>
      <c r="AR195" s="133">
        <f t="shared" si="278"/>
        <v>19.920770894156234</v>
      </c>
      <c r="AS195" s="133">
        <f t="shared" si="278"/>
        <v>7.9585833658631442</v>
      </c>
      <c r="AT195" s="133">
        <f t="shared" si="278"/>
        <v>16.586633819635072</v>
      </c>
      <c r="AU195" s="133">
        <f t="shared" si="278"/>
        <v>9.7887344593253154</v>
      </c>
      <c r="AV195" s="133">
        <f t="shared" si="278"/>
        <v>46.664479073696654</v>
      </c>
      <c r="AW195" s="133">
        <f t="shared" si="278"/>
        <v>49.9753763346529</v>
      </c>
      <c r="AX195" s="133">
        <f t="shared" si="278"/>
        <v>1.3965714185623586</v>
      </c>
      <c r="AY195" s="133">
        <f t="shared" si="278"/>
        <v>31.607496711589743</v>
      </c>
      <c r="AZ195" s="133">
        <f t="shared" si="278"/>
        <v>23.581593896444129</v>
      </c>
      <c r="BA195" s="133">
        <f t="shared" si="278"/>
        <v>15.020526796115785</v>
      </c>
      <c r="BB195" s="133">
        <f t="shared" si="278"/>
        <v>21.009462956868433</v>
      </c>
      <c r="BC195" s="133">
        <f t="shared" si="278"/>
        <v>20.654012792632226</v>
      </c>
      <c r="BD195" s="133">
        <f t="shared" si="278"/>
        <v>10.261996422459537</v>
      </c>
      <c r="BE195" s="133">
        <f t="shared" si="278"/>
        <v>7.9720198406534513</v>
      </c>
      <c r="BF195" s="133">
        <f t="shared" si="278"/>
        <v>11.505848532564148</v>
      </c>
      <c r="BG195" s="133">
        <f t="shared" si="278"/>
        <v>7.7798905271984093</v>
      </c>
      <c r="BH195" s="133">
        <f t="shared" si="278"/>
        <v>-0.73332839530240634</v>
      </c>
      <c r="BI195" s="133">
        <f t="shared" si="278"/>
        <v>-3.1907737418516242</v>
      </c>
      <c r="BJ195" s="133">
        <f t="shared" si="278"/>
        <v>-4.2915122660016056</v>
      </c>
      <c r="BK195" s="133">
        <f t="shared" si="278"/>
        <v>-5.1491177170810793</v>
      </c>
      <c r="BL195" s="133">
        <f t="shared" si="278"/>
        <v>-8.7078754190618834</v>
      </c>
      <c r="BM195" s="133">
        <f t="shared" si="278"/>
        <v>-3.9754906082745709</v>
      </c>
      <c r="BN195" s="133">
        <f t="shared" si="278"/>
        <v>-4.0886210351188872</v>
      </c>
      <c r="BO195" s="133">
        <f t="shared" si="278"/>
        <v>-8.2501871504092552</v>
      </c>
      <c r="BP195" s="133">
        <f t="shared" si="278"/>
        <v>-6.3155481884999896</v>
      </c>
      <c r="BQ195" s="133">
        <f t="shared" si="278"/>
        <v>-2.4554352348784905</v>
      </c>
      <c r="BR195" s="133">
        <f t="shared" si="278"/>
        <v>-24.292094707497156</v>
      </c>
      <c r="BS195" s="133">
        <f t="shared" ref="BS195:DA195" si="279">BS191*SIN(PI()*BS178/180)</f>
        <v>-14.028586177802039</v>
      </c>
      <c r="BT195" s="133">
        <f t="shared" si="279"/>
        <v>-27.797602804578073</v>
      </c>
      <c r="BU195" s="133">
        <f t="shared" si="279"/>
        <v>-30.625831997622655</v>
      </c>
      <c r="BV195" s="133">
        <f t="shared" si="279"/>
        <v>-23.673739266876574</v>
      </c>
      <c r="BW195" s="133">
        <f t="shared" si="279"/>
        <v>-15.147811347297349</v>
      </c>
      <c r="BX195" s="133">
        <f t="shared" si="279"/>
        <v>-33.813171248419721</v>
      </c>
      <c r="BY195" s="133">
        <f t="shared" si="279"/>
        <v>-32.322802175502567</v>
      </c>
      <c r="BZ195" s="133">
        <f t="shared" si="279"/>
        <v>-10.759962462845012</v>
      </c>
      <c r="CA195" s="133">
        <f t="shared" si="279"/>
        <v>-45.141007626918856</v>
      </c>
      <c r="CB195" s="133">
        <f t="shared" si="279"/>
        <v>-5.1630269492333625</v>
      </c>
      <c r="CC195" s="133">
        <f t="shared" si="279"/>
        <v>-33.618229946702087</v>
      </c>
      <c r="CD195" s="133">
        <f t="shared" si="279"/>
        <v>-51.618097398071725</v>
      </c>
      <c r="CE195" s="133">
        <f t="shared" si="279"/>
        <v>-36.234689484703452</v>
      </c>
      <c r="CF195" s="133">
        <f t="shared" si="279"/>
        <v>-51.120220468291791</v>
      </c>
      <c r="CG195" s="133">
        <f t="shared" si="279"/>
        <v>-27.593735157473017</v>
      </c>
      <c r="CH195" s="133">
        <f t="shared" si="279"/>
        <v>-33.265230904812242</v>
      </c>
      <c r="CI195" s="133">
        <f t="shared" si="279"/>
        <v>-41.455840256350299</v>
      </c>
      <c r="CJ195" s="133">
        <f t="shared" si="279"/>
        <v>-12.042828312998143</v>
      </c>
      <c r="CK195" s="133">
        <f t="shared" si="279"/>
        <v>-21.338001790185231</v>
      </c>
      <c r="CL195" s="133">
        <f t="shared" si="279"/>
        <v>-8.8303247266663121</v>
      </c>
      <c r="CM195" s="133">
        <f t="shared" si="279"/>
        <v>-18.637685753622069</v>
      </c>
      <c r="CN195" s="133">
        <f t="shared" si="279"/>
        <v>-31.718757658514008</v>
      </c>
      <c r="CO195" s="133">
        <f t="shared" si="279"/>
        <v>-31.268612725128982</v>
      </c>
      <c r="CP195" s="133">
        <f t="shared" si="279"/>
        <v>-23.649103526527785</v>
      </c>
      <c r="CQ195" s="133">
        <f t="shared" si="279"/>
        <v>-22.237260031810258</v>
      </c>
      <c r="CR195" s="133">
        <f t="shared" si="279"/>
        <v>-21.119493307010174</v>
      </c>
      <c r="CS195" s="133">
        <f t="shared" si="279"/>
        <v>-5.4816842274341235</v>
      </c>
      <c r="CT195" s="133">
        <f t="shared" si="279"/>
        <v>-14.695425624268324</v>
      </c>
      <c r="CU195" s="133">
        <f t="shared" si="279"/>
        <v>-10.249059785543047</v>
      </c>
      <c r="CV195" s="133">
        <f t="shared" si="279"/>
        <v>-13.602969559522567</v>
      </c>
      <c r="CW195" s="133">
        <f t="shared" si="279"/>
        <v>-10.443196480396534</v>
      </c>
      <c r="CX195" s="133">
        <f t="shared" si="279"/>
        <v>-7.3005236250190846</v>
      </c>
      <c r="CY195" s="133">
        <f t="shared" si="279"/>
        <v>-5.1289363931708474</v>
      </c>
      <c r="CZ195" s="133">
        <f t="shared" si="279"/>
        <v>-1.7361239042940744</v>
      </c>
      <c r="DA195" s="133">
        <f t="shared" si="279"/>
        <v>-2.0871266723915367</v>
      </c>
    </row>
    <row r="196" spans="5:105">
      <c r="E196" s="137" t="s">
        <v>95</v>
      </c>
      <c r="F196" s="133">
        <f>F192*COS(PI()*F178/180)</f>
        <v>6.1030759463354244E-3</v>
      </c>
      <c r="G196" s="133">
        <f t="shared" ref="G196:BR196" si="280">G192*COS(PI()*G178/180)</f>
        <v>18.225227913174358</v>
      </c>
      <c r="H196" s="133">
        <f t="shared" si="280"/>
        <v>39.991383050837101</v>
      </c>
      <c r="I196" s="133">
        <f t="shared" si="280"/>
        <v>15.142151813669926</v>
      </c>
      <c r="J196" s="133">
        <f t="shared" si="280"/>
        <v>22.288463785575786</v>
      </c>
      <c r="K196" s="133">
        <f t="shared" si="280"/>
        <v>41.511199322333951</v>
      </c>
      <c r="L196" s="133">
        <f t="shared" si="280"/>
        <v>18.06922598585885</v>
      </c>
      <c r="M196" s="133">
        <f t="shared" si="280"/>
        <v>40.186203207350204</v>
      </c>
      <c r="N196" s="133">
        <f t="shared" si="280"/>
        <v>34.663314825734837</v>
      </c>
      <c r="O196" s="133">
        <f t="shared" si="280"/>
        <v>3.4368129400834651</v>
      </c>
      <c r="P196" s="133">
        <f t="shared" si="280"/>
        <v>38.306059814965046</v>
      </c>
      <c r="Q196" s="133">
        <f t="shared" si="280"/>
        <v>35.504267900666257</v>
      </c>
      <c r="R196" s="133">
        <f t="shared" si="280"/>
        <v>39.233778491142367</v>
      </c>
      <c r="S196" s="133">
        <f t="shared" si="280"/>
        <v>20.599122694473802</v>
      </c>
      <c r="T196" s="133">
        <f t="shared" si="280"/>
        <v>5.8411429080682229</v>
      </c>
      <c r="U196" s="133">
        <f t="shared" si="280"/>
        <v>13.110181404419855</v>
      </c>
      <c r="V196" s="133">
        <f t="shared" si="280"/>
        <v>16.934695076004196</v>
      </c>
      <c r="W196" s="133">
        <f t="shared" si="280"/>
        <v>14.222834954837582</v>
      </c>
      <c r="X196" s="133">
        <f t="shared" si="280"/>
        <v>11.510265996948396</v>
      </c>
      <c r="Y196" s="133">
        <f t="shared" si="280"/>
        <v>14.300809288291115</v>
      </c>
      <c r="Z196" s="133">
        <f t="shared" si="280"/>
        <v>22.363957526775149</v>
      </c>
      <c r="AA196" s="133">
        <f t="shared" si="280"/>
        <v>13.931499278081994</v>
      </c>
      <c r="AB196" s="133">
        <f t="shared" si="280"/>
        <v>16.074607230469578</v>
      </c>
      <c r="AC196" s="133">
        <f t="shared" si="280"/>
        <v>2.637670179757758</v>
      </c>
      <c r="AD196" s="133">
        <f t="shared" si="280"/>
        <v>4.4663963705235705</v>
      </c>
      <c r="AE196" s="133">
        <f t="shared" si="280"/>
        <v>5.5830021492364956</v>
      </c>
      <c r="AF196" s="133">
        <f t="shared" si="280"/>
        <v>4.6174919078559462</v>
      </c>
      <c r="AG196" s="133">
        <f t="shared" si="280"/>
        <v>0.40643426425934226</v>
      </c>
      <c r="AH196" s="133">
        <f t="shared" si="280"/>
        <v>-1.5609707394524484</v>
      </c>
      <c r="AI196" s="133">
        <f t="shared" si="280"/>
        <v>-1.2064766710293668</v>
      </c>
      <c r="AJ196" s="133">
        <f t="shared" si="280"/>
        <v>1.0062961335208069</v>
      </c>
      <c r="AK196" s="133">
        <f t="shared" si="280"/>
        <v>-2.8875904038912168</v>
      </c>
      <c r="AL196" s="133">
        <f t="shared" si="280"/>
        <v>-6.2565320083466096</v>
      </c>
      <c r="AM196" s="133">
        <f t="shared" si="280"/>
        <v>-1.5458033154517479</v>
      </c>
      <c r="AN196" s="133">
        <f t="shared" si="280"/>
        <v>-7.9250350281921014</v>
      </c>
      <c r="AO196" s="133">
        <f t="shared" si="280"/>
        <v>-4.4749906916611746</v>
      </c>
      <c r="AP196" s="133">
        <f t="shared" si="280"/>
        <v>0.24522335630523318</v>
      </c>
      <c r="AQ196" s="133">
        <f t="shared" si="280"/>
        <v>-8.5160370360467663</v>
      </c>
      <c r="AR196" s="133">
        <f t="shared" si="280"/>
        <v>-3.4353421456527573</v>
      </c>
      <c r="AS196" s="133">
        <f t="shared" si="280"/>
        <v>-2.3240539595424732</v>
      </c>
      <c r="AT196" s="133">
        <f t="shared" si="280"/>
        <v>-5.5202510974663817</v>
      </c>
      <c r="AU196" s="133">
        <f t="shared" si="280"/>
        <v>-3.709801658074408</v>
      </c>
      <c r="AV196" s="133">
        <f t="shared" si="280"/>
        <v>-26.330807925737844</v>
      </c>
      <c r="AW196" s="133">
        <f t="shared" si="280"/>
        <v>-26.334090063692376</v>
      </c>
      <c r="AX196" s="133">
        <f t="shared" si="280"/>
        <v>-0.84305727669030706</v>
      </c>
      <c r="AY196" s="133">
        <f t="shared" si="280"/>
        <v>-24.236111105916422</v>
      </c>
      <c r="AZ196" s="133">
        <f t="shared" si="280"/>
        <v>-16.86034571054639</v>
      </c>
      <c r="BA196" s="133">
        <f t="shared" si="280"/>
        <v>-10.91264982605697</v>
      </c>
      <c r="BB196" s="133">
        <f t="shared" si="280"/>
        <v>-22.718208473907985</v>
      </c>
      <c r="BC196" s="133">
        <f t="shared" si="280"/>
        <v>-20.814110071574756</v>
      </c>
      <c r="BD196" s="133">
        <f t="shared" si="280"/>
        <v>-20.761557705730411</v>
      </c>
      <c r="BE196" s="133">
        <f t="shared" si="280"/>
        <v>-17.532703257540255</v>
      </c>
      <c r="BF196" s="133">
        <f t="shared" si="280"/>
        <v>-25.305723094015349</v>
      </c>
      <c r="BG196" s="133">
        <f t="shared" si="280"/>
        <v>-40.168326149896735</v>
      </c>
      <c r="BH196" s="133">
        <f t="shared" si="280"/>
        <v>-17.055822861070645</v>
      </c>
      <c r="BI196" s="133">
        <f t="shared" si="280"/>
        <v>-19.442344883123251</v>
      </c>
      <c r="BJ196" s="133">
        <f t="shared" si="280"/>
        <v>-38.002008603955602</v>
      </c>
      <c r="BK196" s="133">
        <f t="shared" si="280"/>
        <v>-41.021740845586081</v>
      </c>
      <c r="BL196" s="133">
        <f t="shared" si="280"/>
        <v>-40.638119431097678</v>
      </c>
      <c r="BM196" s="133">
        <f t="shared" si="280"/>
        <v>-16.801889274941093</v>
      </c>
      <c r="BN196" s="133">
        <f t="shared" si="280"/>
        <v>-6.2025685677510545</v>
      </c>
      <c r="BO196" s="133">
        <f t="shared" si="280"/>
        <v>-15.107939914194176</v>
      </c>
      <c r="BP196" s="133">
        <f t="shared" si="280"/>
        <v>-5.4678170400113126</v>
      </c>
      <c r="BQ196" s="133">
        <f t="shared" si="280"/>
        <v>0.69132410491665386</v>
      </c>
      <c r="BR196" s="133">
        <f t="shared" si="280"/>
        <v>-36.140155096141726</v>
      </c>
      <c r="BS196" s="133">
        <f t="shared" ref="BS196:DA196" si="281">BS192*COS(PI()*BS178/180)</f>
        <v>-17.360929042436755</v>
      </c>
      <c r="BT196" s="133">
        <f t="shared" si="281"/>
        <v>-29.741927222375541</v>
      </c>
      <c r="BU196" s="133">
        <f t="shared" si="281"/>
        <v>-30.334345899311248</v>
      </c>
      <c r="BV196" s="133">
        <f t="shared" si="281"/>
        <v>-18.115012716957768</v>
      </c>
      <c r="BW196" s="133">
        <f t="shared" si="281"/>
        <v>-6.0766776798883493</v>
      </c>
      <c r="BX196" s="133">
        <f t="shared" si="281"/>
        <v>-18.577528828538405</v>
      </c>
      <c r="BY196" s="133">
        <f t="shared" si="281"/>
        <v>-13.509971348971773</v>
      </c>
      <c r="BZ196" s="133">
        <f t="shared" si="281"/>
        <v>-5.1029429193799745</v>
      </c>
      <c r="CA196" s="133">
        <f t="shared" si="281"/>
        <v>-23.344960324347191</v>
      </c>
      <c r="CB196" s="133">
        <f t="shared" si="281"/>
        <v>-1.3095477160767008</v>
      </c>
      <c r="CC196" s="133">
        <f t="shared" si="281"/>
        <v>-9.7483796675128414</v>
      </c>
      <c r="CD196" s="133">
        <f t="shared" si="281"/>
        <v>-13.589024048842825</v>
      </c>
      <c r="CE196" s="133">
        <f t="shared" si="281"/>
        <v>-9.1398075809414543</v>
      </c>
      <c r="CF196" s="133">
        <f t="shared" si="281"/>
        <v>-11.091667945976141</v>
      </c>
      <c r="CG196" s="133">
        <f t="shared" si="281"/>
        <v>-3.1638744998513193</v>
      </c>
      <c r="CH196" s="133">
        <f t="shared" si="281"/>
        <v>2.690644687620916</v>
      </c>
      <c r="CI196" s="133">
        <f t="shared" si="281"/>
        <v>4.5241831080280805</v>
      </c>
      <c r="CJ196" s="133">
        <f t="shared" si="281"/>
        <v>1.8345580769501963</v>
      </c>
      <c r="CK196" s="133">
        <f t="shared" si="281"/>
        <v>4.4802240072233932</v>
      </c>
      <c r="CL196" s="133">
        <f t="shared" si="281"/>
        <v>5.0353873073012547</v>
      </c>
      <c r="CM196" s="133">
        <f t="shared" si="281"/>
        <v>6.5593830957147921</v>
      </c>
      <c r="CN196" s="133">
        <f t="shared" si="281"/>
        <v>10.40633759371735</v>
      </c>
      <c r="CO196" s="133">
        <f t="shared" si="281"/>
        <v>17.931506130434546</v>
      </c>
      <c r="CP196" s="133">
        <f t="shared" si="281"/>
        <v>22.253376924225847</v>
      </c>
      <c r="CQ196" s="133">
        <f t="shared" si="281"/>
        <v>19.769887291722224</v>
      </c>
      <c r="CR196" s="133">
        <f t="shared" si="281"/>
        <v>25.112653250794391</v>
      </c>
      <c r="CS196" s="133">
        <f t="shared" si="281"/>
        <v>4.4178927804172021</v>
      </c>
      <c r="CT196" s="133">
        <f t="shared" si="281"/>
        <v>16.868773483424484</v>
      </c>
      <c r="CU196" s="133">
        <f t="shared" si="281"/>
        <v>14.357557947538343</v>
      </c>
      <c r="CV196" s="133">
        <f t="shared" si="281"/>
        <v>25.05548739490435</v>
      </c>
      <c r="CW196" s="133">
        <f t="shared" si="281"/>
        <v>20.418995196829322</v>
      </c>
      <c r="CX196" s="133">
        <f t="shared" si="281"/>
        <v>19.152016778894481</v>
      </c>
      <c r="CY196" s="133">
        <f t="shared" si="281"/>
        <v>28.46077374319994</v>
      </c>
      <c r="CZ196" s="133">
        <f t="shared" si="281"/>
        <v>38.835622651410908</v>
      </c>
      <c r="DA196" s="133">
        <f t="shared" si="281"/>
        <v>41.943987995556938</v>
      </c>
    </row>
    <row r="197" spans="5:105">
      <c r="E197" s="137" t="s">
        <v>97</v>
      </c>
      <c r="F197" s="133">
        <f>F192*SIN(PI()*F178/180)</f>
        <v>6.7811954968153535E-4</v>
      </c>
      <c r="G197" s="133">
        <f t="shared" ref="G197:BR197" si="282">G192*SIN(PI()*G178/180)</f>
        <v>1.173870683888149</v>
      </c>
      <c r="H197" s="133">
        <f t="shared" si="282"/>
        <v>4.8775216894394111</v>
      </c>
      <c r="I197" s="133">
        <f t="shared" si="282"/>
        <v>0.41793257011337803</v>
      </c>
      <c r="J197" s="133">
        <f t="shared" si="282"/>
        <v>8.1773486388050909</v>
      </c>
      <c r="K197" s="133">
        <f t="shared" si="282"/>
        <v>12.783976249585665</v>
      </c>
      <c r="L197" s="133">
        <f t="shared" si="282"/>
        <v>7.8714994333437147</v>
      </c>
      <c r="M197" s="133">
        <f t="shared" si="282"/>
        <v>13.853574883405802</v>
      </c>
      <c r="N197" s="133">
        <f t="shared" si="282"/>
        <v>12.077635239238214</v>
      </c>
      <c r="O197" s="133">
        <f t="shared" si="282"/>
        <v>0.2718837498575839</v>
      </c>
      <c r="P197" s="133">
        <f t="shared" si="282"/>
        <v>27.515080803915385</v>
      </c>
      <c r="Q197" s="133">
        <f t="shared" si="282"/>
        <v>28.771366336713495</v>
      </c>
      <c r="R197" s="133">
        <f t="shared" si="282"/>
        <v>31.911422799122541</v>
      </c>
      <c r="S197" s="133">
        <f t="shared" si="282"/>
        <v>18.82749804339376</v>
      </c>
      <c r="T197" s="133">
        <f t="shared" si="282"/>
        <v>6.5846615225738345</v>
      </c>
      <c r="U197" s="133">
        <f t="shared" si="282"/>
        <v>12.129301022837465</v>
      </c>
      <c r="V197" s="133">
        <f t="shared" si="282"/>
        <v>21.276158686181226</v>
      </c>
      <c r="W197" s="133">
        <f t="shared" si="282"/>
        <v>22.668308681756745</v>
      </c>
      <c r="X197" s="133">
        <f t="shared" si="282"/>
        <v>16.231090608873846</v>
      </c>
      <c r="Y197" s="133">
        <f t="shared" si="282"/>
        <v>33.399635150449335</v>
      </c>
      <c r="Z197" s="133">
        <f t="shared" si="282"/>
        <v>47.48772797460942</v>
      </c>
      <c r="AA197" s="133">
        <f t="shared" si="282"/>
        <v>42.661113393309897</v>
      </c>
      <c r="AB197" s="133">
        <f t="shared" si="282"/>
        <v>44.305984889437958</v>
      </c>
      <c r="AC197" s="133">
        <f t="shared" si="282"/>
        <v>14.655137775065791</v>
      </c>
      <c r="AD197" s="133">
        <f t="shared" si="282"/>
        <v>34.556742748013313</v>
      </c>
      <c r="AE197" s="133">
        <f t="shared" si="282"/>
        <v>51.767766635083802</v>
      </c>
      <c r="AF197" s="133">
        <f t="shared" si="282"/>
        <v>43.230752595358318</v>
      </c>
      <c r="AG197" s="133">
        <f t="shared" si="282"/>
        <v>17.145202963128032</v>
      </c>
      <c r="AH197" s="133">
        <f t="shared" si="282"/>
        <v>19.461918094613193</v>
      </c>
      <c r="AI197" s="133">
        <f t="shared" si="282"/>
        <v>43.049899155435952</v>
      </c>
      <c r="AJ197" s="133">
        <f t="shared" si="282"/>
        <v>20.465271294702386</v>
      </c>
      <c r="AK197" s="133">
        <f t="shared" si="282"/>
        <v>43.01537595680557</v>
      </c>
      <c r="AL197" s="133">
        <f t="shared" si="282"/>
        <v>49.420479479976564</v>
      </c>
      <c r="AM197" s="133">
        <f t="shared" si="282"/>
        <v>25.644105163355253</v>
      </c>
      <c r="AN197" s="133">
        <f t="shared" si="282"/>
        <v>42.447155747899579</v>
      </c>
      <c r="AO197" s="133">
        <f t="shared" si="282"/>
        <v>19.460302724822036</v>
      </c>
      <c r="AP197" s="133">
        <f t="shared" si="282"/>
        <v>5.5502293376274583</v>
      </c>
      <c r="AQ197" s="133">
        <f t="shared" si="282"/>
        <v>24.640023162134838</v>
      </c>
      <c r="AR197" s="133">
        <f t="shared" si="282"/>
        <v>18.802703945062515</v>
      </c>
      <c r="AS197" s="133">
        <f t="shared" si="282"/>
        <v>7.5119024080700427</v>
      </c>
      <c r="AT197" s="133">
        <f t="shared" si="282"/>
        <v>15.655697603913906</v>
      </c>
      <c r="AU197" s="133">
        <f t="shared" si="282"/>
        <v>9.2393350143652295</v>
      </c>
      <c r="AV197" s="133">
        <f t="shared" si="282"/>
        <v>44.04540313400593</v>
      </c>
      <c r="AW197" s="133">
        <f t="shared" si="282"/>
        <v>47.170474012088306</v>
      </c>
      <c r="AX197" s="133">
        <f t="shared" si="282"/>
        <v>1.3181878884550191</v>
      </c>
      <c r="AY197" s="133">
        <f t="shared" si="282"/>
        <v>29.833504248919343</v>
      </c>
      <c r="AZ197" s="133">
        <f t="shared" si="282"/>
        <v>22.25806074189644</v>
      </c>
      <c r="BA197" s="133">
        <f t="shared" si="282"/>
        <v>14.17748941277636</v>
      </c>
      <c r="BB197" s="133">
        <f t="shared" si="282"/>
        <v>19.830292417982598</v>
      </c>
      <c r="BC197" s="133">
        <f t="shared" si="282"/>
        <v>19.49479213835648</v>
      </c>
      <c r="BD197" s="133">
        <f t="shared" si="282"/>
        <v>9.6860348247567192</v>
      </c>
      <c r="BE197" s="133">
        <f t="shared" si="282"/>
        <v>7.5245847514838484</v>
      </c>
      <c r="BF197" s="133">
        <f t="shared" si="282"/>
        <v>10.860074880837034</v>
      </c>
      <c r="BG197" s="133">
        <f t="shared" si="282"/>
        <v>7.3432388277112386</v>
      </c>
      <c r="BH197" s="133">
        <f t="shared" si="282"/>
        <v>-0.69216983542658961</v>
      </c>
      <c r="BI197" s="133">
        <f t="shared" si="282"/>
        <v>-3.0116893739948094</v>
      </c>
      <c r="BJ197" s="133">
        <f t="shared" si="282"/>
        <v>-4.0506481924303239</v>
      </c>
      <c r="BK197" s="133">
        <f t="shared" si="282"/>
        <v>-4.8601199485183129</v>
      </c>
      <c r="BL197" s="133">
        <f t="shared" si="282"/>
        <v>-8.2191399301288328</v>
      </c>
      <c r="BM197" s="133">
        <f t="shared" si="282"/>
        <v>-3.752363467303927</v>
      </c>
      <c r="BN197" s="133">
        <f t="shared" si="282"/>
        <v>-3.8591443712375311</v>
      </c>
      <c r="BO197" s="133">
        <f t="shared" si="282"/>
        <v>-7.7871397299193053</v>
      </c>
      <c r="BP197" s="133">
        <f t="shared" si="282"/>
        <v>-5.9610837085615165</v>
      </c>
      <c r="BQ197" s="133">
        <f t="shared" si="282"/>
        <v>-2.3176222457956652</v>
      </c>
      <c r="BR197" s="133">
        <f t="shared" si="282"/>
        <v>-22.928684206918859</v>
      </c>
      <c r="BS197" s="133">
        <f t="shared" ref="BS197:DA197" si="283">BS192*SIN(PI()*BS178/180)</f>
        <v>-13.241222142983755</v>
      </c>
      <c r="BT197" s="133">
        <f t="shared" si="283"/>
        <v>-26.237443254279199</v>
      </c>
      <c r="BU197" s="133">
        <f t="shared" si="283"/>
        <v>-28.9069361412839</v>
      </c>
      <c r="BV197" s="133">
        <f t="shared" si="283"/>
        <v>-22.345034390122954</v>
      </c>
      <c r="BW197" s="133">
        <f t="shared" si="283"/>
        <v>-14.297630031096967</v>
      </c>
      <c r="BX197" s="133">
        <f t="shared" si="283"/>
        <v>-31.915383787393584</v>
      </c>
      <c r="BY197" s="133">
        <f t="shared" si="283"/>
        <v>-30.508662702359707</v>
      </c>
      <c r="BZ197" s="133">
        <f t="shared" si="283"/>
        <v>-10.156052179095642</v>
      </c>
      <c r="CA197" s="133">
        <f t="shared" si="283"/>
        <v>-42.607437568580849</v>
      </c>
      <c r="CB197" s="133">
        <f t="shared" si="283"/>
        <v>-4.8732485154624383</v>
      </c>
      <c r="CC197" s="133">
        <f t="shared" si="283"/>
        <v>-31.73138370013104</v>
      </c>
      <c r="CD197" s="133">
        <f t="shared" si="283"/>
        <v>-48.720996227513382</v>
      </c>
      <c r="CE197" s="133">
        <f t="shared" si="283"/>
        <v>-34.200992649436643</v>
      </c>
      <c r="CF197" s="133">
        <f t="shared" si="283"/>
        <v>-48.251062982386053</v>
      </c>
      <c r="CG197" s="133">
        <f t="shared" si="283"/>
        <v>-26.0450178188952</v>
      </c>
      <c r="CH197" s="133">
        <f t="shared" si="283"/>
        <v>-31.39819697192603</v>
      </c>
      <c r="CI197" s="133">
        <f t="shared" si="283"/>
        <v>-39.129102747857033</v>
      </c>
      <c r="CJ197" s="133">
        <f t="shared" si="283"/>
        <v>-11.366916302267514</v>
      </c>
      <c r="CK197" s="133">
        <f t="shared" si="283"/>
        <v>-20.140391783621308</v>
      </c>
      <c r="CL197" s="133">
        <f t="shared" si="283"/>
        <v>-8.3347166862391777</v>
      </c>
      <c r="CM197" s="133">
        <f t="shared" si="283"/>
        <v>-17.59163283933286</v>
      </c>
      <c r="CN197" s="133">
        <f t="shared" si="283"/>
        <v>-29.938520598777473</v>
      </c>
      <c r="CO197" s="133">
        <f t="shared" si="283"/>
        <v>-29.51364035896248</v>
      </c>
      <c r="CP197" s="133">
        <f t="shared" si="283"/>
        <v>-22.321781347622395</v>
      </c>
      <c r="CQ197" s="133">
        <f t="shared" si="283"/>
        <v>-20.989178538776102</v>
      </c>
      <c r="CR197" s="133">
        <f t="shared" si="283"/>
        <v>-19.934147239147862</v>
      </c>
      <c r="CS197" s="133">
        <f t="shared" si="283"/>
        <v>-5.1740209350531874</v>
      </c>
      <c r="CT197" s="133">
        <f t="shared" si="283"/>
        <v>-13.870634767495844</v>
      </c>
      <c r="CU197" s="133">
        <f t="shared" si="283"/>
        <v>-9.6738242654727458</v>
      </c>
      <c r="CV197" s="133">
        <f t="shared" si="283"/>
        <v>-12.839493549741654</v>
      </c>
      <c r="CW197" s="133">
        <f t="shared" si="283"/>
        <v>-9.8570649049840338</v>
      </c>
      <c r="CX197" s="133">
        <f t="shared" si="283"/>
        <v>-6.890776722171756</v>
      </c>
      <c r="CY197" s="133">
        <f t="shared" si="283"/>
        <v>-4.8410713152741627</v>
      </c>
      <c r="CZ197" s="133">
        <f t="shared" si="283"/>
        <v>-1.6386827577020928</v>
      </c>
      <c r="DA197" s="133">
        <f t="shared" si="283"/>
        <v>-1.9699852543524647</v>
      </c>
    </row>
    <row r="198" spans="5:105">
      <c r="E198" s="137" t="s">
        <v>177</v>
      </c>
      <c r="F198" s="133">
        <f>F190*COS(PI()*F178/180)</f>
        <v>0.50481181946946019</v>
      </c>
      <c r="G198" s="133">
        <f t="shared" ref="G198:BR198" si="284">G190*COS(PI()*G178/180)</f>
        <v>29.398938915001814</v>
      </c>
      <c r="H198" s="133">
        <f t="shared" si="284"/>
        <v>48.784576518560876</v>
      </c>
      <c r="I198" s="133">
        <f t="shared" si="284"/>
        <v>37.271311916870346</v>
      </c>
      <c r="J198" s="133">
        <f t="shared" si="284"/>
        <v>33.958555283722966</v>
      </c>
      <c r="K198" s="133">
        <f t="shared" si="284"/>
        <v>52.619701613438011</v>
      </c>
      <c r="L198" s="133">
        <f t="shared" si="284"/>
        <v>33.607083016257882</v>
      </c>
      <c r="M198" s="133">
        <f t="shared" si="284"/>
        <v>54.194254021376466</v>
      </c>
      <c r="N198" s="133">
        <f t="shared" si="284"/>
        <v>50.716909676940155</v>
      </c>
      <c r="O198" s="133">
        <f t="shared" si="284"/>
        <v>18.124478661812304</v>
      </c>
      <c r="P198" s="133">
        <f t="shared" si="284"/>
        <v>40.399445593803023</v>
      </c>
      <c r="Q198" s="133">
        <f t="shared" si="284"/>
        <v>41.545239298490166</v>
      </c>
      <c r="R198" s="133">
        <f t="shared" si="284"/>
        <v>42.220958829603866</v>
      </c>
      <c r="S198" s="133">
        <f t="shared" si="284"/>
        <v>33.953232081459568</v>
      </c>
      <c r="T198" s="133">
        <f t="shared" si="284"/>
        <v>14.333859020588863</v>
      </c>
      <c r="U198" s="133">
        <f t="shared" si="284"/>
        <v>22.91346359129199</v>
      </c>
      <c r="V198" s="133">
        <f t="shared" si="284"/>
        <v>27.460655566797875</v>
      </c>
      <c r="W198" s="133">
        <f t="shared" si="284"/>
        <v>22.875049594003535</v>
      </c>
      <c r="X198" s="133">
        <f t="shared" si="284"/>
        <v>20.645209811431808</v>
      </c>
      <c r="Y198" s="133">
        <f t="shared" si="284"/>
        <v>17.45983524005435</v>
      </c>
      <c r="Z198" s="133">
        <f t="shared" si="284"/>
        <v>23.425872711615</v>
      </c>
      <c r="AA198" s="133">
        <f t="shared" si="284"/>
        <v>14.294039937349213</v>
      </c>
      <c r="AB198" s="133">
        <f t="shared" si="284"/>
        <v>16.683337783873665</v>
      </c>
      <c r="AC198" s="133">
        <f t="shared" si="284"/>
        <v>4.5931024044339983</v>
      </c>
      <c r="AD198" s="133">
        <f t="shared" si="284"/>
        <v>5.1026186574603498</v>
      </c>
      <c r="AE198" s="133">
        <f t="shared" si="284"/>
        <v>5.6888663262520609</v>
      </c>
      <c r="AF198" s="133">
        <f t="shared" si="284"/>
        <v>4.7436540116910439</v>
      </c>
      <c r="AG198" s="133">
        <f t="shared" si="284"/>
        <v>0.71665144055006313</v>
      </c>
      <c r="AH198" s="133">
        <f t="shared" si="284"/>
        <v>-3.0914687143238928</v>
      </c>
      <c r="AI198" s="133">
        <f t="shared" si="284"/>
        <v>-1.2621509378710325</v>
      </c>
      <c r="AJ198" s="133">
        <f t="shared" si="284"/>
        <v>1.7001526010470311</v>
      </c>
      <c r="AK198" s="133">
        <f t="shared" si="284"/>
        <v>-2.9968303507602361</v>
      </c>
      <c r="AL198" s="133">
        <f t="shared" si="284"/>
        <v>-6.4158672777175889</v>
      </c>
      <c r="AM198" s="133">
        <f t="shared" si="284"/>
        <v>-2.0675892478904525</v>
      </c>
      <c r="AN198" s="133">
        <f t="shared" si="284"/>
        <v>-9.3099490283398332</v>
      </c>
      <c r="AO198" s="133">
        <f t="shared" si="284"/>
        <v>-8.7277265882676645</v>
      </c>
      <c r="AP198" s="133">
        <f t="shared" si="284"/>
        <v>0.73411899692627547</v>
      </c>
      <c r="AQ198" s="133">
        <f t="shared" si="284"/>
        <v>-13.976814104891965</v>
      </c>
      <c r="AR198" s="133">
        <f t="shared" si="284"/>
        <v>-5.4051018487008244</v>
      </c>
      <c r="AS198" s="133">
        <f t="shared" si="284"/>
        <v>-7.6559151946697135</v>
      </c>
      <c r="AT198" s="133">
        <f t="shared" si="284"/>
        <v>-11.264205354309077</v>
      </c>
      <c r="AU198" s="133">
        <f t="shared" si="284"/>
        <v>-8.0249246980381006</v>
      </c>
      <c r="AV198" s="133">
        <f t="shared" si="284"/>
        <v>-27.444921384121521</v>
      </c>
      <c r="AW198" s="133">
        <f t="shared" si="284"/>
        <v>-26.287960295132233</v>
      </c>
      <c r="AX198" s="133">
        <f t="shared" si="284"/>
        <v>-6.5969587590617644</v>
      </c>
      <c r="AY198" s="133">
        <f t="shared" si="284"/>
        <v>-30.858738487014037</v>
      </c>
      <c r="AZ198" s="133">
        <f t="shared" si="284"/>
        <v>-24.098052599056793</v>
      </c>
      <c r="BA198" s="133">
        <f t="shared" si="284"/>
        <v>-19.208573053033696</v>
      </c>
      <c r="BB198" s="133">
        <f t="shared" si="284"/>
        <v>-29.572716326543887</v>
      </c>
      <c r="BC198" s="133">
        <f t="shared" si="284"/>
        <v>-33.182612836786639</v>
      </c>
      <c r="BD198" s="133">
        <f t="shared" si="284"/>
        <v>-35.082249022007872</v>
      </c>
      <c r="BE198" s="133">
        <f t="shared" si="284"/>
        <v>-31.764125632439232</v>
      </c>
      <c r="BF198" s="133">
        <f t="shared" si="284"/>
        <v>-42.652512409680284</v>
      </c>
      <c r="BG198" s="133">
        <f t="shared" si="284"/>
        <v>-52.532752347971517</v>
      </c>
      <c r="BH198" s="133">
        <f t="shared" si="284"/>
        <v>-28.29319217218886</v>
      </c>
      <c r="BI198" s="133">
        <f t="shared" si="284"/>
        <v>-30.535963316854364</v>
      </c>
      <c r="BJ198" s="133">
        <f t="shared" si="284"/>
        <v>-45.516567530718092</v>
      </c>
      <c r="BK198" s="133">
        <f t="shared" si="284"/>
        <v>-50.813131881806996</v>
      </c>
      <c r="BL198" s="133">
        <f t="shared" si="284"/>
        <v>-51.368377994967453</v>
      </c>
      <c r="BM198" s="133">
        <f t="shared" si="284"/>
        <v>-27.798398384568525</v>
      </c>
      <c r="BN198" s="133">
        <f t="shared" si="284"/>
        <v>-15.649376115964516</v>
      </c>
      <c r="BO198" s="133">
        <f t="shared" si="284"/>
        <v>-26.355836775697387</v>
      </c>
      <c r="BP198" s="133">
        <f t="shared" si="284"/>
        <v>-14.507805843274097</v>
      </c>
      <c r="BQ198" s="133">
        <f t="shared" si="284"/>
        <v>4.1279160460436701</v>
      </c>
      <c r="BR198" s="133">
        <f t="shared" si="284"/>
        <v>-43.841885262761302</v>
      </c>
      <c r="BS198" s="133">
        <f t="shared" ref="BS198:DA198" si="285">BS190*COS(PI()*BS178/180)</f>
        <v>-33.013641047274682</v>
      </c>
      <c r="BT198" s="133">
        <f t="shared" si="285"/>
        <v>-40.974338620746799</v>
      </c>
      <c r="BU198" s="133">
        <f t="shared" si="285"/>
        <v>-39.773184326733322</v>
      </c>
      <c r="BV198" s="133">
        <f t="shared" si="285"/>
        <v>-25.964041515021805</v>
      </c>
      <c r="BW198" s="133">
        <f t="shared" si="285"/>
        <v>-12.573933722679278</v>
      </c>
      <c r="BX198" s="133">
        <f t="shared" si="285"/>
        <v>-22.493507960425358</v>
      </c>
      <c r="BY198" s="133">
        <f t="shared" si="285"/>
        <v>-21.740103902403817</v>
      </c>
      <c r="BZ198" s="133">
        <f t="shared" si="285"/>
        <v>-10.885143117541025</v>
      </c>
      <c r="CA198" s="133">
        <f t="shared" si="285"/>
        <v>-26.672328090465342</v>
      </c>
      <c r="CB198" s="133">
        <f t="shared" si="285"/>
        <v>-5.7356902113927832</v>
      </c>
      <c r="CC198" s="133">
        <f t="shared" si="285"/>
        <v>-15.96451176850246</v>
      </c>
      <c r="CD198" s="133">
        <f t="shared" si="285"/>
        <v>-16.157308793267521</v>
      </c>
      <c r="CE198" s="133">
        <f t="shared" si="285"/>
        <v>-13.278276781677059</v>
      </c>
      <c r="CF198" s="133">
        <f t="shared" si="285"/>
        <v>-13.626598423273807</v>
      </c>
      <c r="CG198" s="133">
        <f t="shared" si="285"/>
        <v>-4.5122720965394736</v>
      </c>
      <c r="CH198" s="133">
        <f t="shared" si="285"/>
        <v>3.640437035328786</v>
      </c>
      <c r="CI198" s="133">
        <f t="shared" si="285"/>
        <v>6.2519732167614279</v>
      </c>
      <c r="CJ198" s="133">
        <f t="shared" si="285"/>
        <v>3.7018212241240636</v>
      </c>
      <c r="CK198" s="133">
        <f t="shared" si="285"/>
        <v>7.214438029743679</v>
      </c>
      <c r="CL198" s="133">
        <f t="shared" si="285"/>
        <v>15.9259538757203</v>
      </c>
      <c r="CM198" s="133">
        <f t="shared" si="285"/>
        <v>13.348680032593984</v>
      </c>
      <c r="CN198" s="133">
        <f t="shared" si="285"/>
        <v>14.078001795873789</v>
      </c>
      <c r="CO198" s="133">
        <f t="shared" si="285"/>
        <v>27.236821334693385</v>
      </c>
      <c r="CP198" s="133">
        <f t="shared" si="285"/>
        <v>30.656354810395513</v>
      </c>
      <c r="CQ198" s="133">
        <f t="shared" si="285"/>
        <v>33.181863623144814</v>
      </c>
      <c r="CR198" s="133">
        <f t="shared" si="285"/>
        <v>38.331963400643936</v>
      </c>
      <c r="CS198" s="133">
        <f t="shared" si="285"/>
        <v>11.955949678611756</v>
      </c>
      <c r="CT198" s="133">
        <f t="shared" si="285"/>
        <v>28.930783489396891</v>
      </c>
      <c r="CU198" s="133">
        <f t="shared" si="285"/>
        <v>25.984872266087148</v>
      </c>
      <c r="CV198" s="133">
        <f t="shared" si="285"/>
        <v>42.344105278070913</v>
      </c>
      <c r="CW198" s="133">
        <f t="shared" si="285"/>
        <v>31.843955383055526</v>
      </c>
      <c r="CX198" s="133">
        <f t="shared" si="285"/>
        <v>30.277533190902972</v>
      </c>
      <c r="CY198" s="133">
        <f t="shared" si="285"/>
        <v>43.122943538961081</v>
      </c>
      <c r="CZ198" s="133">
        <f t="shared" si="285"/>
        <v>47.476332695319059</v>
      </c>
      <c r="DA198" s="133">
        <f t="shared" si="285"/>
        <v>53.018292489671843</v>
      </c>
    </row>
    <row r="199" spans="5:105">
      <c r="E199" s="137" t="s">
        <v>178</v>
      </c>
      <c r="F199" s="133">
        <f>F190*SIN(PI()*F178/180)</f>
        <v>5.6090202170610975E-2</v>
      </c>
      <c r="G199" s="133">
        <f t="shared" ref="G199:BR199" si="286">G190*SIN(PI()*G178/180)</f>
        <v>1.8935594492507093</v>
      </c>
      <c r="H199" s="133">
        <f t="shared" si="286"/>
        <v>5.9499775183298285</v>
      </c>
      <c r="I199" s="133">
        <f t="shared" si="286"/>
        <v>1.0287108049499674</v>
      </c>
      <c r="J199" s="133">
        <f t="shared" si="286"/>
        <v>12.458954035443664</v>
      </c>
      <c r="K199" s="133">
        <f t="shared" si="286"/>
        <v>16.205000738789888</v>
      </c>
      <c r="L199" s="133">
        <f t="shared" si="286"/>
        <v>14.640258255989448</v>
      </c>
      <c r="M199" s="133">
        <f t="shared" si="286"/>
        <v>18.682634745601788</v>
      </c>
      <c r="N199" s="133">
        <f t="shared" si="286"/>
        <v>17.671141338297804</v>
      </c>
      <c r="O199" s="133">
        <f t="shared" si="286"/>
        <v>1.433814207725725</v>
      </c>
      <c r="P199" s="133">
        <f t="shared" si="286"/>
        <v>29.018750957847317</v>
      </c>
      <c r="Q199" s="133">
        <f t="shared" si="286"/>
        <v>33.666749663661022</v>
      </c>
      <c r="R199" s="133">
        <f t="shared" si="286"/>
        <v>34.341093823018241</v>
      </c>
      <c r="S199" s="133">
        <f t="shared" si="286"/>
        <v>31.033089130153549</v>
      </c>
      <c r="T199" s="133">
        <f t="shared" si="286"/>
        <v>16.15841479113611</v>
      </c>
      <c r="U199" s="133">
        <f t="shared" si="286"/>
        <v>21.199119127437086</v>
      </c>
      <c r="V199" s="133">
        <f t="shared" si="286"/>
        <v>34.500607353339788</v>
      </c>
      <c r="W199" s="133">
        <f t="shared" si="286"/>
        <v>36.458180591556179</v>
      </c>
      <c r="X199" s="133">
        <f t="shared" si="286"/>
        <v>29.11264354597898</v>
      </c>
      <c r="Y199" s="133">
        <f t="shared" si="286"/>
        <v>40.777561258874563</v>
      </c>
      <c r="Z199" s="133">
        <f t="shared" si="286"/>
        <v>49.742603453129142</v>
      </c>
      <c r="AA199" s="133">
        <f t="shared" si="286"/>
        <v>43.771287385782976</v>
      </c>
      <c r="AB199" s="133">
        <f t="shared" si="286"/>
        <v>45.983811682601392</v>
      </c>
      <c r="AC199" s="133">
        <f t="shared" si="286"/>
        <v>25.519698811679383</v>
      </c>
      <c r="AD199" s="133">
        <f t="shared" si="286"/>
        <v>39.479227918681161</v>
      </c>
      <c r="AE199" s="133">
        <f t="shared" si="286"/>
        <v>52.749380445049191</v>
      </c>
      <c r="AF199" s="133">
        <f t="shared" si="286"/>
        <v>44.411931210642024</v>
      </c>
      <c r="AG199" s="133">
        <f t="shared" si="286"/>
        <v>30.231541684705494</v>
      </c>
      <c r="AH199" s="133">
        <f t="shared" si="286"/>
        <v>38.543906935331485</v>
      </c>
      <c r="AI199" s="133">
        <f t="shared" si="286"/>
        <v>45.036486737806364</v>
      </c>
      <c r="AJ199" s="133">
        <f t="shared" si="286"/>
        <v>34.5763866756445</v>
      </c>
      <c r="AK199" s="133">
        <f t="shared" si="286"/>
        <v>44.642683409323809</v>
      </c>
      <c r="AL199" s="133">
        <f t="shared" si="286"/>
        <v>50.679072163571888</v>
      </c>
      <c r="AM199" s="133">
        <f t="shared" si="286"/>
        <v>34.300273247913353</v>
      </c>
      <c r="AN199" s="133">
        <f t="shared" si="286"/>
        <v>49.864871890805745</v>
      </c>
      <c r="AO199" s="133">
        <f t="shared" si="286"/>
        <v>37.9540904573633</v>
      </c>
      <c r="AP199" s="133">
        <f t="shared" si="286"/>
        <v>16.615582036884891</v>
      </c>
      <c r="AQ199" s="133">
        <f t="shared" si="286"/>
        <v>40.440057014742614</v>
      </c>
      <c r="AR199" s="133">
        <f t="shared" si="286"/>
        <v>29.583815976711289</v>
      </c>
      <c r="AS199" s="133">
        <f t="shared" si="286"/>
        <v>24.745762700854545</v>
      </c>
      <c r="AT199" s="133">
        <f t="shared" si="286"/>
        <v>31.945828126620786</v>
      </c>
      <c r="AU199" s="133">
        <f t="shared" si="286"/>
        <v>19.986235002308206</v>
      </c>
      <c r="AV199" s="133">
        <f t="shared" si="286"/>
        <v>45.909059446790934</v>
      </c>
      <c r="AW199" s="133">
        <f t="shared" si="286"/>
        <v>47.087844878376565</v>
      </c>
      <c r="AX199" s="133">
        <f t="shared" si="286"/>
        <v>10.314875842091704</v>
      </c>
      <c r="AY199" s="133">
        <f t="shared" si="286"/>
        <v>37.985644716073494</v>
      </c>
      <c r="AZ199" s="133">
        <f t="shared" si="286"/>
        <v>31.812865982677366</v>
      </c>
      <c r="BA199" s="133">
        <f t="shared" si="286"/>
        <v>24.955381638258459</v>
      </c>
      <c r="BB199" s="133">
        <f t="shared" si="286"/>
        <v>25.813462052825983</v>
      </c>
      <c r="BC199" s="133">
        <f t="shared" si="286"/>
        <v>31.079308105713917</v>
      </c>
      <c r="BD199" s="133">
        <f t="shared" si="286"/>
        <v>16.367167173788943</v>
      </c>
      <c r="BE199" s="133">
        <f t="shared" si="286"/>
        <v>13.632344759800695</v>
      </c>
      <c r="BF199" s="133">
        <f t="shared" si="286"/>
        <v>18.304534389475911</v>
      </c>
      <c r="BG199" s="133">
        <f t="shared" si="286"/>
        <v>9.6036002428534086</v>
      </c>
      <c r="BH199" s="133">
        <f t="shared" si="286"/>
        <v>-1.1482116300712746</v>
      </c>
      <c r="BI199" s="133">
        <f t="shared" si="286"/>
        <v>-4.7301308972198521</v>
      </c>
      <c r="BJ199" s="133">
        <f t="shared" si="286"/>
        <v>-4.8516278156609038</v>
      </c>
      <c r="BK199" s="133">
        <f t="shared" si="286"/>
        <v>-6.0201715191722434</v>
      </c>
      <c r="BL199" s="133">
        <f t="shared" si="286"/>
        <v>-10.389355920867327</v>
      </c>
      <c r="BM199" s="133">
        <f t="shared" si="286"/>
        <v>-6.208212233810305</v>
      </c>
      <c r="BN199" s="133">
        <f t="shared" si="286"/>
        <v>-9.7368051786328031</v>
      </c>
      <c r="BO199" s="133">
        <f t="shared" si="286"/>
        <v>-13.584683605901693</v>
      </c>
      <c r="BP199" s="133">
        <f t="shared" si="286"/>
        <v>-15.816594525104275</v>
      </c>
      <c r="BQ199" s="133">
        <f t="shared" si="286"/>
        <v>-13.838588860200508</v>
      </c>
      <c r="BR199" s="133">
        <f t="shared" si="286"/>
        <v>-27.81495374194289</v>
      </c>
      <c r="BS199" s="133">
        <f t="shared" ref="BS199:DA199" si="287">BS190*SIN(PI()*BS178/180)</f>
        <v>-25.179583061894391</v>
      </c>
      <c r="BT199" s="133">
        <f t="shared" si="287"/>
        <v>-36.146342380754362</v>
      </c>
      <c r="BU199" s="133">
        <f t="shared" si="287"/>
        <v>-37.901621590413086</v>
      </c>
      <c r="BV199" s="133">
        <f t="shared" si="287"/>
        <v>-32.026883426730244</v>
      </c>
      <c r="BW199" s="133">
        <f t="shared" si="287"/>
        <v>-29.584826096240356</v>
      </c>
      <c r="BX199" s="133">
        <f t="shared" si="287"/>
        <v>-38.642865039130626</v>
      </c>
      <c r="BY199" s="133">
        <f t="shared" si="287"/>
        <v>-49.094219368805099</v>
      </c>
      <c r="BZ199" s="133">
        <f t="shared" si="287"/>
        <v>-21.663985512913143</v>
      </c>
      <c r="CA199" s="133">
        <f t="shared" si="287"/>
        <v>-48.680294938774374</v>
      </c>
      <c r="CB199" s="133">
        <f t="shared" si="287"/>
        <v>-21.344349247206193</v>
      </c>
      <c r="CC199" s="133">
        <f t="shared" si="287"/>
        <v>-51.965153778305265</v>
      </c>
      <c r="CD199" s="133">
        <f t="shared" si="287"/>
        <v>-57.929118230575938</v>
      </c>
      <c r="CE199" s="133">
        <f t="shared" si="287"/>
        <v>-49.687068637449826</v>
      </c>
      <c r="CF199" s="133">
        <f t="shared" si="287"/>
        <v>-59.278537904264923</v>
      </c>
      <c r="CG199" s="133">
        <f t="shared" si="287"/>
        <v>-37.145028086163641</v>
      </c>
      <c r="CH199" s="133">
        <f t="shared" si="287"/>
        <v>-42.481699506825329</v>
      </c>
      <c r="CI199" s="133">
        <f t="shared" si="287"/>
        <v>-54.072546697194767</v>
      </c>
      <c r="CJ199" s="133">
        <f t="shared" si="287"/>
        <v>-22.936473120833242</v>
      </c>
      <c r="CK199" s="133">
        <f t="shared" si="287"/>
        <v>-32.431773095145971</v>
      </c>
      <c r="CL199" s="133">
        <f t="shared" si="287"/>
        <v>-26.36109308210958</v>
      </c>
      <c r="CM199" s="133">
        <f t="shared" si="287"/>
        <v>-35.79987242649954</v>
      </c>
      <c r="CN199" s="133">
        <f t="shared" si="287"/>
        <v>-40.501717627328546</v>
      </c>
      <c r="CO199" s="133">
        <f t="shared" si="287"/>
        <v>-44.829349165996497</v>
      </c>
      <c r="CP199" s="133">
        <f t="shared" si="287"/>
        <v>-30.750589059938211</v>
      </c>
      <c r="CQ199" s="133">
        <f t="shared" si="287"/>
        <v>-35.228327281719956</v>
      </c>
      <c r="CR199" s="133">
        <f t="shared" si="287"/>
        <v>-30.427489869868364</v>
      </c>
      <c r="CS199" s="133">
        <f t="shared" si="287"/>
        <v>-14.002226176647476</v>
      </c>
      <c r="CT199" s="133">
        <f t="shared" si="287"/>
        <v>-23.788826835171822</v>
      </c>
      <c r="CU199" s="133">
        <f t="shared" si="287"/>
        <v>-17.508067094793265</v>
      </c>
      <c r="CV199" s="133">
        <f t="shared" si="287"/>
        <v>-21.69891401505696</v>
      </c>
      <c r="CW199" s="133">
        <f t="shared" si="287"/>
        <v>-15.372349717332556</v>
      </c>
      <c r="CX199" s="133">
        <f t="shared" si="287"/>
        <v>-10.893668448879675</v>
      </c>
      <c r="CY199" s="133">
        <f t="shared" si="287"/>
        <v>-7.3350516356404603</v>
      </c>
      <c r="CZ199" s="133">
        <f t="shared" si="287"/>
        <v>-2.003280557262316</v>
      </c>
      <c r="DA199" s="133">
        <f t="shared" si="287"/>
        <v>-2.4901126337024335</v>
      </c>
    </row>
    <row r="200" spans="5:105">
      <c r="E200" s="139" t="s">
        <v>163</v>
      </c>
      <c r="F200" s="140">
        <f>ATAN(F197/F196)*180/PI()</f>
        <v>6.3401917467325681</v>
      </c>
      <c r="G200" s="140">
        <f>ATAN(G197/G196)*180/PI()</f>
        <v>3.6852795421657549</v>
      </c>
      <c r="H200" s="140">
        <f t="shared" ref="H200:BS200" si="288">ATAN(H197/H196)*180/PI()</f>
        <v>6.9536968581578336</v>
      </c>
      <c r="I200" s="140">
        <f t="shared" si="288"/>
        <v>1.5809968677680528</v>
      </c>
      <c r="J200" s="140">
        <f t="shared" si="288"/>
        <v>20.147433023793763</v>
      </c>
      <c r="K200" s="140">
        <f t="shared" si="288"/>
        <v>17.116975189616586</v>
      </c>
      <c r="L200" s="140">
        <f t="shared" si="288"/>
        <v>23.539392764141933</v>
      </c>
      <c r="M200" s="140">
        <f t="shared" si="288"/>
        <v>19.020844608776635</v>
      </c>
      <c r="N200" s="140">
        <f t="shared" si="288"/>
        <v>19.209716871803607</v>
      </c>
      <c r="O200" s="140">
        <f t="shared" si="288"/>
        <v>4.5232069452789796</v>
      </c>
      <c r="P200" s="140">
        <f t="shared" si="288"/>
        <v>35.689527396845563</v>
      </c>
      <c r="Q200" s="140">
        <f t="shared" si="288"/>
        <v>39.020049701635848</v>
      </c>
      <c r="R200" s="140">
        <f t="shared" si="288"/>
        <v>39.123735019915102</v>
      </c>
      <c r="S200" s="140">
        <f t="shared" si="288"/>
        <v>42.42716018314055</v>
      </c>
      <c r="T200" s="140">
        <f t="shared" si="288"/>
        <v>48.424305055383648</v>
      </c>
      <c r="U200" s="140">
        <f t="shared" si="288"/>
        <v>42.774437799265435</v>
      </c>
      <c r="V200" s="140">
        <f t="shared" si="288"/>
        <v>51.482068738103841</v>
      </c>
      <c r="W200" s="140">
        <f t="shared" si="288"/>
        <v>57.894501312459347</v>
      </c>
      <c r="X200" s="140">
        <f t="shared" si="288"/>
        <v>54.657668225418696</v>
      </c>
      <c r="Y200" s="140">
        <f t="shared" si="288"/>
        <v>66.820716626000248</v>
      </c>
      <c r="Z200" s="140">
        <f t="shared" si="288"/>
        <v>64.782292225836414</v>
      </c>
      <c r="AA200" s="140">
        <f t="shared" si="288"/>
        <v>71.914928589469724</v>
      </c>
      <c r="AB200" s="140">
        <f t="shared" si="288"/>
        <v>70.058776004823585</v>
      </c>
      <c r="AC200" s="140">
        <f t="shared" si="288"/>
        <v>79.796990502720533</v>
      </c>
      <c r="AD200" s="140">
        <f t="shared" si="288"/>
        <v>82.635451730766135</v>
      </c>
      <c r="AE200" s="140">
        <f t="shared" si="288"/>
        <v>83.844608701864587</v>
      </c>
      <c r="AF200" s="140">
        <f t="shared" si="288"/>
        <v>83.903332012800959</v>
      </c>
      <c r="AG200" s="140">
        <f t="shared" si="288"/>
        <v>88.642033722333295</v>
      </c>
      <c r="AH200" s="140">
        <f t="shared" si="288"/>
        <v>-85.414327258659469</v>
      </c>
      <c r="AI200" s="140">
        <f t="shared" si="288"/>
        <v>-88.394701639121209</v>
      </c>
      <c r="AJ200" s="140">
        <f t="shared" si="288"/>
        <v>87.184981281458533</v>
      </c>
      <c r="AK200" s="140">
        <f t="shared" si="288"/>
        <v>-86.159538546580634</v>
      </c>
      <c r="AL200" s="140">
        <f t="shared" si="288"/>
        <v>-82.784853505671038</v>
      </c>
      <c r="AM200" s="140">
        <f t="shared" si="288"/>
        <v>-86.550436601704789</v>
      </c>
      <c r="AN200" s="140">
        <f t="shared" si="288"/>
        <v>-79.424434018619635</v>
      </c>
      <c r="AO200" s="140">
        <f t="shared" si="288"/>
        <v>-77.049693289125983</v>
      </c>
      <c r="AP200" s="140">
        <f t="shared" si="288"/>
        <v>87.470170925829194</v>
      </c>
      <c r="AQ200" s="140">
        <f t="shared" si="288"/>
        <v>-70.933925999351857</v>
      </c>
      <c r="AR200" s="140">
        <f t="shared" si="288"/>
        <v>-79.645993564704426</v>
      </c>
      <c r="AS200" s="140">
        <f t="shared" si="288"/>
        <v>-72.808828071765532</v>
      </c>
      <c r="AT200" s="140">
        <f t="shared" si="288"/>
        <v>-70.577180030201959</v>
      </c>
      <c r="AU200" s="140">
        <f t="shared" si="288"/>
        <v>-68.12342522169682</v>
      </c>
      <c r="AV200" s="140">
        <f t="shared" si="288"/>
        <v>-59.128571256385868</v>
      </c>
      <c r="AW200" s="140">
        <f t="shared" si="288"/>
        <v>-60.82647480560437</v>
      </c>
      <c r="AX200" s="140">
        <f t="shared" si="288"/>
        <v>-57.398736704135459</v>
      </c>
      <c r="AY200" s="140">
        <f t="shared" si="288"/>
        <v>-50.910318784431517</v>
      </c>
      <c r="AZ200" s="140">
        <f t="shared" si="288"/>
        <v>-52.856292524787776</v>
      </c>
      <c r="BA200" s="140">
        <f t="shared" si="288"/>
        <v>-52.413921769072736</v>
      </c>
      <c r="BB200" s="140">
        <f t="shared" si="288"/>
        <v>-41.11708970345741</v>
      </c>
      <c r="BC200" s="140">
        <f t="shared" si="288"/>
        <v>-43.125367603444353</v>
      </c>
      <c r="BD200" s="140">
        <f t="shared" si="288"/>
        <v>-25.010792377872775</v>
      </c>
      <c r="BE200" s="140">
        <f t="shared" si="288"/>
        <v>-23.227763694226766</v>
      </c>
      <c r="BF200" s="140">
        <f t="shared" si="288"/>
        <v>-23.226827162851762</v>
      </c>
      <c r="BG200" s="140">
        <f t="shared" si="288"/>
        <v>-10.359938032429834</v>
      </c>
      <c r="BH200" s="140">
        <f t="shared" si="288"/>
        <v>2.3239371271211438</v>
      </c>
      <c r="BI200" s="140">
        <f t="shared" si="288"/>
        <v>8.8053396365266448</v>
      </c>
      <c r="BJ200" s="140">
        <f t="shared" si="288"/>
        <v>6.0842058721552004</v>
      </c>
      <c r="BK200" s="140">
        <f t="shared" si="288"/>
        <v>6.7567175436254701</v>
      </c>
      <c r="BL200" s="140">
        <f t="shared" si="288"/>
        <v>11.433944616458486</v>
      </c>
      <c r="BM200" s="140">
        <f t="shared" si="288"/>
        <v>12.589269617504648</v>
      </c>
      <c r="BN200" s="140">
        <f t="shared" si="288"/>
        <v>31.889249320864081</v>
      </c>
      <c r="BO200" s="140">
        <f t="shared" si="288"/>
        <v>27.268099173894935</v>
      </c>
      <c r="BP200" s="140">
        <f t="shared" si="288"/>
        <v>47.471328615148309</v>
      </c>
      <c r="BQ200" s="140">
        <f t="shared" si="288"/>
        <v>-73.390671224162659</v>
      </c>
      <c r="BR200" s="140">
        <f t="shared" si="288"/>
        <v>32.392590221572071</v>
      </c>
      <c r="BS200" s="140">
        <f t="shared" si="288"/>
        <v>37.332852685837295</v>
      </c>
      <c r="BT200" s="140">
        <f t="shared" ref="BT200:DA200" si="289">ATAN(BT197/BT196)*180/PI()</f>
        <v>41.417779576987442</v>
      </c>
      <c r="BU200" s="140">
        <f t="shared" si="289"/>
        <v>43.619733900583284</v>
      </c>
      <c r="BV200" s="140">
        <f t="shared" si="289"/>
        <v>50.968483003696633</v>
      </c>
      <c r="BW200" s="140">
        <f t="shared" si="289"/>
        <v>66.973880336968534</v>
      </c>
      <c r="BX200" s="140">
        <f t="shared" si="289"/>
        <v>59.796873043807032</v>
      </c>
      <c r="BY200" s="140">
        <f t="shared" si="289"/>
        <v>66.115082506799709</v>
      </c>
      <c r="BZ200" s="140">
        <f t="shared" si="289"/>
        <v>63.322603774491995</v>
      </c>
      <c r="CA200" s="140">
        <f t="shared" si="289"/>
        <v>61.281308130005726</v>
      </c>
      <c r="CB200" s="140">
        <f t="shared" si="289"/>
        <v>74.958710518748887</v>
      </c>
      <c r="CC200" s="140">
        <f t="shared" si="289"/>
        <v>72.922219561826992</v>
      </c>
      <c r="CD200" s="140">
        <f t="shared" si="289"/>
        <v>74.415408148541644</v>
      </c>
      <c r="CE200" s="140">
        <f t="shared" si="289"/>
        <v>75.038021226700863</v>
      </c>
      <c r="CF200" s="140">
        <f t="shared" si="289"/>
        <v>77.054088742166769</v>
      </c>
      <c r="CG200" s="140">
        <f t="shared" si="289"/>
        <v>83.073808276947958</v>
      </c>
      <c r="CH200" s="140">
        <f t="shared" si="289"/>
        <v>-85.102047596277004</v>
      </c>
      <c r="CI200" s="140">
        <f t="shared" si="289"/>
        <v>-83.404636176556536</v>
      </c>
      <c r="CJ200" s="140">
        <f t="shared" si="289"/>
        <v>-80.831833972599185</v>
      </c>
      <c r="CK200" s="140">
        <f t="shared" si="289"/>
        <v>-77.458772993672767</v>
      </c>
      <c r="CL200" s="140">
        <f t="shared" si="289"/>
        <v>-58.861887184475293</v>
      </c>
      <c r="CM200" s="140">
        <f t="shared" si="289"/>
        <v>-69.551049467504043</v>
      </c>
      <c r="CN200" s="140">
        <f t="shared" si="289"/>
        <v>-70.833047429030572</v>
      </c>
      <c r="CO200" s="140">
        <f t="shared" si="289"/>
        <v>-58.718526463422641</v>
      </c>
      <c r="CP200" s="140">
        <f t="shared" si="289"/>
        <v>-45.087925244374247</v>
      </c>
      <c r="CQ200" s="140">
        <f t="shared" si="289"/>
        <v>-46.713469464712325</v>
      </c>
      <c r="CR200" s="140">
        <f t="shared" si="289"/>
        <v>-38.442158637971893</v>
      </c>
      <c r="CS200" s="140">
        <f t="shared" si="289"/>
        <v>-49.507291066161478</v>
      </c>
      <c r="CT200" s="140">
        <f t="shared" si="289"/>
        <v>-39.429330868389144</v>
      </c>
      <c r="CU200" s="140">
        <f t="shared" si="289"/>
        <v>-33.971271080635965</v>
      </c>
      <c r="CV200" s="140">
        <f t="shared" si="289"/>
        <v>-27.132524850022644</v>
      </c>
      <c r="CW200" s="140">
        <f t="shared" si="289"/>
        <v>-25.768460476703424</v>
      </c>
      <c r="CX200" s="140">
        <f t="shared" si="289"/>
        <v>-19.788416296293555</v>
      </c>
      <c r="CY200" s="140">
        <f t="shared" si="289"/>
        <v>-9.6534058910788314</v>
      </c>
      <c r="CZ200" s="140">
        <f t="shared" si="289"/>
        <v>-2.4161822877194226</v>
      </c>
      <c r="DA200" s="140">
        <f t="shared" si="289"/>
        <v>-2.6890374770138745</v>
      </c>
    </row>
    <row r="201" spans="5:105">
      <c r="E201" s="125" t="s">
        <v>179</v>
      </c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125"/>
      <c r="V201" s="125"/>
      <c r="W201" s="125"/>
      <c r="X201" s="125"/>
      <c r="Y201" s="125"/>
      <c r="Z201" s="125"/>
      <c r="AA201" s="125"/>
      <c r="AB201" s="125"/>
      <c r="AC201" s="125"/>
      <c r="AD201" s="125"/>
      <c r="AE201" s="125"/>
      <c r="AF201" s="125"/>
      <c r="AG201" s="125"/>
      <c r="AH201" s="125"/>
      <c r="AI201" s="125"/>
      <c r="AJ201" s="125"/>
      <c r="AK201" s="125"/>
      <c r="AL201" s="125"/>
      <c r="AM201" s="125"/>
      <c r="AN201" s="125"/>
      <c r="AO201" s="125"/>
      <c r="AP201" s="125"/>
      <c r="AQ201" s="125"/>
      <c r="AR201" s="125"/>
      <c r="AS201" s="125"/>
      <c r="AT201" s="125"/>
      <c r="AU201" s="125"/>
      <c r="AV201" s="125"/>
      <c r="AW201" s="125"/>
      <c r="AX201" s="125"/>
      <c r="AY201" s="125"/>
      <c r="AZ201" s="125"/>
      <c r="BA201" s="125"/>
      <c r="BB201" s="125"/>
      <c r="BC201" s="125"/>
      <c r="BD201" s="125"/>
      <c r="BE201" s="125"/>
      <c r="BF201" s="125"/>
      <c r="BG201" s="125"/>
      <c r="BH201" s="125"/>
      <c r="BI201" s="125"/>
      <c r="BJ201" s="125"/>
      <c r="BK201" s="125"/>
      <c r="BL201" s="125"/>
      <c r="BM201" s="125"/>
      <c r="BN201" s="125"/>
      <c r="BO201" s="125"/>
      <c r="BP201" s="125"/>
      <c r="BQ201" s="125"/>
      <c r="BR201" s="125"/>
      <c r="BS201" s="125"/>
      <c r="BT201" s="125"/>
      <c r="BU201" s="125"/>
      <c r="BV201" s="125"/>
      <c r="BW201" s="125"/>
      <c r="BX201" s="125"/>
      <c r="BY201" s="125"/>
      <c r="BZ201" s="125"/>
      <c r="CA201" s="125"/>
      <c r="CB201" s="125"/>
      <c r="CC201" s="125"/>
      <c r="CD201" s="125"/>
      <c r="CE201" s="125"/>
      <c r="CF201" s="125"/>
      <c r="CG201" s="125"/>
      <c r="CH201" s="125"/>
      <c r="CI201" s="125"/>
      <c r="CJ201" s="125"/>
      <c r="CK201" s="125"/>
      <c r="CL201" s="125"/>
      <c r="CM201" s="125"/>
      <c r="CN201" s="125"/>
      <c r="CO201" s="125"/>
      <c r="CP201" s="125"/>
      <c r="CQ201" s="125"/>
      <c r="CR201" s="125"/>
      <c r="CS201" s="125"/>
      <c r="CT201" s="125"/>
      <c r="CU201" s="125"/>
      <c r="CV201" s="125"/>
      <c r="CW201" s="125"/>
      <c r="CX201" s="125"/>
      <c r="CY201" s="125"/>
      <c r="CZ201" s="125"/>
      <c r="DA201" s="125"/>
    </row>
    <row r="202" spans="5:105"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125"/>
      <c r="V202" s="125"/>
      <c r="W202" s="125"/>
      <c r="X202" s="125"/>
      <c r="Y202" s="125"/>
      <c r="Z202" s="125"/>
      <c r="AA202" s="125"/>
      <c r="AB202" s="125"/>
      <c r="AC202" s="125"/>
      <c r="AD202" s="125"/>
      <c r="AE202" s="125"/>
      <c r="AF202" s="125"/>
      <c r="AG202" s="125"/>
      <c r="AH202" s="125"/>
      <c r="AI202" s="125"/>
      <c r="AJ202" s="125"/>
      <c r="AK202" s="125"/>
      <c r="AL202" s="125"/>
      <c r="AM202" s="125"/>
      <c r="AN202" s="125"/>
      <c r="AO202" s="125"/>
      <c r="AP202" s="125"/>
      <c r="AQ202" s="125"/>
      <c r="AR202" s="125"/>
      <c r="AS202" s="125"/>
      <c r="AT202" s="125"/>
      <c r="AU202" s="125"/>
      <c r="AV202" s="125"/>
      <c r="AW202" s="125"/>
      <c r="AX202" s="125"/>
      <c r="AY202" s="125"/>
      <c r="AZ202" s="125"/>
      <c r="BA202" s="125"/>
      <c r="BB202" s="125"/>
      <c r="BC202" s="125"/>
      <c r="BD202" s="125"/>
      <c r="BE202" s="125"/>
      <c r="BF202" s="125"/>
      <c r="BG202" s="125"/>
      <c r="BH202" s="125"/>
      <c r="BI202" s="125"/>
      <c r="BJ202" s="125"/>
      <c r="BK202" s="125"/>
      <c r="BL202" s="125"/>
      <c r="BM202" s="125"/>
      <c r="BN202" s="125"/>
      <c r="BO202" s="125"/>
      <c r="BP202" s="125"/>
      <c r="BQ202" s="125"/>
      <c r="BR202" s="125"/>
      <c r="BS202" s="125"/>
      <c r="BT202" s="125"/>
      <c r="BU202" s="125"/>
      <c r="BV202" s="125"/>
      <c r="BW202" s="125"/>
      <c r="BX202" s="125"/>
      <c r="BY202" s="125"/>
      <c r="BZ202" s="125"/>
      <c r="CA202" s="125"/>
      <c r="CB202" s="125"/>
      <c r="CC202" s="125"/>
      <c r="CD202" s="125"/>
      <c r="CE202" s="125"/>
      <c r="CF202" s="125"/>
      <c r="CG202" s="125"/>
      <c r="CH202" s="125"/>
      <c r="CI202" s="125"/>
      <c r="CJ202" s="125"/>
      <c r="CK202" s="125"/>
      <c r="CL202" s="125"/>
      <c r="CM202" s="125"/>
      <c r="CN202" s="125"/>
      <c r="CO202" s="125"/>
      <c r="CP202" s="125"/>
      <c r="CQ202" s="125"/>
      <c r="CR202" s="125"/>
      <c r="CS202" s="125"/>
      <c r="CT202" s="125"/>
      <c r="CU202" s="125"/>
      <c r="CV202" s="125"/>
      <c r="CW202" s="125"/>
      <c r="CX202" s="125"/>
      <c r="CY202" s="125"/>
      <c r="CZ202" s="125"/>
      <c r="DA202" s="125"/>
    </row>
    <row r="203" spans="5:105">
      <c r="E203" s="125" t="s">
        <v>180</v>
      </c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125"/>
      <c r="V203" s="125"/>
      <c r="W203" s="125"/>
      <c r="X203" s="125"/>
      <c r="Y203" s="125"/>
      <c r="Z203" s="125"/>
      <c r="AA203" s="125"/>
      <c r="AB203" s="125"/>
      <c r="AC203" s="125"/>
      <c r="AD203" s="125"/>
      <c r="AE203" s="125"/>
      <c r="AF203" s="125"/>
      <c r="AG203" s="125"/>
      <c r="AH203" s="125"/>
      <c r="AI203" s="125"/>
      <c r="AJ203" s="125"/>
      <c r="AK203" s="125"/>
      <c r="AL203" s="125"/>
      <c r="AM203" s="125"/>
      <c r="AN203" s="125"/>
      <c r="AO203" s="125"/>
      <c r="AP203" s="125"/>
      <c r="AQ203" s="125"/>
      <c r="AR203" s="125"/>
      <c r="AS203" s="125"/>
      <c r="AT203" s="125"/>
      <c r="AU203" s="125"/>
      <c r="AV203" s="125"/>
      <c r="AW203" s="125"/>
      <c r="AX203" s="125"/>
      <c r="AY203" s="125"/>
      <c r="AZ203" s="125"/>
      <c r="BA203" s="125"/>
      <c r="BB203" s="125"/>
      <c r="BC203" s="125"/>
      <c r="BD203" s="125"/>
      <c r="BE203" s="125"/>
      <c r="BF203" s="125"/>
      <c r="BG203" s="125"/>
      <c r="BH203" s="125"/>
      <c r="BI203" s="125"/>
      <c r="BJ203" s="125"/>
      <c r="BK203" s="125"/>
      <c r="BL203" s="125"/>
      <c r="BM203" s="125"/>
      <c r="BN203" s="125"/>
      <c r="BO203" s="125"/>
      <c r="BP203" s="125"/>
      <c r="BQ203" s="125"/>
      <c r="BR203" s="125"/>
      <c r="BS203" s="125"/>
      <c r="BT203" s="125"/>
      <c r="BU203" s="125"/>
      <c r="BV203" s="125"/>
      <c r="BW203" s="125"/>
      <c r="BX203" s="125"/>
      <c r="BY203" s="125"/>
      <c r="BZ203" s="125"/>
      <c r="CA203" s="125"/>
      <c r="CB203" s="125"/>
      <c r="CC203" s="125"/>
      <c r="CD203" s="125"/>
      <c r="CE203" s="125"/>
      <c r="CF203" s="125"/>
      <c r="CG203" s="125"/>
      <c r="CH203" s="125"/>
      <c r="CI203" s="125"/>
      <c r="CJ203" s="125"/>
      <c r="CK203" s="125"/>
      <c r="CL203" s="125"/>
      <c r="CM203" s="125"/>
      <c r="CN203" s="125"/>
      <c r="CO203" s="125"/>
      <c r="CP203" s="125"/>
      <c r="CQ203" s="125"/>
      <c r="CR203" s="125"/>
      <c r="CS203" s="125"/>
      <c r="CT203" s="125"/>
      <c r="CU203" s="125"/>
      <c r="CV203" s="125"/>
      <c r="CW203" s="125"/>
      <c r="CX203" s="125"/>
      <c r="CY203" s="125"/>
      <c r="CZ203" s="125"/>
      <c r="DA203" s="125"/>
    </row>
    <row r="204" spans="5:105">
      <c r="E204" s="125" t="s">
        <v>181</v>
      </c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125"/>
      <c r="V204" s="125"/>
      <c r="W204" s="125"/>
      <c r="X204" s="125"/>
      <c r="Y204" s="125"/>
      <c r="Z204" s="125"/>
      <c r="AA204" s="125"/>
      <c r="AB204" s="125"/>
      <c r="AC204" s="125"/>
      <c r="AD204" s="125"/>
      <c r="AE204" s="125"/>
      <c r="AF204" s="125"/>
      <c r="AG204" s="125"/>
      <c r="AH204" s="125"/>
      <c r="AI204" s="125"/>
      <c r="AJ204" s="125"/>
      <c r="AK204" s="125"/>
      <c r="AL204" s="125"/>
      <c r="AM204" s="125"/>
      <c r="AN204" s="125"/>
      <c r="AO204" s="125"/>
      <c r="AP204" s="125"/>
      <c r="AQ204" s="125"/>
      <c r="AR204" s="125"/>
      <c r="AS204" s="125"/>
      <c r="AT204" s="125"/>
      <c r="AU204" s="125"/>
      <c r="AV204" s="125"/>
      <c r="AW204" s="125"/>
      <c r="AX204" s="125"/>
      <c r="AY204" s="125"/>
      <c r="AZ204" s="125"/>
      <c r="BA204" s="125"/>
      <c r="BB204" s="125"/>
      <c r="BC204" s="125"/>
      <c r="BD204" s="125"/>
      <c r="BE204" s="125"/>
      <c r="BF204" s="125"/>
      <c r="BG204" s="125"/>
      <c r="BH204" s="125"/>
      <c r="BI204" s="125"/>
      <c r="BJ204" s="125"/>
      <c r="BK204" s="125"/>
      <c r="BL204" s="125"/>
      <c r="BM204" s="125"/>
      <c r="BN204" s="125"/>
      <c r="BO204" s="125"/>
      <c r="BP204" s="125"/>
      <c r="BQ204" s="125"/>
      <c r="BR204" s="125"/>
      <c r="BS204" s="125"/>
      <c r="BT204" s="125"/>
      <c r="BU204" s="125"/>
      <c r="BV204" s="125"/>
      <c r="BW204" s="125"/>
      <c r="BX204" s="125"/>
      <c r="BY204" s="125"/>
      <c r="BZ204" s="125"/>
      <c r="CA204" s="125"/>
      <c r="CB204" s="125"/>
      <c r="CC204" s="125"/>
      <c r="CD204" s="125"/>
      <c r="CE204" s="125"/>
      <c r="CF204" s="125"/>
      <c r="CG204" s="125"/>
      <c r="CH204" s="125"/>
      <c r="CI204" s="125"/>
      <c r="CJ204" s="125"/>
      <c r="CK204" s="125"/>
      <c r="CL204" s="125"/>
      <c r="CM204" s="125"/>
      <c r="CN204" s="125"/>
      <c r="CO204" s="125"/>
      <c r="CP204" s="125"/>
      <c r="CQ204" s="125"/>
      <c r="CR204" s="125"/>
      <c r="CS204" s="125"/>
      <c r="CT204" s="125"/>
      <c r="CU204" s="125"/>
      <c r="CV204" s="125"/>
      <c r="CW204" s="125"/>
      <c r="CX204" s="125"/>
      <c r="CY204" s="125"/>
      <c r="CZ204" s="125"/>
      <c r="DA204" s="125"/>
    </row>
    <row r="205" spans="5:105">
      <c r="E205" s="125" t="s">
        <v>182</v>
      </c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  <c r="T205" s="125"/>
      <c r="U205" s="125"/>
      <c r="V205" s="125"/>
      <c r="W205" s="125"/>
      <c r="X205" s="125"/>
      <c r="Y205" s="125"/>
      <c r="Z205" s="125"/>
      <c r="AA205" s="125"/>
      <c r="AB205" s="125"/>
      <c r="AC205" s="125"/>
      <c r="AD205" s="125"/>
      <c r="AE205" s="125"/>
      <c r="AF205" s="125"/>
      <c r="AG205" s="125"/>
      <c r="AH205" s="125"/>
      <c r="AI205" s="125"/>
      <c r="AJ205" s="125"/>
      <c r="AK205" s="125"/>
      <c r="AL205" s="125"/>
      <c r="AM205" s="125"/>
      <c r="AN205" s="125"/>
      <c r="AO205" s="125"/>
      <c r="AP205" s="125"/>
      <c r="AQ205" s="125"/>
      <c r="AR205" s="125"/>
      <c r="AS205" s="125"/>
      <c r="AT205" s="125"/>
      <c r="AU205" s="125"/>
      <c r="AV205" s="125"/>
      <c r="AW205" s="125"/>
      <c r="AX205" s="125"/>
      <c r="AY205" s="125"/>
      <c r="AZ205" s="125"/>
      <c r="BA205" s="125"/>
      <c r="BB205" s="125"/>
      <c r="BC205" s="125"/>
      <c r="BD205" s="125"/>
      <c r="BE205" s="125"/>
      <c r="BF205" s="125"/>
      <c r="BG205" s="125"/>
      <c r="BH205" s="125"/>
      <c r="BI205" s="125"/>
      <c r="BJ205" s="125"/>
      <c r="BK205" s="125"/>
      <c r="BL205" s="125"/>
      <c r="BM205" s="125"/>
      <c r="BN205" s="125"/>
      <c r="BO205" s="125"/>
      <c r="BP205" s="125"/>
      <c r="BQ205" s="125"/>
      <c r="BR205" s="125"/>
      <c r="BS205" s="125"/>
      <c r="BT205" s="125"/>
      <c r="BU205" s="125"/>
      <c r="BV205" s="125"/>
      <c r="BW205" s="125"/>
      <c r="BX205" s="125"/>
      <c r="BY205" s="125"/>
      <c r="BZ205" s="125"/>
      <c r="CA205" s="125"/>
      <c r="CB205" s="125"/>
      <c r="CC205" s="125"/>
      <c r="CD205" s="125"/>
      <c r="CE205" s="125"/>
      <c r="CF205" s="125"/>
      <c r="CG205" s="125"/>
      <c r="CH205" s="125"/>
      <c r="CI205" s="125"/>
      <c r="CJ205" s="125"/>
      <c r="CK205" s="125"/>
      <c r="CL205" s="125"/>
      <c r="CM205" s="125"/>
      <c r="CN205" s="125"/>
      <c r="CO205" s="125"/>
      <c r="CP205" s="125"/>
      <c r="CQ205" s="125"/>
      <c r="CR205" s="125"/>
      <c r="CS205" s="125"/>
      <c r="CT205" s="125"/>
      <c r="CU205" s="125"/>
      <c r="CV205" s="125"/>
      <c r="CW205" s="125"/>
      <c r="CX205" s="125"/>
      <c r="CY205" s="125"/>
      <c r="CZ205" s="125"/>
      <c r="DA205" s="125"/>
    </row>
    <row r="206" spans="5:105">
      <c r="E206" s="125" t="s">
        <v>183</v>
      </c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125"/>
      <c r="V206" s="125"/>
      <c r="W206" s="125"/>
      <c r="X206" s="125"/>
      <c r="Y206" s="125"/>
      <c r="Z206" s="125"/>
      <c r="AA206" s="125"/>
      <c r="AB206" s="125"/>
      <c r="AC206" s="125"/>
      <c r="AD206" s="125"/>
      <c r="AE206" s="125"/>
      <c r="AF206" s="125"/>
      <c r="AG206" s="125"/>
      <c r="AH206" s="125"/>
      <c r="AI206" s="125"/>
      <c r="AJ206" s="125"/>
      <c r="AK206" s="125"/>
      <c r="AL206" s="125"/>
      <c r="AM206" s="125"/>
      <c r="AN206" s="125"/>
      <c r="AO206" s="125"/>
      <c r="AP206" s="125"/>
      <c r="AQ206" s="125"/>
      <c r="AR206" s="125"/>
      <c r="AS206" s="125"/>
      <c r="AT206" s="125"/>
      <c r="AU206" s="125"/>
      <c r="AV206" s="125"/>
      <c r="AW206" s="125"/>
      <c r="AX206" s="125"/>
      <c r="AY206" s="125"/>
      <c r="AZ206" s="125"/>
      <c r="BA206" s="125"/>
      <c r="BB206" s="125"/>
      <c r="BC206" s="125"/>
      <c r="BD206" s="125"/>
      <c r="BE206" s="125"/>
      <c r="BF206" s="125"/>
      <c r="BG206" s="125"/>
      <c r="BH206" s="125"/>
      <c r="BI206" s="125"/>
      <c r="BJ206" s="125"/>
      <c r="BK206" s="125"/>
      <c r="BL206" s="125"/>
      <c r="BM206" s="125"/>
      <c r="BN206" s="125"/>
      <c r="BO206" s="125"/>
      <c r="BP206" s="125"/>
      <c r="BQ206" s="125"/>
      <c r="BR206" s="125"/>
      <c r="BS206" s="125"/>
      <c r="BT206" s="125"/>
      <c r="BU206" s="125"/>
      <c r="BV206" s="125"/>
      <c r="BW206" s="125"/>
      <c r="BX206" s="125"/>
      <c r="BY206" s="125"/>
      <c r="BZ206" s="125"/>
      <c r="CA206" s="125"/>
      <c r="CB206" s="125"/>
      <c r="CC206" s="125"/>
      <c r="CD206" s="125"/>
      <c r="CE206" s="125"/>
      <c r="CF206" s="125"/>
      <c r="CG206" s="125"/>
      <c r="CH206" s="125"/>
      <c r="CI206" s="125"/>
      <c r="CJ206" s="125"/>
      <c r="CK206" s="125"/>
      <c r="CL206" s="125"/>
      <c r="CM206" s="125"/>
      <c r="CN206" s="125"/>
      <c r="CO206" s="125"/>
      <c r="CP206" s="125"/>
      <c r="CQ206" s="125"/>
      <c r="CR206" s="125"/>
      <c r="CS206" s="125"/>
      <c r="CT206" s="125"/>
      <c r="CU206" s="125"/>
      <c r="CV206" s="125"/>
      <c r="CW206" s="125"/>
      <c r="CX206" s="125"/>
      <c r="CY206" s="125"/>
      <c r="CZ206" s="125"/>
      <c r="DA206" s="125"/>
    </row>
    <row r="207" spans="5:105"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  <c r="T207" s="125"/>
      <c r="U207" s="125"/>
      <c r="V207" s="125"/>
      <c r="W207" s="125"/>
      <c r="X207" s="125"/>
      <c r="Y207" s="125"/>
      <c r="Z207" s="125"/>
      <c r="AA207" s="125"/>
      <c r="AB207" s="125"/>
      <c r="AC207" s="125"/>
      <c r="AD207" s="125"/>
      <c r="AE207" s="125"/>
      <c r="AF207" s="125"/>
      <c r="AG207" s="125"/>
      <c r="AH207" s="125"/>
      <c r="AI207" s="125"/>
      <c r="AJ207" s="125"/>
      <c r="AK207" s="125"/>
      <c r="AL207" s="125"/>
      <c r="AM207" s="125"/>
      <c r="AN207" s="125"/>
      <c r="AO207" s="125"/>
      <c r="AP207" s="125"/>
      <c r="AQ207" s="125"/>
      <c r="AR207" s="125"/>
      <c r="AS207" s="125"/>
      <c r="AT207" s="125"/>
      <c r="AU207" s="125"/>
      <c r="AV207" s="125"/>
      <c r="AW207" s="125"/>
      <c r="AX207" s="125"/>
      <c r="AY207" s="125"/>
      <c r="AZ207" s="125"/>
      <c r="BA207" s="125"/>
      <c r="BB207" s="125"/>
      <c r="BC207" s="125"/>
      <c r="BD207" s="125"/>
      <c r="BE207" s="125"/>
      <c r="BF207" s="125"/>
      <c r="BG207" s="125"/>
      <c r="BH207" s="125"/>
      <c r="BI207" s="125"/>
      <c r="BJ207" s="125"/>
      <c r="BK207" s="125"/>
      <c r="BL207" s="125"/>
      <c r="BM207" s="125"/>
      <c r="BN207" s="125"/>
      <c r="BO207" s="125"/>
      <c r="BP207" s="125"/>
      <c r="BQ207" s="125"/>
      <c r="BR207" s="125"/>
      <c r="BS207" s="125"/>
      <c r="BT207" s="125"/>
      <c r="BU207" s="125"/>
      <c r="BV207" s="125"/>
      <c r="BW207" s="125"/>
      <c r="BX207" s="125"/>
      <c r="BY207" s="125"/>
      <c r="BZ207" s="125"/>
      <c r="CA207" s="125"/>
      <c r="CB207" s="125"/>
      <c r="CC207" s="125"/>
      <c r="CD207" s="125"/>
      <c r="CE207" s="125"/>
      <c r="CF207" s="125"/>
      <c r="CG207" s="125"/>
      <c r="CH207" s="125"/>
      <c r="CI207" s="125"/>
      <c r="CJ207" s="125"/>
      <c r="CK207" s="125"/>
      <c r="CL207" s="125"/>
      <c r="CM207" s="125"/>
      <c r="CN207" s="125"/>
      <c r="CO207" s="125"/>
      <c r="CP207" s="125"/>
      <c r="CQ207" s="125"/>
      <c r="CR207" s="125"/>
      <c r="CS207" s="125"/>
      <c r="CT207" s="125"/>
      <c r="CU207" s="125"/>
      <c r="CV207" s="125"/>
      <c r="CW207" s="125"/>
      <c r="CX207" s="125"/>
      <c r="CY207" s="125"/>
      <c r="CZ207" s="125"/>
      <c r="DA207" s="125"/>
    </row>
    <row r="208" spans="5:105">
      <c r="E208" s="139" t="s">
        <v>184</v>
      </c>
      <c r="F208" s="125">
        <f>(1+100*0.007)*F187/(1+0.007*F187)</f>
        <v>100</v>
      </c>
      <c r="G208" s="125">
        <f t="shared" ref="G208:BR208" si="290">(1+100*0.007)*G187/(1+0.007*G187)</f>
        <v>85.881677333829131</v>
      </c>
      <c r="H208" s="125">
        <f t="shared" si="290"/>
        <v>62.125680237671439</v>
      </c>
      <c r="I208" s="125">
        <f t="shared" si="290"/>
        <v>31.066972922702774</v>
      </c>
      <c r="J208" s="125">
        <f t="shared" si="290"/>
        <v>70.224497886188502</v>
      </c>
      <c r="K208" s="125">
        <f t="shared" si="290"/>
        <v>49.136915127845555</v>
      </c>
      <c r="L208" s="125">
        <f t="shared" si="290"/>
        <v>50.995052651873777</v>
      </c>
      <c r="M208" s="125">
        <f t="shared" si="290"/>
        <v>41.60615998667955</v>
      </c>
      <c r="N208" s="125">
        <f t="shared" si="290"/>
        <v>40.490588205115095</v>
      </c>
      <c r="O208" s="125">
        <f t="shared" si="290"/>
        <v>28.772239027005011</v>
      </c>
      <c r="P208" s="125">
        <f t="shared" si="290"/>
        <v>75.24787244729275</v>
      </c>
      <c r="Q208" s="125">
        <f t="shared" si="290"/>
        <v>58.253567284468794</v>
      </c>
      <c r="R208" s="125">
        <f t="shared" si="290"/>
        <v>64.311364089042272</v>
      </c>
      <c r="S208" s="125">
        <f t="shared" si="290"/>
        <v>42.96284815399121</v>
      </c>
      <c r="T208" s="125">
        <f t="shared" si="290"/>
        <v>74.178147997829996</v>
      </c>
      <c r="U208" s="125">
        <f t="shared" si="290"/>
        <v>71.23648202688085</v>
      </c>
      <c r="V208" s="125">
        <f t="shared" si="290"/>
        <v>47.26596861449287</v>
      </c>
      <c r="W208" s="125">
        <f t="shared" si="290"/>
        <v>49.781929020340989</v>
      </c>
      <c r="X208" s="125">
        <f t="shared" si="290"/>
        <v>56.259353889962163</v>
      </c>
      <c r="Y208" s="125">
        <f t="shared" si="290"/>
        <v>71.981333250449779</v>
      </c>
      <c r="Z208" s="125">
        <f t="shared" si="290"/>
        <v>65.909241920178928</v>
      </c>
      <c r="AA208" s="125">
        <f t="shared" si="290"/>
        <v>86.531887613941862</v>
      </c>
      <c r="AB208" s="125">
        <f t="shared" si="290"/>
        <v>78.691766239298218</v>
      </c>
      <c r="AC208" s="125">
        <f t="shared" si="290"/>
        <v>91.639421917134442</v>
      </c>
      <c r="AD208" s="125">
        <f t="shared" si="290"/>
        <v>90.821516469092998</v>
      </c>
      <c r="AE208" s="125">
        <f t="shared" si="290"/>
        <v>72.160512863264813</v>
      </c>
      <c r="AF208" s="125">
        <f t="shared" si="290"/>
        <v>89.81108089767325</v>
      </c>
      <c r="AG208" s="125">
        <f t="shared" si="290"/>
        <v>73.566540488978546</v>
      </c>
      <c r="AH208" s="125">
        <f t="shared" si="290"/>
        <v>42.260488724150946</v>
      </c>
      <c r="AI208" s="125">
        <f t="shared" si="290"/>
        <v>86.794427126581269</v>
      </c>
      <c r="AJ208" s="125">
        <f t="shared" si="290"/>
        <v>64.439592161341025</v>
      </c>
      <c r="AK208" s="125">
        <f t="shared" si="290"/>
        <v>88.464313103950886</v>
      </c>
      <c r="AL208" s="125">
        <f t="shared" si="290"/>
        <v>75.396855861984264</v>
      </c>
      <c r="AM208" s="125">
        <f t="shared" si="290"/>
        <v>89.622095119029296</v>
      </c>
      <c r="AN208" s="125">
        <f t="shared" si="290"/>
        <v>62.685953412788528</v>
      </c>
      <c r="AO208" s="125">
        <f t="shared" si="290"/>
        <v>42.836052966217274</v>
      </c>
      <c r="AP208" s="125">
        <f t="shared" si="290"/>
        <v>80.777265254766888</v>
      </c>
      <c r="AQ208" s="125">
        <f t="shared" si="290"/>
        <v>48.655331037169496</v>
      </c>
      <c r="AR208" s="125">
        <f t="shared" si="290"/>
        <v>86.360581316240626</v>
      </c>
      <c r="AS208" s="125">
        <f t="shared" si="290"/>
        <v>35.231155749096239</v>
      </c>
      <c r="AT208" s="125">
        <f t="shared" si="290"/>
        <v>49.900227233477104</v>
      </c>
      <c r="AU208" s="125">
        <f t="shared" si="290"/>
        <v>88.095475481684417</v>
      </c>
      <c r="AV208" s="125">
        <f t="shared" si="290"/>
        <v>69.07939252677555</v>
      </c>
      <c r="AW208" s="125">
        <f t="shared" si="290"/>
        <v>72.587867420850316</v>
      </c>
      <c r="AX208" s="125">
        <f t="shared" si="290"/>
        <v>28.809454386983962</v>
      </c>
      <c r="AY208" s="125">
        <f t="shared" si="290"/>
        <v>58.621206086806247</v>
      </c>
      <c r="AZ208" s="125">
        <f t="shared" si="290"/>
        <v>66.837841403383067</v>
      </c>
      <c r="BA208" s="125">
        <f t="shared" si="290"/>
        <v>69.645917677459821</v>
      </c>
      <c r="BB208" s="125">
        <f t="shared" si="290"/>
        <v>78.0069924781683</v>
      </c>
      <c r="BC208" s="125">
        <f t="shared" si="290"/>
        <v>46.240264334239605</v>
      </c>
      <c r="BD208" s="125">
        <f t="shared" si="290"/>
        <v>54.410339169644125</v>
      </c>
      <c r="BE208" s="125">
        <f t="shared" si="290"/>
        <v>58.181566044800562</v>
      </c>
      <c r="BF208" s="125">
        <f t="shared" si="290"/>
        <v>40.792572485481038</v>
      </c>
      <c r="BG208" s="125">
        <f t="shared" si="290"/>
        <v>49.081381317528717</v>
      </c>
      <c r="BH208" s="125">
        <f t="shared" si="290"/>
        <v>87.174628453502166</v>
      </c>
      <c r="BI208" s="125">
        <f t="shared" si="290"/>
        <v>83.561240995634918</v>
      </c>
      <c r="BJ208" s="125">
        <f t="shared" si="290"/>
        <v>70.744054864760585</v>
      </c>
      <c r="BK208" s="125">
        <f t="shared" si="290"/>
        <v>57.122874946077296</v>
      </c>
      <c r="BL208" s="125">
        <f t="shared" si="290"/>
        <v>53.351043306035457</v>
      </c>
      <c r="BM208" s="125">
        <f t="shared" si="290"/>
        <v>86.814172587531218</v>
      </c>
      <c r="BN208" s="125">
        <f t="shared" si="290"/>
        <v>88.302410998309057</v>
      </c>
      <c r="BO208" s="125">
        <f t="shared" si="290"/>
        <v>76.718512188429514</v>
      </c>
      <c r="BP208" s="125">
        <f t="shared" si="290"/>
        <v>66.999373844118011</v>
      </c>
      <c r="BQ208" s="125">
        <f t="shared" si="290"/>
        <v>34.604818846250431</v>
      </c>
      <c r="BR208" s="125">
        <f t="shared" si="290"/>
        <v>57.672530139596525</v>
      </c>
      <c r="BS208" s="125">
        <f t="shared" ref="BS208:DA208" si="291">(1+100*0.007)*BS187/(1+0.007*BS187)</f>
        <v>40.171216615332121</v>
      </c>
      <c r="BT208" s="125">
        <f t="shared" si="291"/>
        <v>43.474827870529488</v>
      </c>
      <c r="BU208" s="125">
        <f t="shared" si="291"/>
        <v>46.703539757790004</v>
      </c>
      <c r="BV208" s="125">
        <f t="shared" si="291"/>
        <v>63.469093459264528</v>
      </c>
      <c r="BW208" s="125">
        <f t="shared" si="291"/>
        <v>53.012829440880033</v>
      </c>
      <c r="BX208" s="125">
        <f t="shared" si="291"/>
        <v>72.017147526664004</v>
      </c>
      <c r="BY208" s="125">
        <f t="shared" si="291"/>
        <v>34.486137853607474</v>
      </c>
      <c r="BZ208" s="125">
        <f t="shared" si="291"/>
        <v>76.73671253896562</v>
      </c>
      <c r="CA208" s="125">
        <f t="shared" si="291"/>
        <v>57.070194617908918</v>
      </c>
      <c r="CB208" s="125">
        <f t="shared" si="291"/>
        <v>28.290155056398604</v>
      </c>
      <c r="CC208" s="125">
        <f t="shared" si="291"/>
        <v>32.75243419956108</v>
      </c>
      <c r="CD208" s="125">
        <f t="shared" si="291"/>
        <v>47.262208331639435</v>
      </c>
      <c r="CE208" s="125">
        <f t="shared" si="291"/>
        <v>44.006771231701222</v>
      </c>
      <c r="CF208" s="125">
        <f t="shared" si="291"/>
        <v>43.99970994299143</v>
      </c>
      <c r="CG208" s="125">
        <f t="shared" si="291"/>
        <v>73.482084642038416</v>
      </c>
      <c r="CH208" s="125">
        <f t="shared" si="291"/>
        <v>65.751325176012756</v>
      </c>
      <c r="CI208" s="125">
        <f t="shared" si="291"/>
        <v>43.525908838650963</v>
      </c>
      <c r="CJ208" s="125">
        <f t="shared" si="291"/>
        <v>87.394543670023623</v>
      </c>
      <c r="CK208" s="125">
        <f t="shared" si="291"/>
        <v>73.221872382240491</v>
      </c>
      <c r="CL208" s="125">
        <f t="shared" si="291"/>
        <v>27.979294175669402</v>
      </c>
      <c r="CM208" s="125">
        <f t="shared" si="291"/>
        <v>41.209010208214288</v>
      </c>
      <c r="CN208" s="125">
        <f t="shared" si="291"/>
        <v>65.223493098757601</v>
      </c>
      <c r="CO208" s="125">
        <f t="shared" si="291"/>
        <v>39.565428547756397</v>
      </c>
      <c r="CP208" s="125">
        <f t="shared" si="291"/>
        <v>62.33401054253163</v>
      </c>
      <c r="CQ208" s="125">
        <f t="shared" si="291"/>
        <v>38.305201411845403</v>
      </c>
      <c r="CR208" s="125">
        <f t="shared" si="291"/>
        <v>44.021768018107792</v>
      </c>
      <c r="CS208" s="125">
        <f t="shared" si="291"/>
        <v>80.695454405516628</v>
      </c>
      <c r="CT208" s="125">
        <f t="shared" si="291"/>
        <v>55.959276849212486</v>
      </c>
      <c r="CU208" s="125">
        <f t="shared" si="291"/>
        <v>67.408901027559494</v>
      </c>
      <c r="CV208" s="125">
        <f t="shared" si="291"/>
        <v>38.960649596996738</v>
      </c>
      <c r="CW208" s="125">
        <f t="shared" si="291"/>
        <v>70.163130319082342</v>
      </c>
      <c r="CX208" s="125">
        <f t="shared" si="291"/>
        <v>78.481134349245693</v>
      </c>
      <c r="CY208" s="125">
        <f t="shared" si="291"/>
        <v>53.312756571108203</v>
      </c>
      <c r="CZ208" s="125">
        <f t="shared" si="291"/>
        <v>65.086044143270669</v>
      </c>
      <c r="DA208" s="125">
        <f t="shared" si="291"/>
        <v>52.304768653740389</v>
      </c>
    </row>
    <row r="209" spans="5:105">
      <c r="E209" s="139" t="s">
        <v>185</v>
      </c>
      <c r="F209" s="125">
        <f>(1/0.0228)*LN(1+0.0228*F192)</f>
        <v>6.1402038672305611E-3</v>
      </c>
      <c r="G209" s="125">
        <f>(1/0.0228)*LN(1+0.0228*G192)</f>
        <v>15.268236104995548</v>
      </c>
      <c r="H209" s="125">
        <f t="shared" ref="H209:BS209" si="292">(1/0.0228)*LN(1+0.0228*H192)</f>
        <v>28.57785064040619</v>
      </c>
      <c r="I209" s="125">
        <f t="shared" si="292"/>
        <v>13.011883958899421</v>
      </c>
      <c r="J209" s="125">
        <f t="shared" si="292"/>
        <v>18.974816804000024</v>
      </c>
      <c r="K209" s="125">
        <f t="shared" si="292"/>
        <v>30.188412660240409</v>
      </c>
      <c r="L209" s="125">
        <f t="shared" si="292"/>
        <v>16.2776647252937</v>
      </c>
      <c r="M209" s="125">
        <f t="shared" si="292"/>
        <v>29.719643105656733</v>
      </c>
      <c r="N209" s="125">
        <f t="shared" si="292"/>
        <v>26.670695937260135</v>
      </c>
      <c r="O209" s="125">
        <f t="shared" si="292"/>
        <v>3.3187610212716305</v>
      </c>
      <c r="P209" s="125">
        <f t="shared" si="292"/>
        <v>32.022963215621132</v>
      </c>
      <c r="Q209" s="125">
        <f t="shared" si="292"/>
        <v>31.311068552307567</v>
      </c>
      <c r="R209" s="125">
        <f t="shared" si="292"/>
        <v>33.635619496944088</v>
      </c>
      <c r="S209" s="125">
        <f t="shared" si="292"/>
        <v>21.597570232348769</v>
      </c>
      <c r="T209" s="125">
        <f t="shared" si="292"/>
        <v>8.0216824527766235</v>
      </c>
      <c r="U209" s="125">
        <f t="shared" si="292"/>
        <v>14.983131623066859</v>
      </c>
      <c r="V209" s="125">
        <f t="shared" si="292"/>
        <v>21.15904765923106</v>
      </c>
      <c r="W209" s="125">
        <f t="shared" si="292"/>
        <v>20.89145738381146</v>
      </c>
      <c r="X209" s="125">
        <f t="shared" si="292"/>
        <v>16.407721249430494</v>
      </c>
      <c r="Y209" s="125">
        <f t="shared" si="292"/>
        <v>26.466253072495661</v>
      </c>
      <c r="Z209" s="125">
        <f t="shared" si="292"/>
        <v>34.517195421583935</v>
      </c>
      <c r="AA209" s="125">
        <f t="shared" si="292"/>
        <v>30.907557948414752</v>
      </c>
      <c r="AB209" s="125">
        <f t="shared" si="292"/>
        <v>32.007525318680266</v>
      </c>
      <c r="AC209" s="125">
        <f t="shared" si="292"/>
        <v>12.820213961661143</v>
      </c>
      <c r="AD209" s="125">
        <f t="shared" si="292"/>
        <v>25.64461044033353</v>
      </c>
      <c r="AE209" s="125">
        <f t="shared" si="292"/>
        <v>34.324517716798844</v>
      </c>
      <c r="AF209" s="125">
        <f t="shared" si="292"/>
        <v>30.209273899477314</v>
      </c>
      <c r="AG209" s="125">
        <f t="shared" si="292"/>
        <v>14.47533389502275</v>
      </c>
      <c r="AH209" s="125">
        <f t="shared" si="292"/>
        <v>16.149902390748579</v>
      </c>
      <c r="AI209" s="125">
        <f t="shared" si="292"/>
        <v>30.002965987811674</v>
      </c>
      <c r="AJ209" s="125">
        <f t="shared" si="292"/>
        <v>16.813012530094333</v>
      </c>
      <c r="AK209" s="125">
        <f t="shared" si="292"/>
        <v>30.02586013368348</v>
      </c>
      <c r="AL209" s="125">
        <f t="shared" si="292"/>
        <v>33.282113479530608</v>
      </c>
      <c r="AM209" s="125">
        <f t="shared" si="292"/>
        <v>20.221733130396817</v>
      </c>
      <c r="AN209" s="125">
        <f t="shared" si="292"/>
        <v>30.060364064544828</v>
      </c>
      <c r="AO209" s="125">
        <f t="shared" si="292"/>
        <v>16.455913351950496</v>
      </c>
      <c r="AP209" s="125">
        <f t="shared" si="292"/>
        <v>5.2309302867731997</v>
      </c>
      <c r="AQ209" s="125">
        <f t="shared" si="292"/>
        <v>20.460411182225393</v>
      </c>
      <c r="AR209" s="125">
        <f t="shared" si="292"/>
        <v>15.864951896617519</v>
      </c>
      <c r="AS209" s="125">
        <f t="shared" si="292"/>
        <v>7.2326703927827927</v>
      </c>
      <c r="AT209" s="125">
        <f t="shared" si="292"/>
        <v>14.078440226766816</v>
      </c>
      <c r="AU209" s="125">
        <f t="shared" si="292"/>
        <v>8.9725947567497482</v>
      </c>
      <c r="AV209" s="125">
        <f t="shared" si="292"/>
        <v>33.979256050026109</v>
      </c>
      <c r="AW209" s="125">
        <f t="shared" si="292"/>
        <v>35.209631945929111</v>
      </c>
      <c r="AX209" s="125">
        <f t="shared" si="292"/>
        <v>1.5374603867844763</v>
      </c>
      <c r="AY209" s="125">
        <f t="shared" si="292"/>
        <v>27.602607717286595</v>
      </c>
      <c r="AZ209" s="125">
        <f t="shared" si="292"/>
        <v>21.607355177315952</v>
      </c>
      <c r="BA209" s="125">
        <f t="shared" si="292"/>
        <v>15.004798494935004</v>
      </c>
      <c r="BB209" s="125">
        <f t="shared" si="292"/>
        <v>22.950692516043084</v>
      </c>
      <c r="BC209" s="125">
        <f t="shared" si="292"/>
        <v>21.969397186398847</v>
      </c>
      <c r="BD209" s="125">
        <f t="shared" si="292"/>
        <v>18.432093795224461</v>
      </c>
      <c r="BE209" s="125">
        <f t="shared" si="292"/>
        <v>15.840724756103954</v>
      </c>
      <c r="BF209" s="125">
        <f t="shared" si="292"/>
        <v>21.371270287773029</v>
      </c>
      <c r="BG209" s="125">
        <f t="shared" si="292"/>
        <v>28.861674031577479</v>
      </c>
      <c r="BH209" s="125">
        <f t="shared" si="292"/>
        <v>14.417671029379015</v>
      </c>
      <c r="BI209" s="125">
        <f t="shared" si="292"/>
        <v>16.253440290816318</v>
      </c>
      <c r="BJ209" s="125">
        <f t="shared" si="292"/>
        <v>27.485184711721839</v>
      </c>
      <c r="BK209" s="125">
        <f t="shared" si="292"/>
        <v>29.106774717700063</v>
      </c>
      <c r="BL209" s="125">
        <f t="shared" si="292"/>
        <v>29.185143100283323</v>
      </c>
      <c r="BM209" s="125">
        <f t="shared" si="292"/>
        <v>14.522596563324642</v>
      </c>
      <c r="BN209" s="125">
        <f t="shared" si="292"/>
        <v>6.7568661387125495</v>
      </c>
      <c r="BO209" s="125">
        <f t="shared" si="292"/>
        <v>14.365007745791891</v>
      </c>
      <c r="BP209" s="125">
        <f t="shared" si="292"/>
        <v>7.4237070178154712</v>
      </c>
      <c r="BQ209" s="125">
        <f t="shared" si="292"/>
        <v>2.3542052038763934</v>
      </c>
      <c r="BR209" s="125">
        <f t="shared" si="292"/>
        <v>29.868114044406806</v>
      </c>
      <c r="BS209" s="125">
        <f t="shared" si="292"/>
        <v>17.719754126652902</v>
      </c>
      <c r="BT209" s="125">
        <f t="shared" ref="BT209:DA209" si="293">(1/0.0228)*LN(1+0.0228*BT192)</f>
        <v>28.249901569241118</v>
      </c>
      <c r="BU209" s="125">
        <f t="shared" si="293"/>
        <v>29.41131595296774</v>
      </c>
      <c r="BV209" s="125">
        <f t="shared" si="293"/>
        <v>22.119148555936288</v>
      </c>
      <c r="BW209" s="125">
        <f t="shared" si="293"/>
        <v>13.29894323665556</v>
      </c>
      <c r="BX209" s="125">
        <f t="shared" si="293"/>
        <v>26.791048643708333</v>
      </c>
      <c r="BY209" s="125">
        <f t="shared" si="293"/>
        <v>24.813088966563821</v>
      </c>
      <c r="BZ209" s="125">
        <f t="shared" si="293"/>
        <v>10.106681370081514</v>
      </c>
      <c r="CA209" s="125">
        <f t="shared" si="293"/>
        <v>32.701834602470726</v>
      </c>
      <c r="CB209" s="125">
        <f t="shared" si="293"/>
        <v>4.7763555535055744</v>
      </c>
      <c r="CC209" s="125">
        <f t="shared" si="293"/>
        <v>24.715827116167858</v>
      </c>
      <c r="CD209" s="125">
        <f t="shared" si="293"/>
        <v>33.639149211638276</v>
      </c>
      <c r="CE209" s="125">
        <f t="shared" si="293"/>
        <v>25.953920310289131</v>
      </c>
      <c r="CF209" s="125">
        <f t="shared" si="293"/>
        <v>33.138868146772055</v>
      </c>
      <c r="CG209" s="125">
        <f t="shared" si="293"/>
        <v>20.564599866803032</v>
      </c>
      <c r="CH209" s="125">
        <f t="shared" si="293"/>
        <v>23.747953397068283</v>
      </c>
      <c r="CI209" s="125">
        <f t="shared" si="293"/>
        <v>28.10730485629891</v>
      </c>
      <c r="CJ209" s="125">
        <f t="shared" si="293"/>
        <v>10.224089551201635</v>
      </c>
      <c r="CK209" s="125">
        <f t="shared" si="293"/>
        <v>16.91016051525882</v>
      </c>
      <c r="CL209" s="125">
        <f t="shared" si="293"/>
        <v>8.7940658222139074</v>
      </c>
      <c r="CM209" s="125">
        <f t="shared" si="293"/>
        <v>15.628061940768102</v>
      </c>
      <c r="CN209" s="125">
        <f t="shared" si="293"/>
        <v>23.853883728292107</v>
      </c>
      <c r="CO209" s="125">
        <f t="shared" si="293"/>
        <v>25.471384640447347</v>
      </c>
      <c r="CP209" s="125">
        <f t="shared" si="293"/>
        <v>23.751538538886127</v>
      </c>
      <c r="CQ209" s="125">
        <f t="shared" si="293"/>
        <v>22.16043724402023</v>
      </c>
      <c r="CR209" s="125">
        <f t="shared" si="293"/>
        <v>24.066496328677083</v>
      </c>
      <c r="CS209" s="125">
        <f t="shared" si="293"/>
        <v>6.3247813413265783</v>
      </c>
      <c r="CT209" s="125">
        <f t="shared" si="293"/>
        <v>17.723089736085239</v>
      </c>
      <c r="CU209" s="125">
        <f t="shared" si="293"/>
        <v>14.591978807512625</v>
      </c>
      <c r="CV209" s="125">
        <f t="shared" si="293"/>
        <v>21.748095211115515</v>
      </c>
      <c r="CW209" s="125">
        <f t="shared" si="293"/>
        <v>18.276697775141759</v>
      </c>
      <c r="CX209" s="125">
        <f t="shared" si="293"/>
        <v>16.720175012874098</v>
      </c>
      <c r="CY209" s="125">
        <f t="shared" si="293"/>
        <v>22.181945844622643</v>
      </c>
      <c r="CZ209" s="125">
        <f t="shared" si="293"/>
        <v>27.832696524538665</v>
      </c>
      <c r="DA209" s="125">
        <f t="shared" si="293"/>
        <v>29.456376081239043</v>
      </c>
    </row>
    <row r="210" spans="5:105">
      <c r="E210" s="139" t="s">
        <v>95</v>
      </c>
      <c r="F210" s="125">
        <f t="shared" ref="F210:BQ210" si="294">F209*COS(F178*PI()/180)</f>
        <v>6.102648751210772E-3</v>
      </c>
      <c r="G210" s="125">
        <f>G209*COS(G178*PI()/180)</f>
        <v>15.236663912093682</v>
      </c>
      <c r="H210" s="125">
        <f t="shared" si="294"/>
        <v>28.367640981309265</v>
      </c>
      <c r="I210" s="125">
        <f t="shared" si="294"/>
        <v>13.006930604705465</v>
      </c>
      <c r="J210" s="125">
        <f t="shared" si="294"/>
        <v>17.813736898159021</v>
      </c>
      <c r="K210" s="125">
        <f t="shared" si="294"/>
        <v>28.851242782552081</v>
      </c>
      <c r="L210" s="125">
        <f t="shared" si="294"/>
        <v>14.923130320208402</v>
      </c>
      <c r="M210" s="125">
        <f t="shared" si="294"/>
        <v>28.096952643881828</v>
      </c>
      <c r="N210" s="125">
        <f t="shared" si="294"/>
        <v>25.18568715515957</v>
      </c>
      <c r="O210" s="125">
        <f t="shared" si="294"/>
        <v>3.3084246507130763</v>
      </c>
      <c r="P210" s="125">
        <f t="shared" si="294"/>
        <v>26.008736059974265</v>
      </c>
      <c r="Q210" s="125">
        <f t="shared" si="294"/>
        <v>24.32637365591069</v>
      </c>
      <c r="R210" s="125">
        <f t="shared" si="294"/>
        <v>26.094011774257027</v>
      </c>
      <c r="S210" s="125">
        <f t="shared" si="294"/>
        <v>15.941935785792795</v>
      </c>
      <c r="T210" s="125">
        <f t="shared" si="294"/>
        <v>5.3232601457990363</v>
      </c>
      <c r="U210" s="125">
        <f t="shared" si="294"/>
        <v>10.998111863764487</v>
      </c>
      <c r="V210" s="125">
        <f t="shared" si="294"/>
        <v>13.17699859353084</v>
      </c>
      <c r="W210" s="125">
        <f t="shared" si="294"/>
        <v>11.103389170047141</v>
      </c>
      <c r="X210" s="125">
        <f t="shared" si="294"/>
        <v>9.4912178601524353</v>
      </c>
      <c r="Y210" s="125">
        <f t="shared" si="294"/>
        <v>10.417369936074209</v>
      </c>
      <c r="Z210" s="125">
        <f t="shared" si="294"/>
        <v>14.706358869370815</v>
      </c>
      <c r="AA210" s="125">
        <f t="shared" si="294"/>
        <v>9.5945948677082917</v>
      </c>
      <c r="AB210" s="125">
        <f t="shared" si="294"/>
        <v>10.916358367453231</v>
      </c>
      <c r="AC210" s="125">
        <f t="shared" si="294"/>
        <v>2.2709270044888408</v>
      </c>
      <c r="AD210" s="125">
        <f t="shared" si="294"/>
        <v>3.2871768399427088</v>
      </c>
      <c r="AE210" s="125">
        <f t="shared" si="294"/>
        <v>3.6804569911788869</v>
      </c>
      <c r="AF210" s="125">
        <f t="shared" si="294"/>
        <v>3.2084135703263912</v>
      </c>
      <c r="AG210" s="125">
        <f t="shared" si="294"/>
        <v>0.34304751871851696</v>
      </c>
      <c r="AH210" s="125">
        <f t="shared" si="294"/>
        <v>-1.2911793578607174</v>
      </c>
      <c r="AI210" s="125">
        <f t="shared" si="294"/>
        <v>-0.84050538117471318</v>
      </c>
      <c r="AJ210" s="125">
        <f t="shared" si="294"/>
        <v>0.82571363109393014</v>
      </c>
      <c r="AK210" s="125">
        <f t="shared" si="294"/>
        <v>-2.0110875782095743</v>
      </c>
      <c r="AL210" s="125">
        <f t="shared" si="294"/>
        <v>-4.1800837118232312</v>
      </c>
      <c r="AM210" s="125">
        <f t="shared" si="294"/>
        <v>-1.2167391171330635</v>
      </c>
      <c r="AN210" s="125">
        <f t="shared" si="294"/>
        <v>-5.5170434603957919</v>
      </c>
      <c r="AO210" s="125">
        <f t="shared" si="294"/>
        <v>-3.6878670658500483</v>
      </c>
      <c r="AP210" s="125">
        <f t="shared" si="294"/>
        <v>0.23089065511900425</v>
      </c>
      <c r="AQ210" s="125">
        <f t="shared" si="294"/>
        <v>-6.6835635050412359</v>
      </c>
      <c r="AR210" s="125">
        <f t="shared" si="294"/>
        <v>-2.8514004407811422</v>
      </c>
      <c r="AS210" s="125">
        <f t="shared" si="294"/>
        <v>-2.1376942689272194</v>
      </c>
      <c r="AT210" s="125">
        <f t="shared" si="294"/>
        <v>-4.6815991192179576</v>
      </c>
      <c r="AU210" s="125">
        <f t="shared" si="294"/>
        <v>-3.3432642489741604</v>
      </c>
      <c r="AV210" s="125">
        <f t="shared" si="294"/>
        <v>-17.435208320233535</v>
      </c>
      <c r="AW210" s="125">
        <f t="shared" si="294"/>
        <v>-17.163155284687093</v>
      </c>
      <c r="AX210" s="125">
        <f t="shared" si="294"/>
        <v>-0.82836729756374383</v>
      </c>
      <c r="AY210" s="125">
        <f t="shared" si="294"/>
        <v>-17.404438791440043</v>
      </c>
      <c r="AZ210" s="125">
        <f t="shared" si="294"/>
        <v>-13.046871972080478</v>
      </c>
      <c r="BA210" s="125">
        <f t="shared" si="294"/>
        <v>-9.1522163765280098</v>
      </c>
      <c r="BB210" s="125">
        <f t="shared" si="294"/>
        <v>-17.290300850507471</v>
      </c>
      <c r="BC210" s="125">
        <f t="shared" si="294"/>
        <v>-16.034577350297841</v>
      </c>
      <c r="BD210" s="125">
        <f t="shared" si="294"/>
        <v>-16.703682546644099</v>
      </c>
      <c r="BE210" s="125">
        <f t="shared" si="294"/>
        <v>-14.556744352297962</v>
      </c>
      <c r="BF210" s="125">
        <f t="shared" si="294"/>
        <v>-19.63914563122152</v>
      </c>
      <c r="BG210" s="125">
        <f t="shared" si="294"/>
        <v>-28.391155197978385</v>
      </c>
      <c r="BH210" s="125">
        <f t="shared" si="294"/>
        <v>-14.405813094540694</v>
      </c>
      <c r="BI210" s="125">
        <f t="shared" si="294"/>
        <v>-16.06187919000606</v>
      </c>
      <c r="BJ210" s="125">
        <f t="shared" si="294"/>
        <v>-27.330366137391781</v>
      </c>
      <c r="BK210" s="125">
        <f t="shared" si="294"/>
        <v>-28.904618552231504</v>
      </c>
      <c r="BL210" s="125">
        <f t="shared" si="294"/>
        <v>-28.605931873500445</v>
      </c>
      <c r="BM210" s="125">
        <f t="shared" si="294"/>
        <v>-14.173438470285973</v>
      </c>
      <c r="BN210" s="125">
        <f t="shared" si="294"/>
        <v>-5.7370579140911291</v>
      </c>
      <c r="BO210" s="125">
        <f t="shared" si="294"/>
        <v>-12.768659762295957</v>
      </c>
      <c r="BP210" s="125">
        <f t="shared" si="294"/>
        <v>-5.0181220472785872</v>
      </c>
      <c r="BQ210" s="125">
        <f t="shared" si="294"/>
        <v>0.67293636371955767</v>
      </c>
      <c r="BR210" s="125">
        <f t="shared" ref="BR210:DA210" si="295">BR209*COS(BR178*PI()/180)</f>
        <v>-25.220552294228408</v>
      </c>
      <c r="BS210" s="125">
        <f t="shared" si="295"/>
        <v>-14.089435162677129</v>
      </c>
      <c r="BT210" s="125">
        <f t="shared" si="295"/>
        <v>-21.184765612676856</v>
      </c>
      <c r="BU210" s="125">
        <f t="shared" si="295"/>
        <v>-21.29186038720896</v>
      </c>
      <c r="BV210" s="125">
        <f t="shared" si="295"/>
        <v>-13.929484801639115</v>
      </c>
      <c r="BW210" s="125">
        <f t="shared" si="295"/>
        <v>-5.2018912516890001</v>
      </c>
      <c r="BX210" s="125">
        <f t="shared" si="295"/>
        <v>-13.4776955293796</v>
      </c>
      <c r="BY210" s="125">
        <f t="shared" si="295"/>
        <v>-10.046842180393153</v>
      </c>
      <c r="BZ210" s="125">
        <f t="shared" si="295"/>
        <v>-4.5375615579708972</v>
      </c>
      <c r="CA210" s="125">
        <f t="shared" si="295"/>
        <v>-15.71354635936682</v>
      </c>
      <c r="CB210" s="125">
        <f t="shared" si="295"/>
        <v>-1.2395361985654936</v>
      </c>
      <c r="CC210" s="125">
        <f t="shared" si="295"/>
        <v>-7.2582881080321151</v>
      </c>
      <c r="CD210" s="125">
        <f t="shared" si="295"/>
        <v>-9.0375205501677769</v>
      </c>
      <c r="CE210" s="125">
        <f t="shared" si="295"/>
        <v>-6.700731342796038</v>
      </c>
      <c r="CF210" s="125">
        <f t="shared" si="295"/>
        <v>-7.4241378440932175</v>
      </c>
      <c r="CG210" s="125">
        <f t="shared" si="295"/>
        <v>-2.4798984077797739</v>
      </c>
      <c r="CH210" s="125">
        <f t="shared" si="295"/>
        <v>2.0276315227354349</v>
      </c>
      <c r="CI210" s="125">
        <f t="shared" si="295"/>
        <v>3.2283142442523274</v>
      </c>
      <c r="CJ210" s="125">
        <f t="shared" si="295"/>
        <v>1.6290318197755642</v>
      </c>
      <c r="CK210" s="125">
        <f t="shared" si="295"/>
        <v>3.6719068983163203</v>
      </c>
      <c r="CL210" s="125">
        <f t="shared" si="295"/>
        <v>4.5474360457535932</v>
      </c>
      <c r="CM210" s="125">
        <f t="shared" si="295"/>
        <v>5.4600179611139215</v>
      </c>
      <c r="CN210" s="125">
        <f t="shared" si="295"/>
        <v>7.8317521555093323</v>
      </c>
      <c r="CO210" s="125">
        <f t="shared" si="295"/>
        <v>13.225833013210414</v>
      </c>
      <c r="CP210" s="125">
        <f t="shared" si="295"/>
        <v>16.769081037195857</v>
      </c>
      <c r="CQ210" s="125">
        <f t="shared" si="295"/>
        <v>15.194242731545653</v>
      </c>
      <c r="CR210" s="125">
        <f t="shared" si="295"/>
        <v>18.849751139163001</v>
      </c>
      <c r="CS210" s="125">
        <f t="shared" si="295"/>
        <v>4.107004853687501</v>
      </c>
      <c r="CT210" s="125">
        <f t="shared" si="295"/>
        <v>13.689465882787646</v>
      </c>
      <c r="CU210" s="125">
        <f t="shared" si="295"/>
        <v>12.101388573717667</v>
      </c>
      <c r="CV210" s="125">
        <f t="shared" si="295"/>
        <v>19.354805716597266</v>
      </c>
      <c r="CW210" s="125">
        <f t="shared" si="295"/>
        <v>16.459230342872324</v>
      </c>
      <c r="CX210" s="125">
        <f t="shared" si="295"/>
        <v>15.7328358648075</v>
      </c>
      <c r="CY210" s="125">
        <f t="shared" si="295"/>
        <v>21.867853088791406</v>
      </c>
      <c r="CZ210" s="125">
        <f t="shared" si="295"/>
        <v>27.807952231210621</v>
      </c>
      <c r="DA210" s="125">
        <f t="shared" si="295"/>
        <v>29.423940771692422</v>
      </c>
    </row>
    <row r="211" spans="5:105">
      <c r="E211" s="139" t="s">
        <v>97</v>
      </c>
      <c r="F211" s="125">
        <f t="shared" ref="F211:BQ211" si="296">F209*SIN(F178*PI()/180)</f>
        <v>6.7807208355656764E-4</v>
      </c>
      <c r="G211" s="125">
        <f t="shared" si="296"/>
        <v>0.98137994058961742</v>
      </c>
      <c r="H211" s="125">
        <f t="shared" si="296"/>
        <v>3.4598399357351064</v>
      </c>
      <c r="I211" s="125">
        <f t="shared" si="296"/>
        <v>0.35899917025025579</v>
      </c>
      <c r="J211" s="125">
        <f t="shared" si="296"/>
        <v>6.5356293092960493</v>
      </c>
      <c r="K211" s="125">
        <f t="shared" si="296"/>
        <v>8.8851589095074619</v>
      </c>
      <c r="L211" s="125">
        <f t="shared" si="296"/>
        <v>6.5009653402512075</v>
      </c>
      <c r="M211" s="125">
        <f t="shared" si="296"/>
        <v>9.6859918673862069</v>
      </c>
      <c r="N211" s="125">
        <f t="shared" si="296"/>
        <v>8.7753737413408484</v>
      </c>
      <c r="O211" s="125">
        <f t="shared" si="296"/>
        <v>0.26172704649304929</v>
      </c>
      <c r="P211" s="125">
        <f t="shared" si="296"/>
        <v>18.681965144802579</v>
      </c>
      <c r="Q211" s="125">
        <f t="shared" si="296"/>
        <v>19.713207720721616</v>
      </c>
      <c r="R211" s="125">
        <f t="shared" si="296"/>
        <v>21.223982860625874</v>
      </c>
      <c r="S211" s="125">
        <f t="shared" si="296"/>
        <v>14.570851839988517</v>
      </c>
      <c r="T211" s="125">
        <f t="shared" si="296"/>
        <v>6.000857504834789</v>
      </c>
      <c r="U211" s="125">
        <f t="shared" si="296"/>
        <v>10.175252756873853</v>
      </c>
      <c r="V211" s="125">
        <f t="shared" si="296"/>
        <v>16.555120232474835</v>
      </c>
      <c r="W211" s="125">
        <f t="shared" si="296"/>
        <v>17.696546006441206</v>
      </c>
      <c r="X211" s="125">
        <f t="shared" si="296"/>
        <v>13.383949347264299</v>
      </c>
      <c r="Y211" s="125">
        <f t="shared" si="296"/>
        <v>24.329836730080274</v>
      </c>
      <c r="Z211" s="125">
        <f t="shared" si="296"/>
        <v>31.227548552153326</v>
      </c>
      <c r="AA211" s="125">
        <f t="shared" si="296"/>
        <v>29.38062095428144</v>
      </c>
      <c r="AB211" s="125">
        <f t="shared" si="296"/>
        <v>30.088449561572496</v>
      </c>
      <c r="AC211" s="125">
        <f t="shared" si="296"/>
        <v>12.617479009812325</v>
      </c>
      <c r="AD211" s="125">
        <f t="shared" si="296"/>
        <v>25.433059451418892</v>
      </c>
      <c r="AE211" s="125">
        <f t="shared" si="296"/>
        <v>34.126628207704911</v>
      </c>
      <c r="AF211" s="125">
        <f t="shared" si="296"/>
        <v>30.038413937746228</v>
      </c>
      <c r="AG211" s="125">
        <f t="shared" si="296"/>
        <v>14.471268423061455</v>
      </c>
      <c r="AH211" s="125">
        <f t="shared" si="296"/>
        <v>16.098204965043184</v>
      </c>
      <c r="AI211" s="125">
        <f t="shared" si="296"/>
        <v>29.991190686099817</v>
      </c>
      <c r="AJ211" s="125">
        <f t="shared" si="296"/>
        <v>16.792724238089981</v>
      </c>
      <c r="AK211" s="125">
        <f t="shared" si="296"/>
        <v>29.958434597293198</v>
      </c>
      <c r="AL211" s="125">
        <f t="shared" si="296"/>
        <v>33.018570196580335</v>
      </c>
      <c r="AM211" s="125">
        <f t="shared" si="296"/>
        <v>20.185094419343855</v>
      </c>
      <c r="AN211" s="125">
        <f t="shared" si="296"/>
        <v>29.549749899941318</v>
      </c>
      <c r="AO211" s="125">
        <f t="shared" si="296"/>
        <v>16.03735391988096</v>
      </c>
      <c r="AP211" s="125">
        <f t="shared" si="296"/>
        <v>5.2258321031640378</v>
      </c>
      <c r="AQ211" s="125">
        <f t="shared" si="296"/>
        <v>19.338004152957843</v>
      </c>
      <c r="AR211" s="125">
        <f t="shared" si="296"/>
        <v>15.606608030199929</v>
      </c>
      <c r="AS211" s="125">
        <f t="shared" si="296"/>
        <v>6.9095429822262862</v>
      </c>
      <c r="AT211" s="125">
        <f t="shared" si="296"/>
        <v>13.277240259390643</v>
      </c>
      <c r="AU211" s="125">
        <f t="shared" si="296"/>
        <v>8.3264662871102963</v>
      </c>
      <c r="AV211" s="125">
        <f t="shared" si="296"/>
        <v>29.165105049412993</v>
      </c>
      <c r="AW211" s="125">
        <f t="shared" si="296"/>
        <v>30.743198962396697</v>
      </c>
      <c r="AX211" s="125">
        <f t="shared" si="296"/>
        <v>1.2952189240658938</v>
      </c>
      <c r="AY211" s="125">
        <f t="shared" si="296"/>
        <v>21.424039375183813</v>
      </c>
      <c r="AZ211" s="125">
        <f t="shared" si="296"/>
        <v>17.223731578923985</v>
      </c>
      <c r="BA211" s="125">
        <f t="shared" si="296"/>
        <v>11.890370611163316</v>
      </c>
      <c r="BB211" s="125">
        <f t="shared" si="296"/>
        <v>15.092375010742897</v>
      </c>
      <c r="BC211" s="125">
        <f t="shared" si="296"/>
        <v>15.018213673105901</v>
      </c>
      <c r="BD211" s="125">
        <f t="shared" si="296"/>
        <v>7.7928859260795891</v>
      </c>
      <c r="BE211" s="125">
        <f t="shared" si="296"/>
        <v>6.247379823612941</v>
      </c>
      <c r="BF211" s="125">
        <f t="shared" si="296"/>
        <v>8.4282354374283521</v>
      </c>
      <c r="BG211" s="125">
        <f t="shared" si="296"/>
        <v>5.1902345254659465</v>
      </c>
      <c r="BH211" s="125">
        <f t="shared" si="296"/>
        <v>-0.5846255182207325</v>
      </c>
      <c r="BI211" s="125">
        <f t="shared" si="296"/>
        <v>-2.4880430407815513</v>
      </c>
      <c r="BJ211" s="125">
        <f t="shared" si="296"/>
        <v>-2.9131538636976591</v>
      </c>
      <c r="BK211" s="125">
        <f t="shared" si="296"/>
        <v>-3.4245234437711192</v>
      </c>
      <c r="BL211" s="125">
        <f t="shared" si="296"/>
        <v>-5.7856062286217318</v>
      </c>
      <c r="BM211" s="125">
        <f t="shared" si="296"/>
        <v>-3.1653519346363868</v>
      </c>
      <c r="BN211" s="125">
        <f t="shared" si="296"/>
        <v>-3.5695106817103914</v>
      </c>
      <c r="BO211" s="125">
        <f t="shared" si="296"/>
        <v>-6.5813961597358057</v>
      </c>
      <c r="BP211" s="125">
        <f t="shared" si="296"/>
        <v>-5.470820505644399</v>
      </c>
      <c r="BQ211" s="125">
        <f t="shared" si="296"/>
        <v>-2.2559784556468157</v>
      </c>
      <c r="BR211" s="125">
        <f t="shared" ref="BR211:DA211" si="297">BR209*SIN(BR178*PI()/180)</f>
        <v>-16.000874305605343</v>
      </c>
      <c r="BS211" s="125">
        <f t="shared" si="297"/>
        <v>-10.746045928887044</v>
      </c>
      <c r="BT211" s="125">
        <f t="shared" si="297"/>
        <v>-18.688569891988958</v>
      </c>
      <c r="BU211" s="125">
        <f t="shared" si="297"/>
        <v>-20.289952866798306</v>
      </c>
      <c r="BV211" s="125">
        <f t="shared" si="297"/>
        <v>-17.182147304702148</v>
      </c>
      <c r="BW211" s="125">
        <f t="shared" si="297"/>
        <v>-12.239371659418964</v>
      </c>
      <c r="BX211" s="125">
        <f t="shared" si="297"/>
        <v>-23.154092740742126</v>
      </c>
      <c r="BY211" s="125">
        <f t="shared" si="297"/>
        <v>-22.688110240054904</v>
      </c>
      <c r="BZ211" s="125">
        <f t="shared" si="297"/>
        <v>-9.0308107844189411</v>
      </c>
      <c r="CA211" s="125">
        <f t="shared" si="297"/>
        <v>-28.679163990245275</v>
      </c>
      <c r="CB211" s="125">
        <f t="shared" si="297"/>
        <v>-4.6127131263443371</v>
      </c>
      <c r="CC211" s="125">
        <f t="shared" si="297"/>
        <v>-23.626031485992268</v>
      </c>
      <c r="CD211" s="125">
        <f t="shared" si="297"/>
        <v>-32.402400867654222</v>
      </c>
      <c r="CE211" s="125">
        <f t="shared" si="297"/>
        <v>-25.07401401739477</v>
      </c>
      <c r="CF211" s="125">
        <f t="shared" si="297"/>
        <v>-32.296544077053298</v>
      </c>
      <c r="CG211" s="125">
        <f t="shared" si="297"/>
        <v>-20.414525994223002</v>
      </c>
      <c r="CH211" s="125">
        <f t="shared" si="297"/>
        <v>-23.661234138508849</v>
      </c>
      <c r="CI211" s="125">
        <f t="shared" si="297"/>
        <v>-27.921292474118776</v>
      </c>
      <c r="CJ211" s="125">
        <f t="shared" si="297"/>
        <v>-10.093476233743713</v>
      </c>
      <c r="CK211" s="125">
        <f t="shared" si="297"/>
        <v>-16.506684354585431</v>
      </c>
      <c r="CL211" s="125">
        <f t="shared" si="297"/>
        <v>-7.5270458411791079</v>
      </c>
      <c r="CM211" s="125">
        <f t="shared" si="297"/>
        <v>-14.64324157721909</v>
      </c>
      <c r="CN211" s="125">
        <f t="shared" si="297"/>
        <v>-22.531565127561684</v>
      </c>
      <c r="CO211" s="125">
        <f t="shared" si="297"/>
        <v>-21.768527203471773</v>
      </c>
      <c r="CP211" s="125">
        <f t="shared" si="297"/>
        <v>-16.82062734062411</v>
      </c>
      <c r="CQ211" s="125">
        <f t="shared" si="297"/>
        <v>-16.131334931152814</v>
      </c>
      <c r="CR211" s="125">
        <f t="shared" si="297"/>
        <v>-14.962724602486363</v>
      </c>
      <c r="CS211" s="125">
        <f t="shared" si="297"/>
        <v>-4.8099241311459515</v>
      </c>
      <c r="CT211" s="125">
        <f t="shared" si="297"/>
        <v>-11.256395232814233</v>
      </c>
      <c r="CU211" s="125">
        <f t="shared" si="297"/>
        <v>-8.1536642135173221</v>
      </c>
      <c r="CV211" s="125">
        <f t="shared" si="297"/>
        <v>-9.9182226726626475</v>
      </c>
      <c r="CW211" s="125">
        <f t="shared" si="297"/>
        <v>-7.9455281815712375</v>
      </c>
      <c r="CX211" s="125">
        <f t="shared" si="297"/>
        <v>-5.6605766589779662</v>
      </c>
      <c r="CY211" s="125">
        <f t="shared" si="297"/>
        <v>-3.7196401359281861</v>
      </c>
      <c r="CZ211" s="125">
        <f t="shared" si="297"/>
        <v>-1.1733663254819162</v>
      </c>
      <c r="DA211" s="125">
        <f t="shared" si="297"/>
        <v>-1.3819556083058784</v>
      </c>
    </row>
  </sheetData>
  <protectedRanges>
    <protectedRange sqref="DN5:DN103" name="Output Cells"/>
  </protectedRange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6"/>
  <sheetViews>
    <sheetView tabSelected="1" workbookViewId="0">
      <selection activeCell="B2" sqref="B2:D96"/>
    </sheetView>
  </sheetViews>
  <sheetFormatPr defaultRowHeight="14.5"/>
  <cols>
    <col min="2" max="2" width="13.453125" customWidth="1"/>
    <col min="3" max="3" width="15.08984375" customWidth="1"/>
    <col min="4" max="4" width="13.6328125" customWidth="1"/>
    <col min="5" max="5" width="15.453125" customWidth="1"/>
    <col min="6" max="6" width="18.90625" customWidth="1"/>
    <col min="7" max="7" width="16.08984375" customWidth="1"/>
    <col min="8" max="8" width="16" customWidth="1"/>
  </cols>
  <sheetData>
    <row r="1" spans="1:8">
      <c r="B1" t="s">
        <v>0</v>
      </c>
      <c r="E1" t="s">
        <v>1</v>
      </c>
      <c r="F1" t="s">
        <v>2</v>
      </c>
      <c r="G1" s="1"/>
      <c r="H1" s="1"/>
    </row>
    <row r="2" spans="1:8">
      <c r="A2" s="228">
        <v>360</v>
      </c>
      <c r="B2" s="243">
        <v>1.2990000000000001E-4</v>
      </c>
      <c r="C2" s="243">
        <v>3.9169999999999999E-6</v>
      </c>
      <c r="D2" s="243">
        <v>6.0610000000000004E-4</v>
      </c>
      <c r="E2" s="244">
        <v>360</v>
      </c>
      <c r="F2" s="245">
        <v>1.222E-7</v>
      </c>
      <c r="G2" s="245">
        <v>1.3398E-8</v>
      </c>
      <c r="H2" s="245">
        <v>5.3502699999999996E-7</v>
      </c>
    </row>
    <row r="3" spans="1:8">
      <c r="A3" s="228">
        <v>365</v>
      </c>
      <c r="B3" s="243">
        <v>2.321E-4</v>
      </c>
      <c r="C3" s="243">
        <v>6.9650000000000002E-6</v>
      </c>
      <c r="D3" s="243">
        <v>1.0859999999999999E-3</v>
      </c>
      <c r="E3" s="244">
        <v>365</v>
      </c>
      <c r="F3" s="245">
        <v>9.1927000000000005E-7</v>
      </c>
      <c r="G3" s="245">
        <v>1.0065E-7</v>
      </c>
      <c r="H3" s="245">
        <v>4.0283E-6</v>
      </c>
    </row>
    <row r="4" spans="1:8">
      <c r="A4" s="228">
        <v>370</v>
      </c>
      <c r="B4" s="243">
        <v>4.149E-4</v>
      </c>
      <c r="C4" s="243">
        <v>1.239E-5</v>
      </c>
      <c r="D4" s="243">
        <v>1.946E-3</v>
      </c>
      <c r="E4" s="244">
        <v>370</v>
      </c>
      <c r="F4" s="245">
        <v>5.9586E-6</v>
      </c>
      <c r="G4" s="245">
        <v>6.511E-7</v>
      </c>
      <c r="H4" s="245">
        <v>2.6143699999999998E-5</v>
      </c>
    </row>
    <row r="5" spans="1:8">
      <c r="A5" s="228">
        <v>375</v>
      </c>
      <c r="B5" s="243">
        <v>7.4160000000000003E-4</v>
      </c>
      <c r="C5" s="243">
        <v>2.2019999999999999E-5</v>
      </c>
      <c r="D5" s="243">
        <v>3.4859999999999999E-3</v>
      </c>
      <c r="E5" s="244">
        <v>375</v>
      </c>
      <c r="F5" s="245">
        <v>3.3266000000000003E-5</v>
      </c>
      <c r="G5" s="245">
        <v>3.625E-6</v>
      </c>
      <c r="H5" s="245">
        <v>1.4621999999999999E-4</v>
      </c>
    </row>
    <row r="6" spans="1:8">
      <c r="A6">
        <v>380</v>
      </c>
      <c r="B6" s="2">
        <v>1.3680000000000001E-3</v>
      </c>
      <c r="C6" s="2">
        <v>3.8999999999999999E-5</v>
      </c>
      <c r="D6" s="2">
        <v>6.4500010000000003E-3</v>
      </c>
      <c r="E6" s="3">
        <v>380</v>
      </c>
      <c r="F6" s="173">
        <v>1.5995199999999999E-4</v>
      </c>
      <c r="G6" s="173">
        <v>1.7363999999999998E-5</v>
      </c>
      <c r="H6" s="173">
        <v>7.0477599999999995E-4</v>
      </c>
    </row>
    <row r="7" spans="1:8">
      <c r="A7">
        <v>385</v>
      </c>
      <c r="B7" s="2">
        <v>2.2360000000000001E-3</v>
      </c>
      <c r="C7" s="2">
        <v>6.3999999999999997E-5</v>
      </c>
      <c r="D7" s="2">
        <v>1.054999E-2</v>
      </c>
      <c r="E7" s="3">
        <v>385</v>
      </c>
      <c r="F7" s="173">
        <v>6.6244000000000003E-4</v>
      </c>
      <c r="G7" s="173">
        <v>7.1559999999999999E-5</v>
      </c>
      <c r="H7" s="173">
        <v>2.9277999999999999E-3</v>
      </c>
    </row>
    <row r="8" spans="1:8">
      <c r="A8">
        <v>390</v>
      </c>
      <c r="B8" s="2">
        <v>4.2430000000000002E-3</v>
      </c>
      <c r="C8" s="2">
        <v>1.2E-4</v>
      </c>
      <c r="D8" s="2">
        <v>2.005001E-2</v>
      </c>
      <c r="E8" s="3">
        <v>390</v>
      </c>
      <c r="F8" s="173">
        <v>2.3616000000000002E-3</v>
      </c>
      <c r="G8" s="173">
        <v>2.5339999999999998E-4</v>
      </c>
      <c r="H8" s="173">
        <v>1.0482200000000001E-2</v>
      </c>
    </row>
    <row r="9" spans="1:8">
      <c r="A9">
        <v>395</v>
      </c>
      <c r="B9" s="2">
        <v>7.6499999999999997E-3</v>
      </c>
      <c r="C9" s="2">
        <v>2.1699999999999999E-4</v>
      </c>
      <c r="D9" s="2">
        <v>3.6209999999999999E-2</v>
      </c>
      <c r="E9" s="3">
        <v>395</v>
      </c>
      <c r="F9" s="173">
        <v>7.2423000000000001E-3</v>
      </c>
      <c r="G9" s="173">
        <v>7.6849999999999998E-4</v>
      </c>
      <c r="H9" s="173">
        <v>3.2343999999999998E-2</v>
      </c>
    </row>
    <row r="10" spans="1:8">
      <c r="A10">
        <v>400</v>
      </c>
      <c r="B10" s="2">
        <v>1.431E-2</v>
      </c>
      <c r="C10" s="2">
        <v>3.9599999999999998E-4</v>
      </c>
      <c r="D10" s="2">
        <v>6.7850010000000002E-2</v>
      </c>
      <c r="E10" s="3">
        <v>400</v>
      </c>
      <c r="F10" s="173">
        <v>1.91097E-2</v>
      </c>
      <c r="G10" s="173">
        <v>2.0043999999999999E-3</v>
      </c>
      <c r="H10" s="173">
        <v>8.6010900000000001E-2</v>
      </c>
    </row>
    <row r="11" spans="1:8">
      <c r="A11">
        <v>405</v>
      </c>
      <c r="B11" s="2">
        <v>2.3189999999999999E-2</v>
      </c>
      <c r="C11" s="2">
        <v>6.4000000000000005E-4</v>
      </c>
      <c r="D11" s="2">
        <v>0.11020000000000001</v>
      </c>
      <c r="E11" s="3">
        <v>405</v>
      </c>
      <c r="F11" s="173">
        <v>4.3400000000000001E-2</v>
      </c>
      <c r="G11" s="173">
        <v>4.509E-3</v>
      </c>
      <c r="H11" s="173">
        <v>0.19711999999999999</v>
      </c>
    </row>
    <row r="12" spans="1:8">
      <c r="A12">
        <v>410</v>
      </c>
      <c r="B12" s="2">
        <v>4.351E-2</v>
      </c>
      <c r="C12" s="2">
        <v>1.2099999999999999E-3</v>
      </c>
      <c r="D12" s="2">
        <v>0.2074</v>
      </c>
      <c r="E12" s="3">
        <v>410</v>
      </c>
      <c r="F12" s="173">
        <v>8.4736000000000006E-2</v>
      </c>
      <c r="G12" s="173">
        <v>8.7559999999999999E-3</v>
      </c>
      <c r="H12" s="173">
        <v>0.38936599999999999</v>
      </c>
    </row>
    <row r="13" spans="1:8">
      <c r="A13">
        <v>415</v>
      </c>
      <c r="B13" s="2">
        <v>7.7630000000000005E-2</v>
      </c>
      <c r="C13" s="2">
        <v>2.1800000000000001E-3</v>
      </c>
      <c r="D13" s="2">
        <v>0.37130000000000002</v>
      </c>
      <c r="E13" s="3">
        <v>415</v>
      </c>
      <c r="F13" s="173">
        <v>0.14063800000000001</v>
      </c>
      <c r="G13" s="173">
        <v>1.4456E-2</v>
      </c>
      <c r="H13" s="173">
        <v>0.65676000000000001</v>
      </c>
    </row>
    <row r="14" spans="1:8">
      <c r="A14">
        <v>420</v>
      </c>
      <c r="B14" s="2">
        <v>0.13438</v>
      </c>
      <c r="C14" s="2">
        <v>4.0000000000000001E-3</v>
      </c>
      <c r="D14" s="2">
        <v>0.64559999999999995</v>
      </c>
      <c r="E14" s="3">
        <v>420</v>
      </c>
      <c r="F14" s="173">
        <v>0.20449200000000001</v>
      </c>
      <c r="G14" s="173">
        <v>2.1391E-2</v>
      </c>
      <c r="H14" s="173">
        <v>0.97254200000000002</v>
      </c>
    </row>
    <row r="15" spans="1:8">
      <c r="A15">
        <v>425</v>
      </c>
      <c r="B15" s="2">
        <v>0.21476999999999999</v>
      </c>
      <c r="C15" s="2">
        <v>7.3000000000000001E-3</v>
      </c>
      <c r="D15" s="2">
        <v>1.0390501000000001</v>
      </c>
      <c r="E15" s="3">
        <v>425</v>
      </c>
      <c r="F15" s="173">
        <v>0.264737</v>
      </c>
      <c r="G15" s="173">
        <v>2.9496999999999999E-2</v>
      </c>
      <c r="H15" s="173">
        <v>1.2825</v>
      </c>
    </row>
    <row r="16" spans="1:8">
      <c r="A16">
        <v>430</v>
      </c>
      <c r="B16" s="2">
        <v>0.28389999999999999</v>
      </c>
      <c r="C16" s="2">
        <v>1.1599999999999999E-2</v>
      </c>
      <c r="D16" s="2">
        <v>1.3855999999999999</v>
      </c>
      <c r="E16" s="3">
        <v>430</v>
      </c>
      <c r="F16" s="173">
        <v>0.31467899999999999</v>
      </c>
      <c r="G16" s="173">
        <v>3.8676000000000002E-2</v>
      </c>
      <c r="H16" s="173">
        <v>1.55348</v>
      </c>
    </row>
    <row r="17" spans="1:8">
      <c r="A17">
        <v>435</v>
      </c>
      <c r="B17" s="2">
        <v>0.32850000000000001</v>
      </c>
      <c r="C17" s="2">
        <v>1.6840000000000001E-2</v>
      </c>
      <c r="D17" s="2">
        <v>1.62296</v>
      </c>
      <c r="E17" s="3">
        <v>435</v>
      </c>
      <c r="F17" s="173">
        <v>0.35771900000000001</v>
      </c>
      <c r="G17" s="173">
        <v>4.9602E-2</v>
      </c>
      <c r="H17" s="173">
        <v>1.7985</v>
      </c>
    </row>
    <row r="18" spans="1:8">
      <c r="A18">
        <v>440</v>
      </c>
      <c r="B18" s="2">
        <v>0.34827999999999998</v>
      </c>
      <c r="C18" s="2">
        <v>2.3E-2</v>
      </c>
      <c r="D18" s="2">
        <v>1.7470600000000001</v>
      </c>
      <c r="E18" s="3">
        <v>440</v>
      </c>
      <c r="F18" s="173">
        <v>0.38373400000000002</v>
      </c>
      <c r="G18" s="173">
        <v>6.2077E-2</v>
      </c>
      <c r="H18" s="173">
        <v>1.9672799999999999</v>
      </c>
    </row>
    <row r="19" spans="1:8">
      <c r="A19">
        <v>445</v>
      </c>
      <c r="B19" s="2">
        <v>0.34805999999999998</v>
      </c>
      <c r="C19" s="2">
        <v>2.98E-2</v>
      </c>
      <c r="D19" s="2">
        <v>1.7826</v>
      </c>
      <c r="E19" s="3">
        <v>445</v>
      </c>
      <c r="F19" s="173">
        <v>0.38672600000000001</v>
      </c>
      <c r="G19" s="173">
        <v>7.4704000000000007E-2</v>
      </c>
      <c r="H19" s="173">
        <v>2.0272999999999999</v>
      </c>
    </row>
    <row r="20" spans="1:8">
      <c r="A20">
        <v>450</v>
      </c>
      <c r="B20" s="2">
        <v>0.3362</v>
      </c>
      <c r="C20" s="2">
        <v>3.7999999999999999E-2</v>
      </c>
      <c r="D20" s="2">
        <v>1.7721100000000001</v>
      </c>
      <c r="E20" s="3">
        <v>450</v>
      </c>
      <c r="F20" s="173">
        <v>0.37070199999999998</v>
      </c>
      <c r="G20" s="173">
        <v>8.9455999999999994E-2</v>
      </c>
      <c r="H20" s="173">
        <v>1.9947999999999999</v>
      </c>
    </row>
    <row r="21" spans="1:8">
      <c r="A21">
        <v>455</v>
      </c>
      <c r="B21" s="2">
        <v>0.31869999999999998</v>
      </c>
      <c r="C21" s="2">
        <v>4.8000000000000001E-2</v>
      </c>
      <c r="D21" s="2">
        <v>1.7441</v>
      </c>
      <c r="E21" s="3">
        <v>455</v>
      </c>
      <c r="F21" s="173">
        <v>0.34295700000000001</v>
      </c>
      <c r="G21" s="173">
        <v>0.106256</v>
      </c>
      <c r="H21" s="173">
        <v>1.9007000000000001</v>
      </c>
    </row>
    <row r="22" spans="1:8">
      <c r="A22">
        <v>460</v>
      </c>
      <c r="B22" s="2">
        <v>0.2908</v>
      </c>
      <c r="C22" s="2">
        <v>0.06</v>
      </c>
      <c r="D22" s="2">
        <v>1.6692</v>
      </c>
      <c r="E22" s="3">
        <v>460</v>
      </c>
      <c r="F22" s="173">
        <v>0.30227300000000001</v>
      </c>
      <c r="G22" s="173">
        <v>0.12820100000000001</v>
      </c>
      <c r="H22" s="173">
        <v>1.7453700000000001</v>
      </c>
    </row>
    <row r="23" spans="1:8">
      <c r="A23">
        <v>465</v>
      </c>
      <c r="B23" s="2">
        <v>0.25109999999999999</v>
      </c>
      <c r="C23" s="2">
        <v>7.3899999999999993E-2</v>
      </c>
      <c r="D23" s="2">
        <v>1.5281</v>
      </c>
      <c r="E23" s="3">
        <v>465</v>
      </c>
      <c r="F23" s="173">
        <v>0.25408500000000001</v>
      </c>
      <c r="G23" s="173">
        <v>0.15276100000000001</v>
      </c>
      <c r="H23" s="173">
        <v>1.5548999999999999</v>
      </c>
    </row>
    <row r="24" spans="1:8">
      <c r="A24">
        <v>470</v>
      </c>
      <c r="B24" s="2">
        <v>0.19536000000000001</v>
      </c>
      <c r="C24" s="2">
        <v>9.0980000000000005E-2</v>
      </c>
      <c r="D24" s="2">
        <v>1.2876399999999999</v>
      </c>
      <c r="E24" s="3">
        <v>470</v>
      </c>
      <c r="F24" s="173">
        <v>0.19561799999999999</v>
      </c>
      <c r="G24" s="173">
        <v>0.18518999999999999</v>
      </c>
      <c r="H24" s="173">
        <v>1.3175600000000001</v>
      </c>
    </row>
    <row r="25" spans="1:8">
      <c r="A25">
        <v>475</v>
      </c>
      <c r="B25" s="2">
        <v>0.1421</v>
      </c>
      <c r="C25" s="2">
        <v>0.11260000000000001</v>
      </c>
      <c r="D25" s="2">
        <v>1.0419</v>
      </c>
      <c r="E25" s="3">
        <v>475</v>
      </c>
      <c r="F25" s="173">
        <v>0.13234899999999999</v>
      </c>
      <c r="G25" s="173">
        <v>0.21994</v>
      </c>
      <c r="H25" s="173">
        <v>1.0302</v>
      </c>
    </row>
    <row r="26" spans="1:8">
      <c r="A26">
        <v>480</v>
      </c>
      <c r="B26" s="2">
        <v>9.5640000000000003E-2</v>
      </c>
      <c r="C26" s="2">
        <v>0.13902</v>
      </c>
      <c r="D26" s="2">
        <v>0.81295010000000001</v>
      </c>
      <c r="E26" s="3">
        <v>480</v>
      </c>
      <c r="F26" s="173">
        <v>8.0506999999999995E-2</v>
      </c>
      <c r="G26" s="173">
        <v>0.25358900000000001</v>
      </c>
      <c r="H26" s="173">
        <v>0.77212499999999995</v>
      </c>
    </row>
    <row r="27" spans="1:8">
      <c r="A27">
        <v>485</v>
      </c>
      <c r="B27" s="2">
        <v>5.7950010000000003E-2</v>
      </c>
      <c r="C27" s="2">
        <v>0.16930000000000001</v>
      </c>
      <c r="D27" s="2">
        <v>0.61619999999999997</v>
      </c>
      <c r="E27" s="3">
        <v>485</v>
      </c>
      <c r="F27" s="173">
        <v>4.1071999999999997E-2</v>
      </c>
      <c r="G27" s="173">
        <v>0.29766500000000001</v>
      </c>
      <c r="H27" s="173">
        <v>0.57006000000000001</v>
      </c>
    </row>
    <row r="28" spans="1:8">
      <c r="A28">
        <v>490</v>
      </c>
      <c r="B28" s="2">
        <v>3.2009999999999997E-2</v>
      </c>
      <c r="C28" s="2">
        <v>0.20802000000000001</v>
      </c>
      <c r="D28" s="2">
        <v>0.46517999999999998</v>
      </c>
      <c r="E28" s="3">
        <v>490</v>
      </c>
      <c r="F28" s="173">
        <v>1.6171999999999999E-2</v>
      </c>
      <c r="G28" s="173">
        <v>0.33913300000000002</v>
      </c>
      <c r="H28" s="173">
        <v>0.41525400000000001</v>
      </c>
    </row>
    <row r="29" spans="1:8">
      <c r="A29">
        <v>495</v>
      </c>
      <c r="B29" s="2">
        <v>1.47E-2</v>
      </c>
      <c r="C29" s="2">
        <v>0.2586</v>
      </c>
      <c r="D29" s="2">
        <v>0.3533</v>
      </c>
      <c r="E29" s="3">
        <v>495</v>
      </c>
      <c r="F29" s="173">
        <v>5.1320000000000003E-3</v>
      </c>
      <c r="G29" s="173">
        <v>0.39537899999999998</v>
      </c>
      <c r="H29" s="173">
        <v>0.30235600000000001</v>
      </c>
    </row>
    <row r="30" spans="1:8">
      <c r="A30">
        <v>500</v>
      </c>
      <c r="B30" s="2">
        <v>4.8999999999999998E-3</v>
      </c>
      <c r="C30" s="2">
        <v>0.32300000000000001</v>
      </c>
      <c r="D30" s="2">
        <v>0.27200000000000002</v>
      </c>
      <c r="E30" s="3">
        <v>500</v>
      </c>
      <c r="F30" s="173">
        <v>3.8159999999999999E-3</v>
      </c>
      <c r="G30" s="173">
        <v>0.46077699999999999</v>
      </c>
      <c r="H30" s="173">
        <v>0.218502</v>
      </c>
    </row>
    <row r="31" spans="1:8">
      <c r="A31">
        <v>505</v>
      </c>
      <c r="B31" s="2">
        <v>2.3999999999999998E-3</v>
      </c>
      <c r="C31" s="2">
        <v>0.4073</v>
      </c>
      <c r="D31" s="2">
        <v>0.21229999999999999</v>
      </c>
      <c r="E31" s="3">
        <v>505</v>
      </c>
      <c r="F31" s="173">
        <v>1.5443999999999999E-2</v>
      </c>
      <c r="G31" s="173">
        <v>0.53136000000000005</v>
      </c>
      <c r="H31" s="173">
        <v>0.159249</v>
      </c>
    </row>
    <row r="32" spans="1:8">
      <c r="A32">
        <v>510</v>
      </c>
      <c r="B32" s="2">
        <v>9.2999999999999992E-3</v>
      </c>
      <c r="C32" s="2">
        <v>0.503</v>
      </c>
      <c r="D32" s="2">
        <v>0.15820000000000001</v>
      </c>
      <c r="E32" s="3">
        <v>510</v>
      </c>
      <c r="F32" s="173">
        <v>3.7464999999999998E-2</v>
      </c>
      <c r="G32" s="173">
        <v>0.60674099999999997</v>
      </c>
      <c r="H32" s="173">
        <v>0.112044</v>
      </c>
    </row>
    <row r="33" spans="1:8">
      <c r="A33">
        <v>515</v>
      </c>
      <c r="B33" s="2">
        <v>2.9100000000000001E-2</v>
      </c>
      <c r="C33" s="2">
        <v>0.60819999999999996</v>
      </c>
      <c r="D33" s="2">
        <v>0.11169999999999999</v>
      </c>
      <c r="E33" s="3">
        <v>515</v>
      </c>
      <c r="F33" s="173">
        <v>7.1358000000000005E-2</v>
      </c>
      <c r="G33" s="173">
        <v>0.68566000000000005</v>
      </c>
      <c r="H33" s="173">
        <v>8.2248000000000002E-2</v>
      </c>
    </row>
    <row r="34" spans="1:8">
      <c r="A34">
        <v>520</v>
      </c>
      <c r="B34" s="2">
        <v>6.3270000000000007E-2</v>
      </c>
      <c r="C34" s="2">
        <v>0.71</v>
      </c>
      <c r="D34" s="2">
        <v>7.8249990000000005E-2</v>
      </c>
      <c r="E34" s="3">
        <v>520</v>
      </c>
      <c r="F34" s="173">
        <v>0.11774900000000001</v>
      </c>
      <c r="G34" s="173">
        <v>0.76175700000000002</v>
      </c>
      <c r="H34" s="173">
        <v>6.0708999999999999E-2</v>
      </c>
    </row>
    <row r="35" spans="1:8">
      <c r="A35">
        <v>525</v>
      </c>
      <c r="B35" s="2">
        <v>0.1096</v>
      </c>
      <c r="C35" s="2">
        <v>0.79320000000000002</v>
      </c>
      <c r="D35" s="2">
        <v>5.7250009999999997E-2</v>
      </c>
      <c r="E35" s="3">
        <v>525</v>
      </c>
      <c r="F35" s="173">
        <v>0.172953</v>
      </c>
      <c r="G35" s="173">
        <v>0.82333000000000001</v>
      </c>
      <c r="H35" s="173">
        <v>4.3049999999999998E-2</v>
      </c>
    </row>
    <row r="36" spans="1:8">
      <c r="A36">
        <v>530</v>
      </c>
      <c r="B36" s="2">
        <v>0.16550000000000001</v>
      </c>
      <c r="C36" s="2">
        <v>0.86199999999999999</v>
      </c>
      <c r="D36" s="2">
        <v>4.2160000000000003E-2</v>
      </c>
      <c r="E36" s="3">
        <v>530</v>
      </c>
      <c r="F36" s="173">
        <v>0.23649100000000001</v>
      </c>
      <c r="G36" s="173">
        <v>0.87521099999999996</v>
      </c>
      <c r="H36" s="173">
        <v>3.0450999999999999E-2</v>
      </c>
    </row>
    <row r="37" spans="1:8">
      <c r="A37">
        <v>535</v>
      </c>
      <c r="B37" s="2">
        <v>0.2257499</v>
      </c>
      <c r="C37" s="2">
        <v>0.9148501</v>
      </c>
      <c r="D37" s="2">
        <v>2.9839999999999998E-2</v>
      </c>
      <c r="E37" s="3">
        <v>535</v>
      </c>
      <c r="F37" s="173">
        <v>0.30421300000000001</v>
      </c>
      <c r="G37" s="173">
        <v>0.92381000000000002</v>
      </c>
      <c r="H37" s="173">
        <v>2.0584000000000002E-2</v>
      </c>
    </row>
    <row r="38" spans="1:8">
      <c r="A38">
        <v>540</v>
      </c>
      <c r="B38" s="2">
        <v>0.29039999999999999</v>
      </c>
      <c r="C38" s="2">
        <v>0.95399999999999996</v>
      </c>
      <c r="D38" s="2">
        <v>2.0299999999999999E-2</v>
      </c>
      <c r="E38" s="3">
        <v>540</v>
      </c>
      <c r="F38" s="173">
        <v>0.376772</v>
      </c>
      <c r="G38" s="173">
        <v>0.96198799999999995</v>
      </c>
      <c r="H38" s="173">
        <v>1.3676000000000001E-2</v>
      </c>
    </row>
    <row r="39" spans="1:8">
      <c r="A39">
        <v>545</v>
      </c>
      <c r="B39" s="2">
        <v>0.35970000000000002</v>
      </c>
      <c r="C39" s="2">
        <v>0.98029999999999995</v>
      </c>
      <c r="D39" s="2">
        <v>1.34E-2</v>
      </c>
      <c r="E39" s="3">
        <v>545</v>
      </c>
      <c r="F39" s="173">
        <v>0.45158399999999999</v>
      </c>
      <c r="G39" s="173">
        <v>0.98219999999999996</v>
      </c>
      <c r="H39" s="173">
        <v>7.9179999999999997E-3</v>
      </c>
    </row>
    <row r="40" spans="1:8">
      <c r="A40">
        <v>550</v>
      </c>
      <c r="B40" s="2">
        <v>0.4334499</v>
      </c>
      <c r="C40" s="2">
        <v>0.99495009999999995</v>
      </c>
      <c r="D40" s="2">
        <v>8.7499989999999996E-3</v>
      </c>
      <c r="E40" s="3">
        <v>550</v>
      </c>
      <c r="F40" s="173">
        <v>0.52982600000000002</v>
      </c>
      <c r="G40" s="173">
        <v>0.991761</v>
      </c>
      <c r="H40" s="173">
        <v>3.9880000000000002E-3</v>
      </c>
    </row>
    <row r="41" spans="1:8">
      <c r="A41">
        <v>555</v>
      </c>
      <c r="B41" s="2">
        <v>0.51205009999999995</v>
      </c>
      <c r="C41" s="2">
        <v>1</v>
      </c>
      <c r="D41" s="2">
        <v>5.7499990000000004E-3</v>
      </c>
      <c r="E41" s="3">
        <v>555</v>
      </c>
      <c r="F41" s="173">
        <v>0.61605299999999996</v>
      </c>
      <c r="G41" s="173">
        <v>0.99911000000000005</v>
      </c>
      <c r="H41" s="173">
        <v>1.091E-3</v>
      </c>
    </row>
    <row r="42" spans="1:8">
      <c r="A42">
        <v>560</v>
      </c>
      <c r="B42" s="2">
        <v>0.59450000000000003</v>
      </c>
      <c r="C42" s="2">
        <v>0.995</v>
      </c>
      <c r="D42" s="2">
        <v>3.8999999999999998E-3</v>
      </c>
      <c r="E42" s="3">
        <v>560</v>
      </c>
      <c r="F42" s="173">
        <v>0.70522399999999996</v>
      </c>
      <c r="G42" s="173">
        <v>0.99734</v>
      </c>
      <c r="H42" s="173">
        <v>0</v>
      </c>
    </row>
    <row r="43" spans="1:8">
      <c r="A43">
        <v>565</v>
      </c>
      <c r="B43" s="2">
        <v>0.6784</v>
      </c>
      <c r="C43" s="2">
        <v>0.97860000000000003</v>
      </c>
      <c r="D43" s="2">
        <v>2.7499989999999999E-3</v>
      </c>
      <c r="E43" s="3">
        <v>565</v>
      </c>
      <c r="F43" s="173">
        <v>0.79383199999999998</v>
      </c>
      <c r="G43" s="173">
        <v>0.98238000000000003</v>
      </c>
      <c r="H43" s="173">
        <v>0</v>
      </c>
    </row>
    <row r="44" spans="1:8">
      <c r="A44">
        <v>570</v>
      </c>
      <c r="B44" s="2">
        <v>0.7621</v>
      </c>
      <c r="C44" s="2">
        <v>0.95199999999999996</v>
      </c>
      <c r="D44" s="2">
        <v>2.0999999999999999E-3</v>
      </c>
      <c r="E44" s="3">
        <v>570</v>
      </c>
      <c r="F44" s="173">
        <v>0.87865499999999996</v>
      </c>
      <c r="G44" s="173">
        <v>0.95555199999999996</v>
      </c>
      <c r="H44" s="173">
        <v>0</v>
      </c>
    </row>
    <row r="45" spans="1:8">
      <c r="A45">
        <v>575</v>
      </c>
      <c r="B45" s="2">
        <v>0.84250000000000003</v>
      </c>
      <c r="C45" s="2">
        <v>0.91539999999999999</v>
      </c>
      <c r="D45" s="2">
        <v>1.8E-3</v>
      </c>
      <c r="E45" s="3">
        <v>575</v>
      </c>
      <c r="F45" s="173">
        <v>0.95116199999999995</v>
      </c>
      <c r="G45" s="173">
        <v>0.91517499999999996</v>
      </c>
      <c r="H45" s="173">
        <v>0</v>
      </c>
    </row>
    <row r="46" spans="1:8">
      <c r="A46">
        <v>580</v>
      </c>
      <c r="B46" s="2">
        <v>0.9163</v>
      </c>
      <c r="C46" s="2">
        <v>0.87</v>
      </c>
      <c r="D46" s="2">
        <v>1.6500009999999999E-3</v>
      </c>
      <c r="E46" s="3">
        <v>580</v>
      </c>
      <c r="F46" s="173">
        <v>1.01416</v>
      </c>
      <c r="G46" s="173">
        <v>0.86893399999999998</v>
      </c>
      <c r="H46" s="173">
        <v>0</v>
      </c>
    </row>
    <row r="47" spans="1:8">
      <c r="A47">
        <v>585</v>
      </c>
      <c r="B47" s="2">
        <v>0.97860000000000003</v>
      </c>
      <c r="C47" s="2">
        <v>0.81630000000000003</v>
      </c>
      <c r="D47" s="2">
        <v>1.4E-3</v>
      </c>
      <c r="E47" s="3">
        <v>585</v>
      </c>
      <c r="F47" s="173">
        <v>1.0743</v>
      </c>
      <c r="G47" s="173">
        <v>0.825623</v>
      </c>
      <c r="H47" s="173">
        <v>0</v>
      </c>
    </row>
    <row r="48" spans="1:8">
      <c r="A48">
        <v>590</v>
      </c>
      <c r="B48" s="2">
        <v>1.0263</v>
      </c>
      <c r="C48" s="2">
        <v>0.75700000000000001</v>
      </c>
      <c r="D48" s="2">
        <v>1.1000000000000001E-3</v>
      </c>
      <c r="E48" s="3">
        <v>590</v>
      </c>
      <c r="F48" s="173">
        <v>1.11852</v>
      </c>
      <c r="G48" s="173">
        <v>0.77740500000000001</v>
      </c>
      <c r="H48" s="173">
        <v>0</v>
      </c>
    </row>
    <row r="49" spans="1:8">
      <c r="A49">
        <v>595</v>
      </c>
      <c r="B49" s="2">
        <v>1.0567</v>
      </c>
      <c r="C49" s="2">
        <v>0.69489999999999996</v>
      </c>
      <c r="D49" s="2">
        <v>1E-3</v>
      </c>
      <c r="E49" s="3">
        <v>595</v>
      </c>
      <c r="F49" s="173">
        <v>1.1343000000000001</v>
      </c>
      <c r="G49" s="173">
        <v>0.72035300000000002</v>
      </c>
      <c r="H49" s="173">
        <v>0</v>
      </c>
    </row>
    <row r="50" spans="1:8">
      <c r="A50">
        <v>600</v>
      </c>
      <c r="B50" s="2">
        <v>1.0622</v>
      </c>
      <c r="C50" s="2">
        <v>0.63100000000000001</v>
      </c>
      <c r="D50" s="2">
        <v>8.0000000000000004E-4</v>
      </c>
      <c r="E50" s="3">
        <v>600</v>
      </c>
      <c r="F50" s="173">
        <v>1.12399</v>
      </c>
      <c r="G50" s="173">
        <v>0.65834099999999995</v>
      </c>
      <c r="H50" s="173">
        <v>0</v>
      </c>
    </row>
    <row r="51" spans="1:8">
      <c r="A51">
        <v>605</v>
      </c>
      <c r="B51" s="2">
        <v>1.0456000000000001</v>
      </c>
      <c r="C51" s="2">
        <v>0.56679999999999997</v>
      </c>
      <c r="D51" s="2">
        <v>5.9999999999999995E-4</v>
      </c>
      <c r="E51" s="3">
        <v>605</v>
      </c>
      <c r="F51" s="173">
        <v>1.0891</v>
      </c>
      <c r="G51" s="173">
        <v>0.59387800000000002</v>
      </c>
      <c r="H51" s="173">
        <v>0</v>
      </c>
    </row>
    <row r="52" spans="1:8">
      <c r="A52">
        <v>610</v>
      </c>
      <c r="B52" s="2">
        <v>1.0025999999999999</v>
      </c>
      <c r="C52" s="2">
        <v>0.503</v>
      </c>
      <c r="D52" s="2">
        <v>3.4000000000000002E-4</v>
      </c>
      <c r="E52" s="3">
        <v>610</v>
      </c>
      <c r="F52" s="173">
        <v>1.0304800000000001</v>
      </c>
      <c r="G52" s="173">
        <v>0.52796299999999996</v>
      </c>
      <c r="H52" s="173">
        <v>0</v>
      </c>
    </row>
    <row r="53" spans="1:8">
      <c r="A53">
        <v>615</v>
      </c>
      <c r="B53" s="2">
        <v>0.93840000000000001</v>
      </c>
      <c r="C53" s="2">
        <v>0.44119999999999998</v>
      </c>
      <c r="D53" s="2">
        <v>2.4000000000000001E-4</v>
      </c>
      <c r="E53" s="3">
        <v>615</v>
      </c>
      <c r="F53" s="173">
        <v>0.95074000000000003</v>
      </c>
      <c r="G53" s="173">
        <v>0.46183400000000002</v>
      </c>
      <c r="H53" s="173">
        <v>0</v>
      </c>
    </row>
    <row r="54" spans="1:8">
      <c r="A54">
        <v>620</v>
      </c>
      <c r="B54" s="2">
        <v>0.85444989999999998</v>
      </c>
      <c r="C54" s="2">
        <v>0.38100000000000001</v>
      </c>
      <c r="D54" s="2">
        <v>1.9000000000000001E-4</v>
      </c>
      <c r="E54" s="3">
        <v>620</v>
      </c>
      <c r="F54" s="173">
        <v>0.85629699999999997</v>
      </c>
      <c r="G54" s="173">
        <v>0.39805699999999999</v>
      </c>
      <c r="H54" s="173">
        <v>0</v>
      </c>
    </row>
    <row r="55" spans="1:8">
      <c r="A55">
        <v>625</v>
      </c>
      <c r="B55" s="2">
        <v>0.75139999999999996</v>
      </c>
      <c r="C55" s="2">
        <v>0.32100000000000001</v>
      </c>
      <c r="D55" s="2">
        <v>1E-4</v>
      </c>
      <c r="E55" s="3">
        <v>625</v>
      </c>
      <c r="F55" s="173">
        <v>0.75492999999999999</v>
      </c>
      <c r="G55" s="173">
        <v>0.33955400000000002</v>
      </c>
      <c r="H55" s="173">
        <v>0</v>
      </c>
    </row>
    <row r="56" spans="1:8">
      <c r="A56">
        <v>630</v>
      </c>
      <c r="B56" s="2">
        <v>0.64239999999999997</v>
      </c>
      <c r="C56" s="2">
        <v>0.26500000000000001</v>
      </c>
      <c r="D56" s="2">
        <v>4.9999990000000002E-5</v>
      </c>
      <c r="E56" s="3">
        <v>630</v>
      </c>
      <c r="F56" s="173">
        <v>0.64746700000000001</v>
      </c>
      <c r="G56" s="173">
        <v>0.28349299999999999</v>
      </c>
      <c r="H56" s="173">
        <v>0</v>
      </c>
    </row>
    <row r="57" spans="1:8">
      <c r="A57">
        <v>635</v>
      </c>
      <c r="B57" s="2">
        <v>0.54190000000000005</v>
      </c>
      <c r="C57" s="2">
        <v>0.217</v>
      </c>
      <c r="D57" s="2">
        <v>3.0000000000000001E-5</v>
      </c>
      <c r="E57" s="3">
        <v>635</v>
      </c>
      <c r="F57" s="173">
        <v>0.53510999999999997</v>
      </c>
      <c r="G57" s="173">
        <v>0.22825400000000001</v>
      </c>
      <c r="H57" s="173">
        <v>0</v>
      </c>
    </row>
    <row r="58" spans="1:8">
      <c r="A58">
        <v>640</v>
      </c>
      <c r="B58" s="2">
        <v>0.44790000000000002</v>
      </c>
      <c r="C58" s="2">
        <v>0.17499999999999999</v>
      </c>
      <c r="D58" s="2">
        <v>2.0000000000000002E-5</v>
      </c>
      <c r="E58" s="3">
        <v>640</v>
      </c>
      <c r="F58" s="173">
        <v>0.43156699999999998</v>
      </c>
      <c r="G58" s="173">
        <v>0.17982799999999999</v>
      </c>
      <c r="H58" s="173">
        <v>0</v>
      </c>
    </row>
    <row r="59" spans="1:8">
      <c r="A59">
        <v>645</v>
      </c>
      <c r="B59" s="2">
        <v>0.36080000000000001</v>
      </c>
      <c r="C59" s="2">
        <v>0.13819999999999999</v>
      </c>
      <c r="D59" s="2">
        <v>1.0000000000000001E-5</v>
      </c>
      <c r="E59" s="3">
        <v>645</v>
      </c>
      <c r="F59" s="173">
        <v>0.34369</v>
      </c>
      <c r="G59" s="173">
        <v>0.140211</v>
      </c>
      <c r="H59" s="173">
        <v>0</v>
      </c>
    </row>
    <row r="60" spans="1:8">
      <c r="A60">
        <v>650</v>
      </c>
      <c r="B60" s="2">
        <v>0.28349999999999997</v>
      </c>
      <c r="C60" s="2">
        <v>0.107</v>
      </c>
      <c r="D60" s="2">
        <v>0</v>
      </c>
      <c r="E60" s="3">
        <v>650</v>
      </c>
      <c r="F60" s="173">
        <v>0.26832899999999998</v>
      </c>
      <c r="G60" s="173">
        <v>0.10763300000000001</v>
      </c>
      <c r="H60" s="173">
        <v>0</v>
      </c>
    </row>
    <row r="61" spans="1:8">
      <c r="A61">
        <v>655</v>
      </c>
      <c r="B61" s="2">
        <v>0.21870000000000001</v>
      </c>
      <c r="C61" s="2">
        <v>8.1600000000000006E-2</v>
      </c>
      <c r="D61" s="2">
        <v>0</v>
      </c>
      <c r="E61" s="3">
        <v>655</v>
      </c>
      <c r="F61" s="173">
        <v>0.20430000000000001</v>
      </c>
      <c r="G61" s="173">
        <v>8.1186999999999995E-2</v>
      </c>
      <c r="H61" s="173">
        <v>0</v>
      </c>
    </row>
    <row r="62" spans="1:8">
      <c r="A62">
        <v>660</v>
      </c>
      <c r="B62" s="2">
        <v>0.16489999999999999</v>
      </c>
      <c r="C62" s="2">
        <v>6.0999999999999999E-2</v>
      </c>
      <c r="D62" s="2">
        <v>0</v>
      </c>
      <c r="E62" s="3">
        <v>660</v>
      </c>
      <c r="F62" s="173">
        <v>0.15256800000000001</v>
      </c>
      <c r="G62" s="173">
        <v>6.0281000000000001E-2</v>
      </c>
      <c r="H62" s="173">
        <v>0</v>
      </c>
    </row>
    <row r="63" spans="1:8">
      <c r="A63">
        <v>665</v>
      </c>
      <c r="B63" s="2">
        <v>0.1212</v>
      </c>
      <c r="C63" s="2">
        <v>4.4580000000000002E-2</v>
      </c>
      <c r="D63" s="2">
        <v>0</v>
      </c>
      <c r="E63" s="3">
        <v>665</v>
      </c>
      <c r="F63" s="173">
        <v>0.11221</v>
      </c>
      <c r="G63" s="173">
        <v>4.4096000000000003E-2</v>
      </c>
      <c r="H63" s="173">
        <v>0</v>
      </c>
    </row>
    <row r="64" spans="1:8">
      <c r="A64">
        <v>670</v>
      </c>
      <c r="B64" s="2">
        <v>8.7400000000000005E-2</v>
      </c>
      <c r="C64" s="2">
        <v>3.2000000000000001E-2</v>
      </c>
      <c r="D64" s="2">
        <v>0</v>
      </c>
      <c r="E64" s="3">
        <v>670</v>
      </c>
      <c r="F64" s="173">
        <v>8.1260600000000002E-2</v>
      </c>
      <c r="G64" s="173">
        <v>3.18004E-2</v>
      </c>
      <c r="H64" s="173">
        <v>0</v>
      </c>
    </row>
    <row r="65" spans="1:8">
      <c r="A65">
        <v>675</v>
      </c>
      <c r="B65" s="2">
        <v>6.3600000000000004E-2</v>
      </c>
      <c r="C65" s="2">
        <v>2.3199999999999998E-2</v>
      </c>
      <c r="D65" s="2">
        <v>0</v>
      </c>
      <c r="E65" s="3">
        <v>675</v>
      </c>
      <c r="F65" s="173">
        <v>5.7930000000000002E-2</v>
      </c>
      <c r="G65" s="173">
        <v>2.2601699999999999E-2</v>
      </c>
      <c r="H65" s="173">
        <v>0</v>
      </c>
    </row>
    <row r="66" spans="1:8">
      <c r="A66">
        <v>680</v>
      </c>
      <c r="B66" s="2">
        <v>4.6769999999999999E-2</v>
      </c>
      <c r="C66" s="2">
        <v>1.7000000000000001E-2</v>
      </c>
      <c r="D66" s="2">
        <v>0</v>
      </c>
      <c r="E66" s="3">
        <v>680</v>
      </c>
      <c r="F66" s="173">
        <v>4.08508E-2</v>
      </c>
      <c r="G66" s="173">
        <v>1.5905099999999998E-2</v>
      </c>
      <c r="H66" s="173">
        <v>0</v>
      </c>
    </row>
    <row r="67" spans="1:8">
      <c r="A67">
        <v>685</v>
      </c>
      <c r="B67" s="2">
        <v>3.2899999999999999E-2</v>
      </c>
      <c r="C67" s="2">
        <v>1.192E-2</v>
      </c>
      <c r="D67" s="2">
        <v>0</v>
      </c>
      <c r="E67" s="3">
        <v>685</v>
      </c>
      <c r="F67" s="173">
        <v>2.8622999999999999E-2</v>
      </c>
      <c r="G67" s="173">
        <v>1.1130299999999999E-2</v>
      </c>
      <c r="H67" s="173">
        <v>0</v>
      </c>
    </row>
    <row r="68" spans="1:8">
      <c r="A68">
        <v>690</v>
      </c>
      <c r="B68" s="2">
        <v>2.2700000000000001E-2</v>
      </c>
      <c r="C68" s="2">
        <v>8.2100000000000003E-3</v>
      </c>
      <c r="D68" s="2">
        <v>0</v>
      </c>
      <c r="E68" s="3">
        <v>690</v>
      </c>
      <c r="F68" s="173">
        <v>1.9941299999999999E-2</v>
      </c>
      <c r="G68" s="173">
        <v>7.7488000000000001E-3</v>
      </c>
      <c r="H68" s="173">
        <v>0</v>
      </c>
    </row>
    <row r="69" spans="1:8">
      <c r="A69">
        <v>695</v>
      </c>
      <c r="B69" s="2">
        <v>1.584E-2</v>
      </c>
      <c r="C69" s="2">
        <v>5.7229999999999998E-3</v>
      </c>
      <c r="D69" s="2">
        <v>0</v>
      </c>
      <c r="E69" s="3">
        <v>695</v>
      </c>
      <c r="F69" s="173">
        <v>1.3842E-2</v>
      </c>
      <c r="G69" s="173">
        <v>5.3750999999999998E-3</v>
      </c>
      <c r="H69" s="173">
        <v>0</v>
      </c>
    </row>
    <row r="70" spans="1:8">
      <c r="A70">
        <v>700</v>
      </c>
      <c r="B70" s="2">
        <v>1.135916E-2</v>
      </c>
      <c r="C70" s="2">
        <v>4.1019999999999997E-3</v>
      </c>
      <c r="D70" s="2">
        <v>0</v>
      </c>
      <c r="E70" s="3">
        <v>700</v>
      </c>
      <c r="F70" s="173">
        <v>9.5768799999999994E-3</v>
      </c>
      <c r="G70" s="173">
        <v>3.7177400000000002E-3</v>
      </c>
      <c r="H70" s="173">
        <v>0</v>
      </c>
    </row>
    <row r="71" spans="1:8">
      <c r="A71">
        <v>705</v>
      </c>
      <c r="B71" s="2">
        <v>8.1109159999999993E-3</v>
      </c>
      <c r="C71" s="2">
        <v>2.9290000000000002E-3</v>
      </c>
      <c r="D71" s="2">
        <v>0</v>
      </c>
      <c r="E71" s="3">
        <v>705</v>
      </c>
      <c r="F71" s="173">
        <v>6.6052000000000003E-3</v>
      </c>
      <c r="G71" s="173">
        <v>2.56456E-3</v>
      </c>
      <c r="H71" s="173">
        <v>0</v>
      </c>
    </row>
    <row r="72" spans="1:8">
      <c r="A72">
        <v>710</v>
      </c>
      <c r="B72" s="2">
        <v>5.790346E-3</v>
      </c>
      <c r="C72" s="2">
        <v>2.091E-3</v>
      </c>
      <c r="D72" s="2">
        <v>0</v>
      </c>
      <c r="E72" s="3">
        <v>710</v>
      </c>
      <c r="F72" s="173">
        <v>4.5526300000000002E-3</v>
      </c>
      <c r="G72" s="173">
        <v>1.7684700000000001E-3</v>
      </c>
      <c r="H72" s="173">
        <v>0</v>
      </c>
    </row>
    <row r="73" spans="1:8">
      <c r="A73">
        <v>715</v>
      </c>
      <c r="B73" s="2">
        <v>4.1094570000000004E-3</v>
      </c>
      <c r="C73" s="2">
        <v>1.4840000000000001E-3</v>
      </c>
      <c r="D73" s="2">
        <v>0</v>
      </c>
      <c r="E73" s="3">
        <v>715</v>
      </c>
      <c r="F73" s="173">
        <v>3.1446999999999998E-3</v>
      </c>
      <c r="G73" s="173">
        <v>1.2223900000000001E-3</v>
      </c>
      <c r="H73" s="173">
        <v>0</v>
      </c>
    </row>
    <row r="74" spans="1:8">
      <c r="A74">
        <v>720</v>
      </c>
      <c r="B74" s="2">
        <v>2.8993270000000002E-3</v>
      </c>
      <c r="C74" s="2">
        <v>1.047E-3</v>
      </c>
      <c r="D74" s="2">
        <v>0</v>
      </c>
      <c r="E74" s="3">
        <v>720</v>
      </c>
      <c r="F74" s="173">
        <v>2.1749600000000001E-3</v>
      </c>
      <c r="G74" s="173">
        <v>8.4619000000000003E-4</v>
      </c>
      <c r="H74" s="173">
        <v>0</v>
      </c>
    </row>
    <row r="75" spans="1:8">
      <c r="A75">
        <v>725</v>
      </c>
      <c r="B75" s="2">
        <v>2.0491900000000002E-3</v>
      </c>
      <c r="C75" s="2">
        <v>7.3999999999999999E-4</v>
      </c>
      <c r="D75" s="2">
        <v>0</v>
      </c>
      <c r="E75" s="3">
        <v>725</v>
      </c>
      <c r="F75" s="173">
        <v>1.5057E-3</v>
      </c>
      <c r="G75" s="173">
        <v>5.8644000000000003E-4</v>
      </c>
      <c r="H75" s="173">
        <v>0</v>
      </c>
    </row>
    <row r="76" spans="1:8">
      <c r="A76">
        <v>730</v>
      </c>
      <c r="B76" s="2">
        <v>1.439971E-3</v>
      </c>
      <c r="C76" s="2">
        <v>5.1999999999999995E-4</v>
      </c>
      <c r="D76" s="2">
        <v>0</v>
      </c>
      <c r="E76" s="3">
        <v>730</v>
      </c>
      <c r="F76" s="173">
        <v>1.04476E-3</v>
      </c>
      <c r="G76" s="173">
        <v>4.0740999999999998E-4</v>
      </c>
      <c r="H76" s="173">
        <v>0</v>
      </c>
    </row>
    <row r="77" spans="1:8">
      <c r="A77">
        <v>735</v>
      </c>
      <c r="B77" s="2">
        <v>9.9994930000000008E-4</v>
      </c>
      <c r="C77" s="2">
        <v>3.611E-4</v>
      </c>
      <c r="D77" s="2">
        <v>0</v>
      </c>
      <c r="E77" s="3">
        <v>735</v>
      </c>
      <c r="F77" s="173">
        <v>7.2745000000000004E-4</v>
      </c>
      <c r="G77" s="173">
        <v>2.8404100000000001E-4</v>
      </c>
      <c r="H77" s="173">
        <v>0</v>
      </c>
    </row>
    <row r="78" spans="1:8">
      <c r="A78">
        <v>740</v>
      </c>
      <c r="B78" s="2">
        <v>6.9007859999999999E-4</v>
      </c>
      <c r="C78" s="2">
        <v>2.4919999999999999E-4</v>
      </c>
      <c r="D78" s="2">
        <v>0</v>
      </c>
      <c r="E78" s="3">
        <v>740</v>
      </c>
      <c r="F78" s="173">
        <v>5.0825800000000004E-4</v>
      </c>
      <c r="G78" s="173">
        <v>1.9872999999999999E-4</v>
      </c>
      <c r="H78" s="173">
        <v>0</v>
      </c>
    </row>
    <row r="79" spans="1:8">
      <c r="A79">
        <v>745</v>
      </c>
      <c r="B79" s="2">
        <v>4.7602130000000002E-4</v>
      </c>
      <c r="C79" s="2">
        <v>1.719E-4</v>
      </c>
      <c r="D79" s="2">
        <v>0</v>
      </c>
      <c r="E79" s="3">
        <v>745</v>
      </c>
      <c r="F79" s="173">
        <v>3.5638E-4</v>
      </c>
      <c r="G79" s="173">
        <v>1.3955E-4</v>
      </c>
      <c r="H79" s="173">
        <v>0</v>
      </c>
    </row>
    <row r="80" spans="1:8">
      <c r="A80">
        <v>750</v>
      </c>
      <c r="B80" s="2">
        <v>3.323011E-4</v>
      </c>
      <c r="C80" s="2">
        <v>1.2E-4</v>
      </c>
      <c r="D80" s="2">
        <v>0</v>
      </c>
      <c r="E80" s="3">
        <v>750</v>
      </c>
      <c r="F80" s="173">
        <v>2.5096899999999998E-4</v>
      </c>
      <c r="G80" s="173">
        <v>9.8428E-5</v>
      </c>
      <c r="H80" s="173">
        <v>0</v>
      </c>
    </row>
    <row r="81" spans="1:8">
      <c r="A81">
        <v>755</v>
      </c>
      <c r="B81" s="2">
        <v>2.348261E-4</v>
      </c>
      <c r="C81" s="2">
        <v>8.4800000000000001E-5</v>
      </c>
      <c r="D81" s="2">
        <v>0</v>
      </c>
      <c r="E81" s="3">
        <v>755</v>
      </c>
      <c r="F81" s="173">
        <v>1.7772999999999999E-4</v>
      </c>
      <c r="G81" s="173">
        <v>6.9819000000000004E-5</v>
      </c>
      <c r="H81" s="173">
        <v>0</v>
      </c>
    </row>
    <row r="82" spans="1:8">
      <c r="A82">
        <v>760</v>
      </c>
      <c r="B82" s="2">
        <v>1.6615050000000001E-4</v>
      </c>
      <c r="C82" s="2">
        <v>6.0000000000000002E-5</v>
      </c>
      <c r="D82" s="2">
        <v>0</v>
      </c>
      <c r="E82" s="3">
        <v>760</v>
      </c>
      <c r="F82" s="173">
        <v>1.2638999999999999E-4</v>
      </c>
      <c r="G82" s="173">
        <v>4.9737000000000002E-5</v>
      </c>
      <c r="H82" s="173">
        <v>0</v>
      </c>
    </row>
    <row r="83" spans="1:8">
      <c r="A83">
        <v>765</v>
      </c>
      <c r="B83" s="2">
        <v>1.17413E-4</v>
      </c>
      <c r="C83" s="2">
        <v>4.2400000000000001E-5</v>
      </c>
      <c r="D83" s="2">
        <v>0</v>
      </c>
      <c r="E83" s="3">
        <v>765</v>
      </c>
      <c r="F83" s="173">
        <v>9.0150999999999998E-5</v>
      </c>
      <c r="G83" s="173">
        <v>3.5540500000000003E-5</v>
      </c>
      <c r="H83" s="173">
        <v>0</v>
      </c>
    </row>
    <row r="84" spans="1:8">
      <c r="A84">
        <v>770</v>
      </c>
      <c r="B84" s="2">
        <v>8.3075270000000005E-5</v>
      </c>
      <c r="C84" s="2">
        <v>3.0000000000000001E-5</v>
      </c>
      <c r="D84" s="2">
        <v>0</v>
      </c>
      <c r="E84" s="3">
        <v>770</v>
      </c>
      <c r="F84" s="173">
        <v>6.4525799999999998E-5</v>
      </c>
      <c r="G84" s="173">
        <v>2.5486E-5</v>
      </c>
      <c r="H84" s="173">
        <v>0</v>
      </c>
    </row>
    <row r="85" spans="1:8">
      <c r="A85">
        <v>775</v>
      </c>
      <c r="B85" s="2">
        <v>5.8706519999999999E-5</v>
      </c>
      <c r="C85" s="2">
        <v>2.12E-5</v>
      </c>
      <c r="D85" s="2">
        <v>0</v>
      </c>
      <c r="E85" s="3">
        <v>775</v>
      </c>
      <c r="F85" s="173">
        <v>4.6338999999999998E-5</v>
      </c>
      <c r="G85" s="173">
        <v>1.83384E-5</v>
      </c>
      <c r="H85" s="173">
        <v>0</v>
      </c>
    </row>
    <row r="86" spans="1:8">
      <c r="A86">
        <v>780</v>
      </c>
      <c r="B86" s="2">
        <v>4.1509940000000003E-5</v>
      </c>
      <c r="C86" s="2">
        <v>1.499E-5</v>
      </c>
      <c r="D86" s="2">
        <v>0</v>
      </c>
      <c r="E86" s="3">
        <v>780</v>
      </c>
      <c r="F86" s="173">
        <v>3.3411699999999997E-5</v>
      </c>
      <c r="G86" s="173">
        <v>1.3249E-5</v>
      </c>
      <c r="H86" s="173">
        <v>0</v>
      </c>
    </row>
    <row r="87" spans="1:8">
      <c r="A87" s="228">
        <v>785</v>
      </c>
      <c r="B87" s="243">
        <v>2.935326E-5</v>
      </c>
      <c r="C87" s="243">
        <v>1.06E-5</v>
      </c>
      <c r="D87" s="243">
        <v>0</v>
      </c>
      <c r="E87" s="244">
        <v>785</v>
      </c>
      <c r="F87" s="245">
        <v>2.4209000000000001E-5</v>
      </c>
      <c r="G87" s="245">
        <v>9.6196000000000002E-6</v>
      </c>
      <c r="H87" s="245">
        <v>0</v>
      </c>
    </row>
    <row r="88" spans="1:8">
      <c r="A88" s="228">
        <v>790</v>
      </c>
      <c r="B88" s="243">
        <v>2.0673830000000001E-5</v>
      </c>
      <c r="C88" s="243">
        <v>7.4657000000000004E-6</v>
      </c>
      <c r="D88" s="243">
        <v>0</v>
      </c>
      <c r="E88" s="244">
        <v>790</v>
      </c>
      <c r="F88" s="245">
        <v>1.7611499999999999E-5</v>
      </c>
      <c r="G88" s="245">
        <v>7.0128E-6</v>
      </c>
      <c r="H88" s="245">
        <v>0</v>
      </c>
    </row>
    <row r="89" spans="1:8">
      <c r="A89" s="228">
        <v>795</v>
      </c>
      <c r="B89" s="243">
        <v>1.455977E-5</v>
      </c>
      <c r="C89" s="243">
        <v>5.2577999999999999E-6</v>
      </c>
      <c r="D89" s="243">
        <v>0</v>
      </c>
      <c r="E89" s="244">
        <v>795</v>
      </c>
      <c r="F89" s="245">
        <v>1.2855E-5</v>
      </c>
      <c r="G89" s="245">
        <v>5.1298000000000004E-6</v>
      </c>
      <c r="H89" s="245">
        <v>0</v>
      </c>
    </row>
    <row r="90" spans="1:8">
      <c r="A90" s="228">
        <v>800</v>
      </c>
      <c r="B90" s="243">
        <v>1.0253980000000001E-5</v>
      </c>
      <c r="C90" s="243">
        <v>3.7029000000000002E-6</v>
      </c>
      <c r="D90" s="243">
        <v>0</v>
      </c>
      <c r="E90" s="244">
        <v>800</v>
      </c>
      <c r="F90" s="245">
        <v>9.4136299999999995E-6</v>
      </c>
      <c r="G90" s="245">
        <v>3.7647300000000001E-6</v>
      </c>
      <c r="H90" s="245">
        <v>0</v>
      </c>
    </row>
    <row r="91" spans="1:8">
      <c r="A91" s="228">
        <v>805</v>
      </c>
      <c r="B91" s="243">
        <v>7.2214559999999999E-6</v>
      </c>
      <c r="C91" s="243">
        <v>2.6077999999999998E-6</v>
      </c>
      <c r="D91" s="243">
        <v>0</v>
      </c>
      <c r="E91" s="244">
        <v>805</v>
      </c>
      <c r="F91" s="245">
        <v>6.9129999999999997E-6</v>
      </c>
      <c r="G91" s="245">
        <v>2.7708100000000001E-6</v>
      </c>
      <c r="H91" s="245">
        <v>0</v>
      </c>
    </row>
    <row r="92" spans="1:8">
      <c r="A92" s="228">
        <v>810</v>
      </c>
      <c r="B92" s="243">
        <v>5.0858679999999998E-6</v>
      </c>
      <c r="C92" s="243">
        <v>1.8365999999999999E-6</v>
      </c>
      <c r="D92" s="243">
        <v>0</v>
      </c>
      <c r="E92" s="244">
        <v>810</v>
      </c>
      <c r="F92" s="245">
        <v>5.09347E-6</v>
      </c>
      <c r="G92" s="245">
        <v>2.0461300000000002E-6</v>
      </c>
      <c r="H92" s="245">
        <v>0</v>
      </c>
    </row>
    <row r="93" spans="1:8">
      <c r="A93" s="228">
        <v>815</v>
      </c>
      <c r="B93" s="243">
        <v>3.5816519999999999E-6</v>
      </c>
      <c r="C93" s="243">
        <v>1.2934E-6</v>
      </c>
      <c r="D93" s="243">
        <v>0</v>
      </c>
      <c r="E93" s="244">
        <v>815</v>
      </c>
      <c r="F93" s="245">
        <v>3.7670999999999999E-6</v>
      </c>
      <c r="G93" s="245">
        <v>1.51677E-6</v>
      </c>
      <c r="H93" s="245">
        <v>0</v>
      </c>
    </row>
    <row r="94" spans="1:8">
      <c r="A94" s="228">
        <v>820</v>
      </c>
      <c r="B94" s="243">
        <v>2.522525E-6</v>
      </c>
      <c r="C94" s="243">
        <v>9.1093000000000002E-7</v>
      </c>
      <c r="D94" s="243">
        <v>0</v>
      </c>
      <c r="E94" s="244">
        <v>820</v>
      </c>
      <c r="F94" s="245">
        <v>2.79531E-6</v>
      </c>
      <c r="G94" s="245">
        <v>1.12809E-6</v>
      </c>
      <c r="H94" s="245">
        <v>0</v>
      </c>
    </row>
    <row r="95" spans="1:8">
      <c r="A95" s="228">
        <v>825</v>
      </c>
      <c r="B95" s="243">
        <v>1.7765090000000001E-6</v>
      </c>
      <c r="C95" s="243">
        <v>6.4153E-7</v>
      </c>
      <c r="D95" s="243">
        <v>0</v>
      </c>
      <c r="E95" s="244">
        <v>825</v>
      </c>
      <c r="F95" s="245">
        <v>2.0820000000000001E-6</v>
      </c>
      <c r="G95" s="245">
        <v>8.4216000000000002E-7</v>
      </c>
      <c r="H95" s="245">
        <v>0</v>
      </c>
    </row>
    <row r="96" spans="1:8">
      <c r="A96" s="228">
        <v>830</v>
      </c>
      <c r="B96" s="243">
        <v>1.251141E-6</v>
      </c>
      <c r="C96" s="243">
        <v>4.5181000000000002E-7</v>
      </c>
      <c r="D96" s="243">
        <v>0</v>
      </c>
      <c r="E96" s="244">
        <v>830</v>
      </c>
      <c r="F96" s="245">
        <v>1.55314E-6</v>
      </c>
      <c r="G96" s="245">
        <v>6.2969999999999998E-7</v>
      </c>
      <c r="H96" s="24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104"/>
  <sheetViews>
    <sheetView topLeftCell="CS84" workbookViewId="0">
      <selection activeCell="A10" sqref="A10:CW104"/>
    </sheetView>
  </sheetViews>
  <sheetFormatPr defaultRowHeight="14.5"/>
  <sheetData>
    <row r="1" spans="1:101">
      <c r="A1" t="s">
        <v>3</v>
      </c>
      <c r="B1" s="4" t="s">
        <v>4</v>
      </c>
    </row>
    <row r="2" spans="1:101">
      <c r="B2" s="4" t="s">
        <v>5</v>
      </c>
    </row>
    <row r="3" spans="1:101">
      <c r="B3" s="4" t="s">
        <v>6</v>
      </c>
    </row>
    <row r="4" spans="1:101">
      <c r="B4" s="4" t="s">
        <v>7</v>
      </c>
    </row>
    <row r="5" spans="1:101">
      <c r="B5" s="4" t="s">
        <v>8</v>
      </c>
    </row>
    <row r="6" spans="1:101">
      <c r="B6" s="4" t="s">
        <v>9</v>
      </c>
    </row>
    <row r="7" spans="1:101">
      <c r="B7" s="4" t="s">
        <v>10</v>
      </c>
    </row>
    <row r="8" spans="1:101">
      <c r="A8" t="s">
        <v>3</v>
      </c>
      <c r="C8" s="5">
        <v>3</v>
      </c>
      <c r="D8" s="5">
        <v>3</v>
      </c>
      <c r="E8" s="5">
        <v>1</v>
      </c>
      <c r="F8" s="5">
        <v>1</v>
      </c>
      <c r="G8" s="5">
        <v>4</v>
      </c>
      <c r="H8" s="5">
        <v>3</v>
      </c>
      <c r="I8" s="5">
        <v>5</v>
      </c>
      <c r="J8" s="5">
        <v>4</v>
      </c>
      <c r="K8" s="5">
        <v>6</v>
      </c>
      <c r="L8" s="5">
        <v>7</v>
      </c>
      <c r="M8" s="5">
        <v>3</v>
      </c>
      <c r="N8" s="5">
        <v>1</v>
      </c>
      <c r="O8" s="5">
        <v>6</v>
      </c>
      <c r="P8" s="5">
        <v>5</v>
      </c>
      <c r="Q8" s="5">
        <v>2</v>
      </c>
      <c r="R8" s="5">
        <v>3</v>
      </c>
      <c r="S8" s="5">
        <v>3</v>
      </c>
      <c r="T8" s="5">
        <v>2</v>
      </c>
      <c r="U8" s="5">
        <v>5</v>
      </c>
      <c r="V8" s="5">
        <v>6</v>
      </c>
      <c r="W8" s="5">
        <v>4</v>
      </c>
      <c r="X8" s="5">
        <v>4</v>
      </c>
      <c r="Y8" s="5">
        <v>7</v>
      </c>
      <c r="Z8" s="5">
        <v>5</v>
      </c>
      <c r="AA8" s="5">
        <v>1</v>
      </c>
      <c r="AB8" s="5">
        <v>3</v>
      </c>
      <c r="AC8" s="5">
        <v>1</v>
      </c>
      <c r="AD8" s="5">
        <v>7</v>
      </c>
      <c r="AE8" s="5">
        <v>3</v>
      </c>
      <c r="AF8" s="5">
        <v>1</v>
      </c>
      <c r="AG8" s="5">
        <v>4</v>
      </c>
      <c r="AH8" s="5">
        <v>3</v>
      </c>
      <c r="AI8" s="5">
        <v>4</v>
      </c>
      <c r="AJ8" s="5">
        <v>7</v>
      </c>
      <c r="AK8" s="5">
        <v>7</v>
      </c>
      <c r="AL8" s="5">
        <v>1</v>
      </c>
      <c r="AM8" s="5">
        <v>1</v>
      </c>
      <c r="AN8" s="5">
        <v>1</v>
      </c>
      <c r="AO8" s="5">
        <v>6</v>
      </c>
      <c r="AP8" s="5">
        <v>6</v>
      </c>
      <c r="AQ8" s="5">
        <v>3</v>
      </c>
      <c r="AR8" s="5">
        <v>6</v>
      </c>
      <c r="AS8" s="5">
        <v>3</v>
      </c>
      <c r="AT8" s="5">
        <v>6</v>
      </c>
      <c r="AU8" s="5">
        <v>7</v>
      </c>
      <c r="AV8" s="5">
        <v>5</v>
      </c>
      <c r="AW8" s="5">
        <v>3</v>
      </c>
      <c r="AX8" s="5">
        <v>4</v>
      </c>
      <c r="AY8" s="5">
        <v>4</v>
      </c>
      <c r="AZ8" s="5">
        <v>6</v>
      </c>
      <c r="BA8" s="5">
        <v>6</v>
      </c>
      <c r="BB8" s="5">
        <v>6</v>
      </c>
      <c r="BC8" s="5">
        <v>5</v>
      </c>
      <c r="BD8" s="5">
        <v>6</v>
      </c>
      <c r="BE8" s="5">
        <v>7</v>
      </c>
      <c r="BF8" s="5">
        <v>7</v>
      </c>
      <c r="BG8" s="5">
        <v>3</v>
      </c>
      <c r="BH8" s="5">
        <v>4</v>
      </c>
      <c r="BI8" s="5">
        <v>5</v>
      </c>
      <c r="BJ8" s="5">
        <v>7</v>
      </c>
      <c r="BK8" s="5">
        <v>6</v>
      </c>
      <c r="BL8" s="5">
        <v>3</v>
      </c>
      <c r="BM8" s="5">
        <v>6</v>
      </c>
      <c r="BN8" s="5">
        <v>5</v>
      </c>
      <c r="BO8" s="5">
        <v>6</v>
      </c>
      <c r="BP8" s="5">
        <v>5</v>
      </c>
      <c r="BQ8" s="5">
        <v>5</v>
      </c>
      <c r="BR8" s="5">
        <v>6</v>
      </c>
      <c r="BS8" s="5">
        <v>6</v>
      </c>
      <c r="BT8" s="5">
        <v>6</v>
      </c>
      <c r="BU8" s="5">
        <v>6</v>
      </c>
      <c r="BV8" s="5">
        <v>6</v>
      </c>
      <c r="BW8" s="5">
        <v>6</v>
      </c>
      <c r="BX8" s="5">
        <v>3</v>
      </c>
      <c r="BY8" s="5">
        <v>6</v>
      </c>
      <c r="BZ8" s="5">
        <v>6</v>
      </c>
      <c r="CA8" s="5">
        <v>1</v>
      </c>
      <c r="CB8" s="5">
        <v>6</v>
      </c>
      <c r="CC8" s="5">
        <v>3</v>
      </c>
      <c r="CD8" s="5">
        <v>7</v>
      </c>
      <c r="CE8" s="5">
        <v>1</v>
      </c>
      <c r="CF8" s="5">
        <v>3</v>
      </c>
      <c r="CG8" s="5">
        <v>3</v>
      </c>
      <c r="CH8" s="5">
        <v>6</v>
      </c>
      <c r="CI8" s="5">
        <v>1</v>
      </c>
      <c r="CJ8" s="5">
        <v>3</v>
      </c>
      <c r="CK8" s="5">
        <v>6</v>
      </c>
      <c r="CL8" s="5">
        <v>6</v>
      </c>
      <c r="CM8" s="5">
        <v>1</v>
      </c>
      <c r="CN8" s="5">
        <v>5</v>
      </c>
      <c r="CO8" s="5">
        <v>1</v>
      </c>
      <c r="CP8" s="5">
        <v>1</v>
      </c>
      <c r="CQ8" s="5">
        <v>4</v>
      </c>
      <c r="CR8" s="5">
        <v>3</v>
      </c>
      <c r="CS8" s="5">
        <v>1</v>
      </c>
      <c r="CT8" s="5">
        <v>1</v>
      </c>
      <c r="CU8" s="5">
        <v>6</v>
      </c>
      <c r="CV8" s="5">
        <v>3</v>
      </c>
      <c r="CW8" s="5">
        <v>5</v>
      </c>
    </row>
    <row r="9" spans="1:101">
      <c r="A9" t="s">
        <v>11</v>
      </c>
      <c r="B9">
        <v>1</v>
      </c>
      <c r="C9" s="5">
        <v>2</v>
      </c>
      <c r="D9" s="5">
        <v>3</v>
      </c>
      <c r="E9" s="5">
        <v>4</v>
      </c>
      <c r="F9" s="5">
        <v>5</v>
      </c>
      <c r="G9" s="5">
        <v>6</v>
      </c>
      <c r="H9" s="5">
        <v>7</v>
      </c>
      <c r="I9" s="5">
        <v>8</v>
      </c>
      <c r="J9" s="5">
        <v>9</v>
      </c>
      <c r="K9" s="5">
        <v>10</v>
      </c>
      <c r="L9" s="5">
        <v>11</v>
      </c>
      <c r="M9" s="5">
        <v>12</v>
      </c>
      <c r="N9" s="5">
        <v>13</v>
      </c>
      <c r="O9" s="5">
        <v>14</v>
      </c>
      <c r="P9" s="5">
        <v>15</v>
      </c>
      <c r="Q9" s="5">
        <v>16</v>
      </c>
      <c r="R9" s="5">
        <v>17</v>
      </c>
      <c r="S9" s="5">
        <v>18</v>
      </c>
      <c r="T9" s="5">
        <v>19</v>
      </c>
      <c r="U9" s="5">
        <v>20</v>
      </c>
      <c r="V9" s="5">
        <v>21</v>
      </c>
      <c r="W9" s="5">
        <v>22</v>
      </c>
      <c r="X9" s="5">
        <v>23</v>
      </c>
      <c r="Y9" s="5">
        <v>24</v>
      </c>
      <c r="Z9" s="5">
        <v>25</v>
      </c>
      <c r="AA9" s="5">
        <v>26</v>
      </c>
      <c r="AB9" s="5">
        <v>27</v>
      </c>
      <c r="AC9" s="5">
        <v>28</v>
      </c>
      <c r="AD9" s="5">
        <v>29</v>
      </c>
      <c r="AE9" s="5">
        <v>30</v>
      </c>
      <c r="AF9" s="5">
        <v>31</v>
      </c>
      <c r="AG9" s="5">
        <v>32</v>
      </c>
      <c r="AH9" s="5">
        <v>33</v>
      </c>
      <c r="AI9" s="5">
        <v>34</v>
      </c>
      <c r="AJ9" s="5">
        <v>35</v>
      </c>
      <c r="AK9" s="5">
        <v>36</v>
      </c>
      <c r="AL9" s="5">
        <v>37</v>
      </c>
      <c r="AM9" s="5">
        <v>38</v>
      </c>
      <c r="AN9" s="5">
        <v>39</v>
      </c>
      <c r="AO9" s="5">
        <v>40</v>
      </c>
      <c r="AP9" s="5">
        <v>41</v>
      </c>
      <c r="AQ9" s="5">
        <v>42</v>
      </c>
      <c r="AR9" s="5">
        <v>43</v>
      </c>
      <c r="AS9" s="5">
        <v>44</v>
      </c>
      <c r="AT9" s="5">
        <v>45</v>
      </c>
      <c r="AU9" s="5">
        <v>46</v>
      </c>
      <c r="AV9" s="5">
        <v>47</v>
      </c>
      <c r="AW9" s="5">
        <v>48</v>
      </c>
      <c r="AX9" s="5">
        <v>49</v>
      </c>
      <c r="AY9" s="5">
        <v>50</v>
      </c>
      <c r="AZ9" s="5">
        <v>51</v>
      </c>
      <c r="BA9" s="5">
        <v>52</v>
      </c>
      <c r="BB9" s="5">
        <v>53</v>
      </c>
      <c r="BC9" s="5">
        <v>54</v>
      </c>
      <c r="BD9" s="5">
        <v>55</v>
      </c>
      <c r="BE9" s="5">
        <v>56</v>
      </c>
      <c r="BF9" s="5">
        <v>57</v>
      </c>
      <c r="BG9" s="5">
        <v>58</v>
      </c>
      <c r="BH9" s="5">
        <v>59</v>
      </c>
      <c r="BI9" s="5">
        <v>60</v>
      </c>
      <c r="BJ9" s="5">
        <v>61</v>
      </c>
      <c r="BK9" s="5">
        <v>62</v>
      </c>
      <c r="BL9" s="5">
        <v>63</v>
      </c>
      <c r="BM9" s="5">
        <v>64</v>
      </c>
      <c r="BN9" s="5">
        <v>65</v>
      </c>
      <c r="BO9" s="5">
        <v>66</v>
      </c>
      <c r="BP9" s="5">
        <v>67</v>
      </c>
      <c r="BQ9" s="5">
        <v>68</v>
      </c>
      <c r="BR9" s="5">
        <v>69</v>
      </c>
      <c r="BS9" s="5">
        <v>70</v>
      </c>
      <c r="BT9" s="5">
        <v>71</v>
      </c>
      <c r="BU9" s="5">
        <v>72</v>
      </c>
      <c r="BV9" s="5">
        <v>73</v>
      </c>
      <c r="BW9" s="5">
        <v>74</v>
      </c>
      <c r="BX9" s="5">
        <v>75</v>
      </c>
      <c r="BY9" s="5">
        <v>76</v>
      </c>
      <c r="BZ9" s="5">
        <v>77</v>
      </c>
      <c r="CA9" s="5">
        <v>78</v>
      </c>
      <c r="CB9" s="5">
        <v>79</v>
      </c>
      <c r="CC9" s="5">
        <v>80</v>
      </c>
      <c r="CD9" s="5">
        <v>81</v>
      </c>
      <c r="CE9" s="5">
        <v>82</v>
      </c>
      <c r="CF9" s="5">
        <v>83</v>
      </c>
      <c r="CG9" s="5">
        <v>84</v>
      </c>
      <c r="CH9" s="5">
        <v>85</v>
      </c>
      <c r="CI9" s="5">
        <v>86</v>
      </c>
      <c r="CJ9" s="5">
        <v>87</v>
      </c>
      <c r="CK9" s="5">
        <v>88</v>
      </c>
      <c r="CL9" s="5">
        <v>89</v>
      </c>
      <c r="CM9" s="5">
        <v>90</v>
      </c>
      <c r="CN9" s="5">
        <v>91</v>
      </c>
      <c r="CO9" s="5">
        <v>92</v>
      </c>
      <c r="CP9" s="5">
        <v>93</v>
      </c>
      <c r="CQ9" s="5">
        <v>94</v>
      </c>
      <c r="CR9" s="5">
        <v>95</v>
      </c>
      <c r="CS9" s="5">
        <v>96</v>
      </c>
      <c r="CT9" s="5">
        <v>97</v>
      </c>
      <c r="CU9" s="5">
        <v>98</v>
      </c>
      <c r="CV9" s="5">
        <v>99</v>
      </c>
      <c r="CW9" s="5">
        <v>100</v>
      </c>
    </row>
    <row r="10" spans="1:101">
      <c r="A10" s="228">
        <v>360</v>
      </c>
      <c r="B10" s="246">
        <v>1</v>
      </c>
      <c r="C10" s="247">
        <v>0.63590000000000002</v>
      </c>
      <c r="D10" s="247">
        <v>0.26150000000000001</v>
      </c>
      <c r="E10" s="247">
        <v>1.0000000000000001E-5</v>
      </c>
      <c r="F10" s="247">
        <v>0.47376000000000001</v>
      </c>
      <c r="G10" s="247">
        <v>0.13350999999999999</v>
      </c>
      <c r="H10" s="247">
        <v>4.5249999999999999E-2</v>
      </c>
      <c r="I10" s="247">
        <v>5.8299999999999998E-2</v>
      </c>
      <c r="J10" s="247">
        <v>5.8180000000000003E-2</v>
      </c>
      <c r="K10" s="247">
        <v>4.1570000000000003E-2</v>
      </c>
      <c r="L10" s="247">
        <v>0.19983000000000001</v>
      </c>
      <c r="M10" s="247">
        <v>3.9510000000000003E-2</v>
      </c>
      <c r="N10" s="247">
        <v>0.24167</v>
      </c>
      <c r="O10" s="247">
        <v>4.3369999999999999E-2</v>
      </c>
      <c r="P10" s="247">
        <v>0.34139999999999998</v>
      </c>
      <c r="Q10" s="247">
        <v>0.16991999999999999</v>
      </c>
      <c r="R10" s="247">
        <v>3.4660000000000003E-2</v>
      </c>
      <c r="S10" s="247">
        <v>3.0800000000000001E-2</v>
      </c>
      <c r="T10" s="247">
        <v>7.3099999999999998E-2</v>
      </c>
      <c r="U10" s="247">
        <v>0.1202</v>
      </c>
      <c r="V10" s="247">
        <v>2.5090000000000001E-2</v>
      </c>
      <c r="W10" s="247">
        <v>0.12356</v>
      </c>
      <c r="X10" s="247">
        <v>1.2E-4</v>
      </c>
      <c r="Y10" s="247">
        <v>0.37852999999999998</v>
      </c>
      <c r="Z10" s="247">
        <v>0.2515</v>
      </c>
      <c r="AA10" s="247">
        <v>0.10281</v>
      </c>
      <c r="AB10" s="247">
        <v>0.16880000000000001</v>
      </c>
      <c r="AC10" s="247">
        <v>6.4619999999999997E-2</v>
      </c>
      <c r="AD10" s="247">
        <v>4.58E-2</v>
      </c>
      <c r="AE10" s="247">
        <v>3.9809999999999998E-2</v>
      </c>
      <c r="AF10" s="247">
        <v>3.0429999999999999E-2</v>
      </c>
      <c r="AG10" s="247">
        <v>4.4010000000000001E-2</v>
      </c>
      <c r="AH10" s="247">
        <v>4.2900000000000001E-2</v>
      </c>
      <c r="AI10" s="247">
        <v>0.17315</v>
      </c>
      <c r="AJ10" s="247">
        <v>4.3889999999999998E-2</v>
      </c>
      <c r="AK10" s="247">
        <v>5.2449999999999997E-2</v>
      </c>
      <c r="AL10" s="247">
        <v>3.431E-2</v>
      </c>
      <c r="AM10" s="247">
        <v>5.0279999999999998E-2</v>
      </c>
      <c r="AN10" s="247">
        <v>0.11323</v>
      </c>
      <c r="AO10" s="247">
        <v>4.5659999999999999E-2</v>
      </c>
      <c r="AP10" s="247">
        <v>7.4999999999999997E-2</v>
      </c>
      <c r="AQ10" s="247">
        <v>0.4098</v>
      </c>
      <c r="AR10" s="247">
        <v>6.5979999999999997E-2</v>
      </c>
      <c r="AS10" s="247">
        <v>6.7100000000000007E-2</v>
      </c>
      <c r="AT10" s="247">
        <v>4.3900000000000002E-2</v>
      </c>
      <c r="AU10" s="247">
        <v>5.5399999999999998E-2</v>
      </c>
      <c r="AV10" s="247">
        <v>0.11260000000000001</v>
      </c>
      <c r="AW10" s="247">
        <v>0.14460000000000001</v>
      </c>
      <c r="AX10" s="247">
        <v>8.7760000000000005E-2</v>
      </c>
      <c r="AY10" s="247">
        <v>5.6999999999999998E-4</v>
      </c>
      <c r="AZ10" s="247">
        <v>7.8829999999999997E-2</v>
      </c>
      <c r="BA10" s="247">
        <v>9.9500000000000005E-2</v>
      </c>
      <c r="BB10" s="247">
        <v>5.8599999999999999E-2</v>
      </c>
      <c r="BC10" s="247">
        <v>7.7899999999999997E-2</v>
      </c>
      <c r="BD10" s="247">
        <v>0.47189999999999999</v>
      </c>
      <c r="BE10" s="247">
        <v>0.30073</v>
      </c>
      <c r="BF10" s="247">
        <v>0.23150000000000001</v>
      </c>
      <c r="BG10" s="247">
        <v>0.13469999999999999</v>
      </c>
      <c r="BH10" s="247">
        <v>0.10606</v>
      </c>
      <c r="BI10" s="247">
        <v>0.4345</v>
      </c>
      <c r="BJ10" s="247">
        <v>0.43709999999999999</v>
      </c>
      <c r="BK10" s="247">
        <v>0.28872999999999999</v>
      </c>
      <c r="BL10" s="247">
        <v>0.17008999999999999</v>
      </c>
      <c r="BM10" s="247">
        <v>2.3529999999999999E-2</v>
      </c>
      <c r="BN10" s="247">
        <v>0.22325999999999999</v>
      </c>
      <c r="BO10" s="247">
        <v>6.0200000000000002E-3</v>
      </c>
      <c r="BP10" s="247">
        <v>0.1249</v>
      </c>
      <c r="BQ10" s="247">
        <v>0.14699999999999999</v>
      </c>
      <c r="BR10" s="247">
        <v>0.22148999999999999</v>
      </c>
      <c r="BS10" s="247">
        <v>0.13225000000000001</v>
      </c>
      <c r="BT10" s="247">
        <v>0.31794</v>
      </c>
      <c r="BU10" s="247">
        <v>5.04E-2</v>
      </c>
      <c r="BV10" s="247">
        <v>0.37756000000000001</v>
      </c>
      <c r="BW10" s="247">
        <v>0.16159999999999999</v>
      </c>
      <c r="BX10" s="247">
        <v>3.388E-2</v>
      </c>
      <c r="BY10" s="247">
        <v>5.0900000000000001E-2</v>
      </c>
      <c r="BZ10" s="247">
        <v>0.28860000000000002</v>
      </c>
      <c r="CA10" s="247">
        <v>2.8049999999999999E-2</v>
      </c>
      <c r="CB10" s="247">
        <v>0.12947</v>
      </c>
      <c r="CC10" s="247">
        <v>0.56749000000000005</v>
      </c>
      <c r="CD10" s="247">
        <v>0.31684000000000001</v>
      </c>
      <c r="CE10" s="247">
        <v>0.12067</v>
      </c>
      <c r="CF10" s="247">
        <v>0.73650000000000004</v>
      </c>
      <c r="CG10" s="247">
        <v>0.59570000000000001</v>
      </c>
      <c r="CH10" s="247">
        <v>3.3750000000000002E-2</v>
      </c>
      <c r="CI10" s="247">
        <v>1.4250000000000001E-2</v>
      </c>
      <c r="CJ10" s="247">
        <v>0.50251999999999997</v>
      </c>
      <c r="CK10" s="247">
        <v>0.10613</v>
      </c>
      <c r="CL10" s="247">
        <v>0.4264</v>
      </c>
      <c r="CM10" s="247">
        <v>7.2749999999999995E-2</v>
      </c>
      <c r="CN10" s="247">
        <v>0.26169999999999999</v>
      </c>
      <c r="CO10" s="247">
        <v>2.9659999999999999E-2</v>
      </c>
      <c r="CP10" s="247">
        <v>5.2599999999999999E-3</v>
      </c>
      <c r="CQ10" s="247">
        <v>0.23077</v>
      </c>
      <c r="CR10" s="247">
        <v>6.1019999999999998E-2</v>
      </c>
      <c r="CS10" s="247">
        <v>7.3719999999999994E-2</v>
      </c>
      <c r="CT10" s="247">
        <v>0.33850999999999998</v>
      </c>
      <c r="CU10" s="247">
        <v>0.17660000000000001</v>
      </c>
      <c r="CV10" s="247">
        <v>0.31040000000000001</v>
      </c>
      <c r="CW10" s="247">
        <v>0.2092</v>
      </c>
    </row>
    <row r="11" spans="1:101">
      <c r="A11" s="228">
        <f>A10+5</f>
        <v>365</v>
      </c>
      <c r="B11" s="246">
        <v>1</v>
      </c>
      <c r="C11" s="247">
        <v>0.63590000000000002</v>
      </c>
      <c r="D11" s="247">
        <v>0.26150000000000001</v>
      </c>
      <c r="E11" s="247">
        <v>1.0000000000000001E-5</v>
      </c>
      <c r="F11" s="247">
        <v>0.47376000000000001</v>
      </c>
      <c r="G11" s="247">
        <v>0.13350999999999999</v>
      </c>
      <c r="H11" s="247">
        <v>4.5249999999999999E-2</v>
      </c>
      <c r="I11" s="247">
        <v>5.8299999999999998E-2</v>
      </c>
      <c r="J11" s="247">
        <v>5.8180000000000003E-2</v>
      </c>
      <c r="K11" s="247">
        <v>4.1570000000000003E-2</v>
      </c>
      <c r="L11" s="247">
        <v>0.19983000000000001</v>
      </c>
      <c r="M11" s="247">
        <v>3.9510000000000003E-2</v>
      </c>
      <c r="N11" s="247">
        <v>0.24167</v>
      </c>
      <c r="O11" s="247">
        <v>4.3369999999999999E-2</v>
      </c>
      <c r="P11" s="247">
        <v>0.34139999999999998</v>
      </c>
      <c r="Q11" s="247">
        <v>0.16991999999999999</v>
      </c>
      <c r="R11" s="247">
        <v>3.4660000000000003E-2</v>
      </c>
      <c r="S11" s="247">
        <v>3.0800000000000001E-2</v>
      </c>
      <c r="T11" s="247">
        <v>7.3099999999999998E-2</v>
      </c>
      <c r="U11" s="247">
        <v>0.1202</v>
      </c>
      <c r="V11" s="247">
        <v>2.5090000000000001E-2</v>
      </c>
      <c r="W11" s="247">
        <v>0.12356</v>
      </c>
      <c r="X11" s="247">
        <v>1.2E-4</v>
      </c>
      <c r="Y11" s="247">
        <v>0.37852999999999998</v>
      </c>
      <c r="Z11" s="247">
        <v>0.2515</v>
      </c>
      <c r="AA11" s="247">
        <v>0.10281</v>
      </c>
      <c r="AB11" s="247">
        <v>0.16880000000000001</v>
      </c>
      <c r="AC11" s="247">
        <v>6.4619999999999997E-2</v>
      </c>
      <c r="AD11" s="247">
        <v>4.58E-2</v>
      </c>
      <c r="AE11" s="247">
        <v>3.9809999999999998E-2</v>
      </c>
      <c r="AF11" s="247">
        <v>3.0429999999999999E-2</v>
      </c>
      <c r="AG11" s="247">
        <v>4.4010000000000001E-2</v>
      </c>
      <c r="AH11" s="247">
        <v>4.2900000000000001E-2</v>
      </c>
      <c r="AI11" s="247">
        <v>0.17315</v>
      </c>
      <c r="AJ11" s="247">
        <v>4.3889999999999998E-2</v>
      </c>
      <c r="AK11" s="247">
        <v>5.2449999999999997E-2</v>
      </c>
      <c r="AL11" s="247">
        <v>3.431E-2</v>
      </c>
      <c r="AM11" s="247">
        <v>5.0279999999999998E-2</v>
      </c>
      <c r="AN11" s="247">
        <v>0.11323</v>
      </c>
      <c r="AO11" s="247">
        <v>4.5659999999999999E-2</v>
      </c>
      <c r="AP11" s="247">
        <v>7.4999999999999997E-2</v>
      </c>
      <c r="AQ11" s="247">
        <v>0.4098</v>
      </c>
      <c r="AR11" s="247">
        <v>6.5979999999999997E-2</v>
      </c>
      <c r="AS11" s="247">
        <v>6.7100000000000007E-2</v>
      </c>
      <c r="AT11" s="247">
        <v>4.3900000000000002E-2</v>
      </c>
      <c r="AU11" s="247">
        <v>5.5399999999999998E-2</v>
      </c>
      <c r="AV11" s="247">
        <v>0.11260000000000001</v>
      </c>
      <c r="AW11" s="247">
        <v>0.14460000000000001</v>
      </c>
      <c r="AX11" s="247">
        <v>8.7760000000000005E-2</v>
      </c>
      <c r="AY11" s="247">
        <v>5.6999999999999998E-4</v>
      </c>
      <c r="AZ11" s="247">
        <v>7.8829999999999997E-2</v>
      </c>
      <c r="BA11" s="247">
        <v>9.9500000000000005E-2</v>
      </c>
      <c r="BB11" s="247">
        <v>5.8599999999999999E-2</v>
      </c>
      <c r="BC11" s="247">
        <v>7.7899999999999997E-2</v>
      </c>
      <c r="BD11" s="247">
        <v>0.47189999999999999</v>
      </c>
      <c r="BE11" s="247">
        <v>0.30073</v>
      </c>
      <c r="BF11" s="247">
        <v>0.23150000000000001</v>
      </c>
      <c r="BG11" s="247">
        <v>0.13469999999999999</v>
      </c>
      <c r="BH11" s="247">
        <v>0.10606</v>
      </c>
      <c r="BI11" s="247">
        <v>0.4345</v>
      </c>
      <c r="BJ11" s="247">
        <v>0.43709999999999999</v>
      </c>
      <c r="BK11" s="247">
        <v>0.28872999999999999</v>
      </c>
      <c r="BL11" s="247">
        <v>0.17008999999999999</v>
      </c>
      <c r="BM11" s="247">
        <v>2.3529999999999999E-2</v>
      </c>
      <c r="BN11" s="247">
        <v>0.22325999999999999</v>
      </c>
      <c r="BO11" s="247">
        <v>6.0200000000000002E-3</v>
      </c>
      <c r="BP11" s="247">
        <v>0.1249</v>
      </c>
      <c r="BQ11" s="247">
        <v>0.14699999999999999</v>
      </c>
      <c r="BR11" s="247">
        <v>0.22148999999999999</v>
      </c>
      <c r="BS11" s="247">
        <v>0.13225000000000001</v>
      </c>
      <c r="BT11" s="247">
        <v>0.31794</v>
      </c>
      <c r="BU11" s="247">
        <v>5.04E-2</v>
      </c>
      <c r="BV11" s="247">
        <v>0.37756000000000001</v>
      </c>
      <c r="BW11" s="247">
        <v>0.16159999999999999</v>
      </c>
      <c r="BX11" s="247">
        <v>3.388E-2</v>
      </c>
      <c r="BY11" s="247">
        <v>5.0900000000000001E-2</v>
      </c>
      <c r="BZ11" s="247">
        <v>0.28860000000000002</v>
      </c>
      <c r="CA11" s="247">
        <v>2.8049999999999999E-2</v>
      </c>
      <c r="CB11" s="247">
        <v>0.12947</v>
      </c>
      <c r="CC11" s="247">
        <v>0.56749000000000005</v>
      </c>
      <c r="CD11" s="247">
        <v>0.31684000000000001</v>
      </c>
      <c r="CE11" s="247">
        <v>0.12067</v>
      </c>
      <c r="CF11" s="247">
        <v>0.73650000000000004</v>
      </c>
      <c r="CG11" s="247">
        <v>0.59570000000000001</v>
      </c>
      <c r="CH11" s="247">
        <v>3.3750000000000002E-2</v>
      </c>
      <c r="CI11" s="247">
        <v>1.4250000000000001E-2</v>
      </c>
      <c r="CJ11" s="247">
        <v>0.50251999999999997</v>
      </c>
      <c r="CK11" s="247">
        <v>0.10613</v>
      </c>
      <c r="CL11" s="247">
        <v>0.4264</v>
      </c>
      <c r="CM11" s="247">
        <v>7.2749999999999995E-2</v>
      </c>
      <c r="CN11" s="247">
        <v>0.26169999999999999</v>
      </c>
      <c r="CO11" s="247">
        <v>2.9659999999999999E-2</v>
      </c>
      <c r="CP11" s="247">
        <v>5.2599999999999999E-3</v>
      </c>
      <c r="CQ11" s="247">
        <v>0.23077</v>
      </c>
      <c r="CR11" s="247">
        <v>6.1019999999999998E-2</v>
      </c>
      <c r="CS11" s="247">
        <v>7.3719999999999994E-2</v>
      </c>
      <c r="CT11" s="247">
        <v>0.33850999999999998</v>
      </c>
      <c r="CU11" s="247">
        <v>0.17660000000000001</v>
      </c>
      <c r="CV11" s="247">
        <v>0.31040000000000001</v>
      </c>
      <c r="CW11" s="247">
        <v>0.2092</v>
      </c>
    </row>
    <row r="12" spans="1:101">
      <c r="A12" s="228">
        <f t="shared" ref="A12:A13" si="0">A11+5</f>
        <v>370</v>
      </c>
      <c r="B12" s="246">
        <v>1</v>
      </c>
      <c r="C12" s="247">
        <v>0.63590000000000002</v>
      </c>
      <c r="D12" s="247">
        <v>0.26150000000000001</v>
      </c>
      <c r="E12" s="247">
        <v>1.0000000000000001E-5</v>
      </c>
      <c r="F12" s="247">
        <v>0.47376000000000001</v>
      </c>
      <c r="G12" s="247">
        <v>0.13350999999999999</v>
      </c>
      <c r="H12" s="247">
        <v>4.5249999999999999E-2</v>
      </c>
      <c r="I12" s="247">
        <v>5.8299999999999998E-2</v>
      </c>
      <c r="J12" s="247">
        <v>5.8180000000000003E-2</v>
      </c>
      <c r="K12" s="247">
        <v>4.1570000000000003E-2</v>
      </c>
      <c r="L12" s="247">
        <v>0.19983000000000001</v>
      </c>
      <c r="M12" s="247">
        <v>3.9510000000000003E-2</v>
      </c>
      <c r="N12" s="247">
        <v>0.24167</v>
      </c>
      <c r="O12" s="247">
        <v>4.3369999999999999E-2</v>
      </c>
      <c r="P12" s="247">
        <v>0.34139999999999998</v>
      </c>
      <c r="Q12" s="247">
        <v>0.16991999999999999</v>
      </c>
      <c r="R12" s="247">
        <v>3.4660000000000003E-2</v>
      </c>
      <c r="S12" s="247">
        <v>3.0800000000000001E-2</v>
      </c>
      <c r="T12" s="247">
        <v>7.3099999999999998E-2</v>
      </c>
      <c r="U12" s="247">
        <v>0.1202</v>
      </c>
      <c r="V12" s="247">
        <v>2.5090000000000001E-2</v>
      </c>
      <c r="W12" s="247">
        <v>0.12356</v>
      </c>
      <c r="X12" s="247">
        <v>1.2E-4</v>
      </c>
      <c r="Y12" s="247">
        <v>0.37852999999999998</v>
      </c>
      <c r="Z12" s="247">
        <v>0.2515</v>
      </c>
      <c r="AA12" s="247">
        <v>0.10281</v>
      </c>
      <c r="AB12" s="247">
        <v>0.16880000000000001</v>
      </c>
      <c r="AC12" s="247">
        <v>6.4619999999999997E-2</v>
      </c>
      <c r="AD12" s="247">
        <v>4.58E-2</v>
      </c>
      <c r="AE12" s="247">
        <v>3.9809999999999998E-2</v>
      </c>
      <c r="AF12" s="247">
        <v>3.0429999999999999E-2</v>
      </c>
      <c r="AG12" s="247">
        <v>4.4010000000000001E-2</v>
      </c>
      <c r="AH12" s="247">
        <v>4.2900000000000001E-2</v>
      </c>
      <c r="AI12" s="247">
        <v>0.17315</v>
      </c>
      <c r="AJ12" s="247">
        <v>4.3889999999999998E-2</v>
      </c>
      <c r="AK12" s="247">
        <v>5.2449999999999997E-2</v>
      </c>
      <c r="AL12" s="247">
        <v>3.431E-2</v>
      </c>
      <c r="AM12" s="247">
        <v>5.0279999999999998E-2</v>
      </c>
      <c r="AN12" s="247">
        <v>0.11323</v>
      </c>
      <c r="AO12" s="247">
        <v>4.5659999999999999E-2</v>
      </c>
      <c r="AP12" s="247">
        <v>7.4999999999999997E-2</v>
      </c>
      <c r="AQ12" s="247">
        <v>0.4098</v>
      </c>
      <c r="AR12" s="247">
        <v>6.5979999999999997E-2</v>
      </c>
      <c r="AS12" s="247">
        <v>6.7100000000000007E-2</v>
      </c>
      <c r="AT12" s="247">
        <v>4.3900000000000002E-2</v>
      </c>
      <c r="AU12" s="247">
        <v>5.5399999999999998E-2</v>
      </c>
      <c r="AV12" s="247">
        <v>0.11260000000000001</v>
      </c>
      <c r="AW12" s="247">
        <v>0.14460000000000001</v>
      </c>
      <c r="AX12" s="247">
        <v>8.7760000000000005E-2</v>
      </c>
      <c r="AY12" s="247">
        <v>5.6999999999999998E-4</v>
      </c>
      <c r="AZ12" s="247">
        <v>7.8829999999999997E-2</v>
      </c>
      <c r="BA12" s="247">
        <v>9.9500000000000005E-2</v>
      </c>
      <c r="BB12" s="247">
        <v>5.8599999999999999E-2</v>
      </c>
      <c r="BC12" s="247">
        <v>7.7899999999999997E-2</v>
      </c>
      <c r="BD12" s="247">
        <v>0.47189999999999999</v>
      </c>
      <c r="BE12" s="247">
        <v>0.30073</v>
      </c>
      <c r="BF12" s="247">
        <v>0.23150000000000001</v>
      </c>
      <c r="BG12" s="247">
        <v>0.13469999999999999</v>
      </c>
      <c r="BH12" s="247">
        <v>0.10606</v>
      </c>
      <c r="BI12" s="247">
        <v>0.4345</v>
      </c>
      <c r="BJ12" s="247">
        <v>0.43709999999999999</v>
      </c>
      <c r="BK12" s="247">
        <v>0.28872999999999999</v>
      </c>
      <c r="BL12" s="247">
        <v>0.17008999999999999</v>
      </c>
      <c r="BM12" s="247">
        <v>2.3529999999999999E-2</v>
      </c>
      <c r="BN12" s="247">
        <v>0.22325999999999999</v>
      </c>
      <c r="BO12" s="247">
        <v>6.0200000000000002E-3</v>
      </c>
      <c r="BP12" s="247">
        <v>0.1249</v>
      </c>
      <c r="BQ12" s="247">
        <v>0.14699999999999999</v>
      </c>
      <c r="BR12" s="247">
        <v>0.22148999999999999</v>
      </c>
      <c r="BS12" s="247">
        <v>0.13225000000000001</v>
      </c>
      <c r="BT12" s="247">
        <v>0.31794</v>
      </c>
      <c r="BU12" s="247">
        <v>5.04E-2</v>
      </c>
      <c r="BV12" s="247">
        <v>0.37756000000000001</v>
      </c>
      <c r="BW12" s="247">
        <v>0.16159999999999999</v>
      </c>
      <c r="BX12" s="247">
        <v>3.388E-2</v>
      </c>
      <c r="BY12" s="247">
        <v>5.0900000000000001E-2</v>
      </c>
      <c r="BZ12" s="247">
        <v>0.28860000000000002</v>
      </c>
      <c r="CA12" s="247">
        <v>2.8049999999999999E-2</v>
      </c>
      <c r="CB12" s="247">
        <v>0.12947</v>
      </c>
      <c r="CC12" s="247">
        <v>0.56749000000000005</v>
      </c>
      <c r="CD12" s="247">
        <v>0.31684000000000001</v>
      </c>
      <c r="CE12" s="247">
        <v>0.12067</v>
      </c>
      <c r="CF12" s="247">
        <v>0.73650000000000004</v>
      </c>
      <c r="CG12" s="247">
        <v>0.59570000000000001</v>
      </c>
      <c r="CH12" s="247">
        <v>3.3750000000000002E-2</v>
      </c>
      <c r="CI12" s="247">
        <v>1.4250000000000001E-2</v>
      </c>
      <c r="CJ12" s="247">
        <v>0.50251999999999997</v>
      </c>
      <c r="CK12" s="247">
        <v>0.10613</v>
      </c>
      <c r="CL12" s="247">
        <v>0.4264</v>
      </c>
      <c r="CM12" s="247">
        <v>7.2749999999999995E-2</v>
      </c>
      <c r="CN12" s="247">
        <v>0.26169999999999999</v>
      </c>
      <c r="CO12" s="247">
        <v>2.9659999999999999E-2</v>
      </c>
      <c r="CP12" s="247">
        <v>5.2599999999999999E-3</v>
      </c>
      <c r="CQ12" s="247">
        <v>0.23077</v>
      </c>
      <c r="CR12" s="247">
        <v>6.1019999999999998E-2</v>
      </c>
      <c r="CS12" s="247">
        <v>7.3719999999999994E-2</v>
      </c>
      <c r="CT12" s="247">
        <v>0.33850999999999998</v>
      </c>
      <c r="CU12" s="247">
        <v>0.17660000000000001</v>
      </c>
      <c r="CV12" s="247">
        <v>0.31040000000000001</v>
      </c>
      <c r="CW12" s="247">
        <v>0.2092</v>
      </c>
    </row>
    <row r="13" spans="1:101">
      <c r="A13" s="228">
        <f t="shared" si="0"/>
        <v>375</v>
      </c>
      <c r="B13" s="246">
        <v>1</v>
      </c>
      <c r="C13" s="247">
        <v>0.63590000000000002</v>
      </c>
      <c r="D13" s="247">
        <v>0.26150000000000001</v>
      </c>
      <c r="E13" s="247">
        <v>1.0000000000000001E-5</v>
      </c>
      <c r="F13" s="247">
        <v>0.47376000000000001</v>
      </c>
      <c r="G13" s="247">
        <v>0.13350999999999999</v>
      </c>
      <c r="H13" s="247">
        <v>4.5249999999999999E-2</v>
      </c>
      <c r="I13" s="247">
        <v>5.8299999999999998E-2</v>
      </c>
      <c r="J13" s="247">
        <v>5.8180000000000003E-2</v>
      </c>
      <c r="K13" s="247">
        <v>4.1570000000000003E-2</v>
      </c>
      <c r="L13" s="247">
        <v>0.19983000000000001</v>
      </c>
      <c r="M13" s="247">
        <v>3.9510000000000003E-2</v>
      </c>
      <c r="N13" s="247">
        <v>0.24167</v>
      </c>
      <c r="O13" s="247">
        <v>4.3369999999999999E-2</v>
      </c>
      <c r="P13" s="247">
        <v>0.34139999999999998</v>
      </c>
      <c r="Q13" s="247">
        <v>0.16991999999999999</v>
      </c>
      <c r="R13" s="247">
        <v>3.4660000000000003E-2</v>
      </c>
      <c r="S13" s="247">
        <v>3.0800000000000001E-2</v>
      </c>
      <c r="T13" s="247">
        <v>7.3099999999999998E-2</v>
      </c>
      <c r="U13" s="247">
        <v>0.1202</v>
      </c>
      <c r="V13" s="247">
        <v>2.5090000000000001E-2</v>
      </c>
      <c r="W13" s="247">
        <v>0.12356</v>
      </c>
      <c r="X13" s="247">
        <v>1.2E-4</v>
      </c>
      <c r="Y13" s="247">
        <v>0.37852999999999998</v>
      </c>
      <c r="Z13" s="247">
        <v>0.2515</v>
      </c>
      <c r="AA13" s="247">
        <v>0.10281</v>
      </c>
      <c r="AB13" s="247">
        <v>0.16880000000000001</v>
      </c>
      <c r="AC13" s="247">
        <v>6.4619999999999997E-2</v>
      </c>
      <c r="AD13" s="247">
        <v>4.58E-2</v>
      </c>
      <c r="AE13" s="247">
        <v>3.9809999999999998E-2</v>
      </c>
      <c r="AF13" s="247">
        <v>3.0429999999999999E-2</v>
      </c>
      <c r="AG13" s="247">
        <v>4.4010000000000001E-2</v>
      </c>
      <c r="AH13" s="247">
        <v>4.2900000000000001E-2</v>
      </c>
      <c r="AI13" s="247">
        <v>0.17315</v>
      </c>
      <c r="AJ13" s="247">
        <v>4.3889999999999998E-2</v>
      </c>
      <c r="AK13" s="247">
        <v>5.2449999999999997E-2</v>
      </c>
      <c r="AL13" s="247">
        <v>3.431E-2</v>
      </c>
      <c r="AM13" s="247">
        <v>5.0279999999999998E-2</v>
      </c>
      <c r="AN13" s="247">
        <v>0.11323</v>
      </c>
      <c r="AO13" s="247">
        <v>4.5659999999999999E-2</v>
      </c>
      <c r="AP13" s="247">
        <v>7.4999999999999997E-2</v>
      </c>
      <c r="AQ13" s="247">
        <v>0.4098</v>
      </c>
      <c r="AR13" s="247">
        <v>6.5979999999999997E-2</v>
      </c>
      <c r="AS13" s="247">
        <v>6.7100000000000007E-2</v>
      </c>
      <c r="AT13" s="247">
        <v>4.3900000000000002E-2</v>
      </c>
      <c r="AU13" s="247">
        <v>5.5399999999999998E-2</v>
      </c>
      <c r="AV13" s="247">
        <v>0.11260000000000001</v>
      </c>
      <c r="AW13" s="247">
        <v>0.14460000000000001</v>
      </c>
      <c r="AX13" s="247">
        <v>8.7760000000000005E-2</v>
      </c>
      <c r="AY13" s="247">
        <v>5.6999999999999998E-4</v>
      </c>
      <c r="AZ13" s="247">
        <v>7.8829999999999997E-2</v>
      </c>
      <c r="BA13" s="247">
        <v>9.9500000000000005E-2</v>
      </c>
      <c r="BB13" s="247">
        <v>5.8599999999999999E-2</v>
      </c>
      <c r="BC13" s="247">
        <v>7.7899999999999997E-2</v>
      </c>
      <c r="BD13" s="247">
        <v>0.47189999999999999</v>
      </c>
      <c r="BE13" s="247">
        <v>0.30073</v>
      </c>
      <c r="BF13" s="247">
        <v>0.23150000000000001</v>
      </c>
      <c r="BG13" s="247">
        <v>0.13469999999999999</v>
      </c>
      <c r="BH13" s="247">
        <v>0.10606</v>
      </c>
      <c r="BI13" s="247">
        <v>0.4345</v>
      </c>
      <c r="BJ13" s="247">
        <v>0.43709999999999999</v>
      </c>
      <c r="BK13" s="247">
        <v>0.28872999999999999</v>
      </c>
      <c r="BL13" s="247">
        <v>0.17008999999999999</v>
      </c>
      <c r="BM13" s="247">
        <v>2.3529999999999999E-2</v>
      </c>
      <c r="BN13" s="247">
        <v>0.22325999999999999</v>
      </c>
      <c r="BO13" s="247">
        <v>6.0200000000000002E-3</v>
      </c>
      <c r="BP13" s="247">
        <v>0.1249</v>
      </c>
      <c r="BQ13" s="247">
        <v>0.14699999999999999</v>
      </c>
      <c r="BR13" s="247">
        <v>0.22148999999999999</v>
      </c>
      <c r="BS13" s="247">
        <v>0.13225000000000001</v>
      </c>
      <c r="BT13" s="247">
        <v>0.31794</v>
      </c>
      <c r="BU13" s="247">
        <v>5.04E-2</v>
      </c>
      <c r="BV13" s="247">
        <v>0.37756000000000001</v>
      </c>
      <c r="BW13" s="247">
        <v>0.16159999999999999</v>
      </c>
      <c r="BX13" s="247">
        <v>3.388E-2</v>
      </c>
      <c r="BY13" s="247">
        <v>5.0900000000000001E-2</v>
      </c>
      <c r="BZ13" s="247">
        <v>0.28860000000000002</v>
      </c>
      <c r="CA13" s="247">
        <v>2.8049999999999999E-2</v>
      </c>
      <c r="CB13" s="247">
        <v>0.12947</v>
      </c>
      <c r="CC13" s="247">
        <v>0.56749000000000005</v>
      </c>
      <c r="CD13" s="247">
        <v>0.31684000000000001</v>
      </c>
      <c r="CE13" s="247">
        <v>0.12067</v>
      </c>
      <c r="CF13" s="247">
        <v>0.73650000000000004</v>
      </c>
      <c r="CG13" s="247">
        <v>0.59570000000000001</v>
      </c>
      <c r="CH13" s="247">
        <v>3.3750000000000002E-2</v>
      </c>
      <c r="CI13" s="247">
        <v>1.4250000000000001E-2</v>
      </c>
      <c r="CJ13" s="247">
        <v>0.50251999999999997</v>
      </c>
      <c r="CK13" s="247">
        <v>0.10613</v>
      </c>
      <c r="CL13" s="247">
        <v>0.4264</v>
      </c>
      <c r="CM13" s="247">
        <v>7.2749999999999995E-2</v>
      </c>
      <c r="CN13" s="247">
        <v>0.26169999999999999</v>
      </c>
      <c r="CO13" s="247">
        <v>2.9659999999999999E-2</v>
      </c>
      <c r="CP13" s="247">
        <v>5.2599999999999999E-3</v>
      </c>
      <c r="CQ13" s="247">
        <v>0.23077</v>
      </c>
      <c r="CR13" s="247">
        <v>6.1019999999999998E-2</v>
      </c>
      <c r="CS13" s="247">
        <v>7.3719999999999994E-2</v>
      </c>
      <c r="CT13" s="247">
        <v>0.33850999999999998</v>
      </c>
      <c r="CU13" s="247">
        <v>0.17660000000000001</v>
      </c>
      <c r="CV13" s="247">
        <v>0.31040000000000001</v>
      </c>
      <c r="CW13" s="247">
        <v>0.2092</v>
      </c>
    </row>
    <row r="14" spans="1:101">
      <c r="A14" s="171">
        <v>380</v>
      </c>
      <c r="B14" s="171">
        <v>1</v>
      </c>
      <c r="C14" s="172">
        <v>0.63590000000000002</v>
      </c>
      <c r="D14" s="172">
        <v>0.26150000000000001</v>
      </c>
      <c r="E14" s="172">
        <v>1.0000000000000001E-5</v>
      </c>
      <c r="F14" s="172">
        <v>0.47376000000000001</v>
      </c>
      <c r="G14" s="172">
        <v>0.13350999999999999</v>
      </c>
      <c r="H14" s="172">
        <v>4.5249999999999999E-2</v>
      </c>
      <c r="I14" s="172">
        <v>5.8299999999999998E-2</v>
      </c>
      <c r="J14" s="172">
        <v>5.8180000000000003E-2</v>
      </c>
      <c r="K14" s="172">
        <v>4.1570000000000003E-2</v>
      </c>
      <c r="L14" s="172">
        <v>0.19983000000000001</v>
      </c>
      <c r="M14" s="172">
        <v>3.9510000000000003E-2</v>
      </c>
      <c r="N14" s="172">
        <v>0.24167</v>
      </c>
      <c r="O14" s="172">
        <v>4.3369999999999999E-2</v>
      </c>
      <c r="P14" s="172">
        <v>0.34139999999999998</v>
      </c>
      <c r="Q14" s="172">
        <v>0.16991999999999999</v>
      </c>
      <c r="R14" s="172">
        <v>3.4660000000000003E-2</v>
      </c>
      <c r="S14" s="172">
        <v>3.0800000000000001E-2</v>
      </c>
      <c r="T14" s="172">
        <v>7.3099999999999998E-2</v>
      </c>
      <c r="U14" s="172">
        <v>0.1202</v>
      </c>
      <c r="V14" s="172">
        <v>2.5090000000000001E-2</v>
      </c>
      <c r="W14" s="172">
        <v>0.12356</v>
      </c>
      <c r="X14" s="172">
        <v>1.2E-4</v>
      </c>
      <c r="Y14" s="172">
        <v>0.37852999999999998</v>
      </c>
      <c r="Z14" s="172">
        <v>0.2515</v>
      </c>
      <c r="AA14" s="172">
        <v>0.10281</v>
      </c>
      <c r="AB14" s="172">
        <v>0.16880000000000001</v>
      </c>
      <c r="AC14" s="172">
        <v>6.4619999999999997E-2</v>
      </c>
      <c r="AD14" s="172">
        <v>4.58E-2</v>
      </c>
      <c r="AE14" s="172">
        <v>3.9809999999999998E-2</v>
      </c>
      <c r="AF14" s="172">
        <v>3.0429999999999999E-2</v>
      </c>
      <c r="AG14" s="172">
        <v>4.4010000000000001E-2</v>
      </c>
      <c r="AH14" s="172">
        <v>4.2900000000000001E-2</v>
      </c>
      <c r="AI14" s="172">
        <v>0.17315</v>
      </c>
      <c r="AJ14" s="172">
        <v>4.3889999999999998E-2</v>
      </c>
      <c r="AK14" s="172">
        <v>5.2449999999999997E-2</v>
      </c>
      <c r="AL14" s="172">
        <v>3.431E-2</v>
      </c>
      <c r="AM14" s="172">
        <v>5.0279999999999998E-2</v>
      </c>
      <c r="AN14" s="172">
        <v>0.11323</v>
      </c>
      <c r="AO14" s="172">
        <v>4.5659999999999999E-2</v>
      </c>
      <c r="AP14" s="172">
        <v>7.4999999999999997E-2</v>
      </c>
      <c r="AQ14" s="172">
        <v>0.4098</v>
      </c>
      <c r="AR14" s="172">
        <v>6.5979999999999997E-2</v>
      </c>
      <c r="AS14" s="172">
        <v>6.7100000000000007E-2</v>
      </c>
      <c r="AT14" s="172">
        <v>4.3900000000000002E-2</v>
      </c>
      <c r="AU14" s="172">
        <v>5.5399999999999998E-2</v>
      </c>
      <c r="AV14" s="172">
        <v>0.11260000000000001</v>
      </c>
      <c r="AW14" s="172">
        <v>0.14460000000000001</v>
      </c>
      <c r="AX14" s="172">
        <v>8.7760000000000005E-2</v>
      </c>
      <c r="AY14" s="172">
        <v>5.6999999999999998E-4</v>
      </c>
      <c r="AZ14" s="172">
        <v>7.8829999999999997E-2</v>
      </c>
      <c r="BA14" s="172">
        <v>9.9500000000000005E-2</v>
      </c>
      <c r="BB14" s="172">
        <v>5.8599999999999999E-2</v>
      </c>
      <c r="BC14" s="172">
        <v>7.7899999999999997E-2</v>
      </c>
      <c r="BD14" s="172">
        <v>0.47189999999999999</v>
      </c>
      <c r="BE14" s="172">
        <v>0.30073</v>
      </c>
      <c r="BF14" s="172">
        <v>0.23150000000000001</v>
      </c>
      <c r="BG14" s="172">
        <v>0.13469999999999999</v>
      </c>
      <c r="BH14" s="172">
        <v>0.10606</v>
      </c>
      <c r="BI14" s="172">
        <v>0.4345</v>
      </c>
      <c r="BJ14" s="172">
        <v>0.43709999999999999</v>
      </c>
      <c r="BK14" s="172">
        <v>0.28872999999999999</v>
      </c>
      <c r="BL14" s="172">
        <v>0.17008999999999999</v>
      </c>
      <c r="BM14" s="172">
        <v>2.3529999999999999E-2</v>
      </c>
      <c r="BN14" s="172">
        <v>0.22325999999999999</v>
      </c>
      <c r="BO14" s="172">
        <v>6.0200000000000002E-3</v>
      </c>
      <c r="BP14" s="172">
        <v>0.1249</v>
      </c>
      <c r="BQ14" s="172">
        <v>0.14699999999999999</v>
      </c>
      <c r="BR14" s="172">
        <v>0.22148999999999999</v>
      </c>
      <c r="BS14" s="172">
        <v>0.13225000000000001</v>
      </c>
      <c r="BT14" s="172">
        <v>0.31794</v>
      </c>
      <c r="BU14" s="172">
        <v>5.04E-2</v>
      </c>
      <c r="BV14" s="172">
        <v>0.37756000000000001</v>
      </c>
      <c r="BW14" s="172">
        <v>0.16159999999999999</v>
      </c>
      <c r="BX14" s="172">
        <v>3.388E-2</v>
      </c>
      <c r="BY14" s="172">
        <v>5.0900000000000001E-2</v>
      </c>
      <c r="BZ14" s="172">
        <v>0.28860000000000002</v>
      </c>
      <c r="CA14" s="172">
        <v>2.8049999999999999E-2</v>
      </c>
      <c r="CB14" s="172">
        <v>0.12947</v>
      </c>
      <c r="CC14" s="172">
        <v>0.56749000000000005</v>
      </c>
      <c r="CD14" s="172">
        <v>0.31684000000000001</v>
      </c>
      <c r="CE14" s="172">
        <v>0.12067</v>
      </c>
      <c r="CF14" s="172">
        <v>0.73650000000000004</v>
      </c>
      <c r="CG14" s="172">
        <v>0.59570000000000001</v>
      </c>
      <c r="CH14" s="172">
        <v>3.3750000000000002E-2</v>
      </c>
      <c r="CI14" s="172">
        <v>1.4250000000000001E-2</v>
      </c>
      <c r="CJ14" s="172">
        <v>0.50251999999999997</v>
      </c>
      <c r="CK14" s="172">
        <v>0.10613</v>
      </c>
      <c r="CL14" s="172">
        <v>0.4264</v>
      </c>
      <c r="CM14" s="172">
        <v>7.2749999999999995E-2</v>
      </c>
      <c r="CN14" s="172">
        <v>0.26169999999999999</v>
      </c>
      <c r="CO14" s="172">
        <v>2.9659999999999999E-2</v>
      </c>
      <c r="CP14" s="172">
        <v>5.2599999999999999E-3</v>
      </c>
      <c r="CQ14" s="172">
        <v>0.23077</v>
      </c>
      <c r="CR14" s="172">
        <v>6.1019999999999998E-2</v>
      </c>
      <c r="CS14" s="172">
        <v>7.3719999999999994E-2</v>
      </c>
      <c r="CT14" s="172">
        <v>0.33850999999999998</v>
      </c>
      <c r="CU14" s="172">
        <v>0.17660000000000001</v>
      </c>
      <c r="CV14" s="172">
        <v>0.31040000000000001</v>
      </c>
      <c r="CW14" s="172">
        <v>0.2092</v>
      </c>
    </row>
    <row r="15" spans="1:101">
      <c r="A15" s="171">
        <f t="shared" ref="A15:A78" si="1">A14+5</f>
        <v>385</v>
      </c>
      <c r="B15" s="171">
        <v>1</v>
      </c>
      <c r="C15" s="172">
        <v>0.63590000000000002</v>
      </c>
      <c r="D15" s="172">
        <v>0.26150000000000001</v>
      </c>
      <c r="E15" s="172">
        <v>6.6299999999999996E-3</v>
      </c>
      <c r="F15" s="172">
        <v>0.47793000000000002</v>
      </c>
      <c r="G15" s="172">
        <v>0.13539999999999999</v>
      </c>
      <c r="H15" s="172">
        <v>5.3370000000000001E-2</v>
      </c>
      <c r="I15" s="172">
        <v>5.8299999999999998E-2</v>
      </c>
      <c r="J15" s="172">
        <v>5.9610000000000003E-2</v>
      </c>
      <c r="K15" s="172">
        <v>4.172E-2</v>
      </c>
      <c r="L15" s="172">
        <v>0.19983000000000001</v>
      </c>
      <c r="M15" s="172">
        <v>4.4490000000000002E-2</v>
      </c>
      <c r="N15" s="172">
        <v>0.21622</v>
      </c>
      <c r="O15" s="172">
        <v>4.333E-2</v>
      </c>
      <c r="P15" s="172">
        <v>0.34139999999999998</v>
      </c>
      <c r="Q15" s="172">
        <v>0.17294999999999999</v>
      </c>
      <c r="R15" s="172">
        <v>3.5369999999999999E-2</v>
      </c>
      <c r="S15" s="172">
        <v>3.3099999999999997E-2</v>
      </c>
      <c r="T15" s="172">
        <v>7.3099999999999998E-2</v>
      </c>
      <c r="U15" s="172">
        <v>0.1202</v>
      </c>
      <c r="V15" s="172">
        <v>2.7009999999999999E-2</v>
      </c>
      <c r="W15" s="172">
        <v>0.13070999999999999</v>
      </c>
      <c r="X15" s="172">
        <v>1.0619999999999999E-2</v>
      </c>
      <c r="Y15" s="172">
        <v>0.40061000000000002</v>
      </c>
      <c r="Z15" s="172">
        <v>0.2515</v>
      </c>
      <c r="AA15" s="172">
        <v>9.2920000000000003E-2</v>
      </c>
      <c r="AB15" s="172">
        <v>0.16880000000000001</v>
      </c>
      <c r="AC15" s="172">
        <v>6.5000000000000002E-2</v>
      </c>
      <c r="AD15" s="172">
        <v>4.4889999999999999E-2</v>
      </c>
      <c r="AE15" s="172">
        <v>4.1549999999999997E-2</v>
      </c>
      <c r="AF15" s="172">
        <v>3.1980000000000001E-2</v>
      </c>
      <c r="AG15" s="172">
        <v>4.3729999999999998E-2</v>
      </c>
      <c r="AH15" s="172">
        <v>4.2900000000000001E-2</v>
      </c>
      <c r="AI15" s="172">
        <v>0.17954999999999999</v>
      </c>
      <c r="AJ15" s="172">
        <v>4.3889999999999998E-2</v>
      </c>
      <c r="AK15" s="172">
        <v>5.2449999999999997E-2</v>
      </c>
      <c r="AL15" s="172">
        <v>3.7069999999999999E-2</v>
      </c>
      <c r="AM15" s="172">
        <v>5.0229999999999997E-2</v>
      </c>
      <c r="AN15" s="172">
        <v>0.11525000000000001</v>
      </c>
      <c r="AO15" s="172">
        <v>4.573E-2</v>
      </c>
      <c r="AP15" s="172">
        <v>7.5020000000000003E-2</v>
      </c>
      <c r="AQ15" s="172">
        <v>0.4098</v>
      </c>
      <c r="AR15" s="172">
        <v>6.5369999999999998E-2</v>
      </c>
      <c r="AS15" s="172">
        <v>6.7100000000000007E-2</v>
      </c>
      <c r="AT15" s="172">
        <v>4.3900000000000002E-2</v>
      </c>
      <c r="AU15" s="172">
        <v>5.5190000000000003E-2</v>
      </c>
      <c r="AV15" s="172">
        <v>0.11260000000000001</v>
      </c>
      <c r="AW15" s="172">
        <v>0.14460000000000001</v>
      </c>
      <c r="AX15" s="172">
        <v>8.8429999999999995E-2</v>
      </c>
      <c r="AY15" s="172">
        <v>7.3899999999999999E-3</v>
      </c>
      <c r="AZ15" s="172">
        <v>8.2250000000000004E-2</v>
      </c>
      <c r="BA15" s="172">
        <v>0.10406</v>
      </c>
      <c r="BB15" s="172">
        <v>5.842E-2</v>
      </c>
      <c r="BC15" s="172">
        <v>7.7899999999999997E-2</v>
      </c>
      <c r="BD15" s="172">
        <v>0.47189999999999999</v>
      </c>
      <c r="BE15" s="172">
        <v>0.32661000000000001</v>
      </c>
      <c r="BF15" s="172">
        <v>0.23150000000000001</v>
      </c>
      <c r="BG15" s="172">
        <v>0.13469999999999999</v>
      </c>
      <c r="BH15" s="172">
        <v>0.11035</v>
      </c>
      <c r="BI15" s="172">
        <v>0.4345</v>
      </c>
      <c r="BJ15" s="172">
        <v>0.47271999999999997</v>
      </c>
      <c r="BK15" s="172">
        <v>0.30830999999999997</v>
      </c>
      <c r="BL15" s="172">
        <v>0.17929999999999999</v>
      </c>
      <c r="BM15" s="172">
        <v>2.7140000000000001E-2</v>
      </c>
      <c r="BN15" s="172">
        <v>0.22325999999999999</v>
      </c>
      <c r="BO15" s="172">
        <v>9.0500000000000008E-3</v>
      </c>
      <c r="BP15" s="172">
        <v>0.1249</v>
      </c>
      <c r="BQ15" s="172">
        <v>0.14699999999999999</v>
      </c>
      <c r="BR15" s="172">
        <v>0.23594000000000001</v>
      </c>
      <c r="BS15" s="172">
        <v>0.13933000000000001</v>
      </c>
      <c r="BT15" s="172">
        <v>0.34608</v>
      </c>
      <c r="BU15" s="172">
        <v>5.04E-2</v>
      </c>
      <c r="BV15" s="172">
        <v>0.39318999999999998</v>
      </c>
      <c r="BW15" s="172">
        <v>0.18015999999999999</v>
      </c>
      <c r="BX15" s="172">
        <v>3.483E-2</v>
      </c>
      <c r="BY15" s="172">
        <v>5.0900000000000001E-2</v>
      </c>
      <c r="BZ15" s="172">
        <v>0.28860000000000002</v>
      </c>
      <c r="CA15" s="172">
        <v>3.5369999999999999E-2</v>
      </c>
      <c r="CB15" s="172">
        <v>0.14166999999999999</v>
      </c>
      <c r="CC15" s="172">
        <v>0.57857000000000003</v>
      </c>
      <c r="CD15" s="172">
        <v>0.34433000000000002</v>
      </c>
      <c r="CE15" s="172">
        <v>0.17602000000000001</v>
      </c>
      <c r="CF15" s="172">
        <v>0.73650000000000004</v>
      </c>
      <c r="CG15" s="172">
        <v>0.59570000000000001</v>
      </c>
      <c r="CH15" s="172">
        <v>3.5549999999999998E-2</v>
      </c>
      <c r="CI15" s="172">
        <v>1.2919999999999999E-2</v>
      </c>
      <c r="CJ15" s="172">
        <v>0.51400000000000001</v>
      </c>
      <c r="CK15" s="172">
        <v>0.11586</v>
      </c>
      <c r="CL15" s="172">
        <v>0.44033</v>
      </c>
      <c r="CM15" s="172">
        <v>8.208E-2</v>
      </c>
      <c r="CN15" s="172">
        <v>0.26169999999999999</v>
      </c>
      <c r="CO15" s="172">
        <v>3.3790000000000001E-2</v>
      </c>
      <c r="CP15" s="172">
        <v>2.4479999999999998E-2</v>
      </c>
      <c r="CQ15" s="172">
        <v>0.24351999999999999</v>
      </c>
      <c r="CR15" s="172">
        <v>6.701E-2</v>
      </c>
      <c r="CS15" s="172">
        <v>9.0649999999999994E-2</v>
      </c>
      <c r="CT15" s="172">
        <v>0.36144999999999999</v>
      </c>
      <c r="CU15" s="172">
        <v>0.17660000000000001</v>
      </c>
      <c r="CV15" s="172">
        <v>0.31040000000000001</v>
      </c>
      <c r="CW15" s="172">
        <v>0.2092</v>
      </c>
    </row>
    <row r="16" spans="1:101">
      <c r="A16" s="171">
        <f t="shared" si="1"/>
        <v>390</v>
      </c>
      <c r="B16" s="171">
        <v>1</v>
      </c>
      <c r="C16" s="172">
        <v>0.63590000000000002</v>
      </c>
      <c r="D16" s="172">
        <v>0.26150000000000001</v>
      </c>
      <c r="E16" s="172">
        <v>1.694E-2</v>
      </c>
      <c r="F16" s="172">
        <v>0.46405999999999997</v>
      </c>
      <c r="G16" s="172">
        <v>0.13564999999999999</v>
      </c>
      <c r="H16" s="172">
        <v>6.2850000000000003E-2</v>
      </c>
      <c r="I16" s="172">
        <v>5.8299999999999998E-2</v>
      </c>
      <c r="J16" s="172">
        <v>5.9839999999999997E-2</v>
      </c>
      <c r="K16" s="172">
        <v>4.1869999999999997E-2</v>
      </c>
      <c r="L16" s="172">
        <v>0.19983000000000001</v>
      </c>
      <c r="M16" s="172">
        <v>5.006E-2</v>
      </c>
      <c r="N16" s="172">
        <v>0.18687000000000001</v>
      </c>
      <c r="O16" s="172">
        <v>4.3279999999999999E-2</v>
      </c>
      <c r="P16" s="172">
        <v>0.34139999999999998</v>
      </c>
      <c r="Q16" s="172">
        <v>0.17602000000000001</v>
      </c>
      <c r="R16" s="172">
        <v>3.6089999999999997E-2</v>
      </c>
      <c r="S16" s="172">
        <v>3.5560000000000001E-2</v>
      </c>
      <c r="T16" s="172">
        <v>7.3099999999999998E-2</v>
      </c>
      <c r="U16" s="172">
        <v>0.1202</v>
      </c>
      <c r="V16" s="172">
        <v>2.9080000000000002E-2</v>
      </c>
      <c r="W16" s="172">
        <v>0.13822000000000001</v>
      </c>
      <c r="X16" s="172">
        <v>2.0840000000000001E-2</v>
      </c>
      <c r="Y16" s="172">
        <v>0.41715999999999998</v>
      </c>
      <c r="Z16" s="172">
        <v>0.2515</v>
      </c>
      <c r="AA16" s="172">
        <v>8.4040000000000004E-2</v>
      </c>
      <c r="AB16" s="172">
        <v>0.16880000000000001</v>
      </c>
      <c r="AC16" s="172">
        <v>6.6199999999999995E-2</v>
      </c>
      <c r="AD16" s="172">
        <v>4.394E-2</v>
      </c>
      <c r="AE16" s="172">
        <v>4.3360000000000003E-2</v>
      </c>
      <c r="AF16" s="172">
        <v>3.1350000000000003E-2</v>
      </c>
      <c r="AG16" s="172">
        <v>4.4990000000000002E-2</v>
      </c>
      <c r="AH16" s="172">
        <v>4.2900000000000001E-2</v>
      </c>
      <c r="AI16" s="172">
        <v>0.18551000000000001</v>
      </c>
      <c r="AJ16" s="172">
        <v>4.3889999999999998E-2</v>
      </c>
      <c r="AK16" s="172">
        <v>5.2449999999999997E-2</v>
      </c>
      <c r="AL16" s="172">
        <v>4.283E-2</v>
      </c>
      <c r="AM16" s="172">
        <v>5.0189999999999999E-2</v>
      </c>
      <c r="AN16" s="172">
        <v>0.10979</v>
      </c>
      <c r="AO16" s="172">
        <v>4.58E-2</v>
      </c>
      <c r="AP16" s="172">
        <v>7.5029999999999999E-2</v>
      </c>
      <c r="AQ16" s="172">
        <v>0.4098</v>
      </c>
      <c r="AR16" s="172">
        <v>6.4769999999999994E-2</v>
      </c>
      <c r="AS16" s="172">
        <v>6.7100000000000007E-2</v>
      </c>
      <c r="AT16" s="172">
        <v>4.3900000000000002E-2</v>
      </c>
      <c r="AU16" s="172">
        <v>5.6090000000000001E-2</v>
      </c>
      <c r="AV16" s="172">
        <v>0.11260000000000001</v>
      </c>
      <c r="AW16" s="172">
        <v>0.14460000000000001</v>
      </c>
      <c r="AX16" s="172">
        <v>8.9330000000000007E-2</v>
      </c>
      <c r="AY16" s="172">
        <v>1.389E-2</v>
      </c>
      <c r="AZ16" s="172">
        <v>8.5800000000000001E-2</v>
      </c>
      <c r="BA16" s="172">
        <v>0.10879999999999999</v>
      </c>
      <c r="BB16" s="172">
        <v>5.824E-2</v>
      </c>
      <c r="BC16" s="172">
        <v>7.7899999999999997E-2</v>
      </c>
      <c r="BD16" s="172">
        <v>0.47189999999999999</v>
      </c>
      <c r="BE16" s="172">
        <v>0.34992000000000001</v>
      </c>
      <c r="BF16" s="172">
        <v>0.23150000000000001</v>
      </c>
      <c r="BG16" s="172">
        <v>0.13469999999999999</v>
      </c>
      <c r="BH16" s="172">
        <v>0.11514000000000001</v>
      </c>
      <c r="BI16" s="172">
        <v>0.4345</v>
      </c>
      <c r="BJ16" s="172">
        <v>0.50312000000000001</v>
      </c>
      <c r="BK16" s="172">
        <v>0.3286</v>
      </c>
      <c r="BL16" s="172">
        <v>0.18890000000000001</v>
      </c>
      <c r="BM16" s="172">
        <v>3.1280000000000002E-2</v>
      </c>
      <c r="BN16" s="172">
        <v>0.22325999999999999</v>
      </c>
      <c r="BO16" s="172">
        <v>1.3599999999999999E-2</v>
      </c>
      <c r="BP16" s="172">
        <v>0.1249</v>
      </c>
      <c r="BQ16" s="172">
        <v>0.14699999999999999</v>
      </c>
      <c r="BR16" s="172">
        <v>0.25103999999999999</v>
      </c>
      <c r="BS16" s="172">
        <v>0.14671999999999999</v>
      </c>
      <c r="BT16" s="172">
        <v>0.37534000000000001</v>
      </c>
      <c r="BU16" s="172">
        <v>5.04E-2</v>
      </c>
      <c r="BV16" s="172">
        <v>0.40905000000000002</v>
      </c>
      <c r="BW16" s="172">
        <v>0.20033999999999999</v>
      </c>
      <c r="BX16" s="172">
        <v>3.5810000000000002E-2</v>
      </c>
      <c r="BY16" s="172">
        <v>5.0900000000000001E-2</v>
      </c>
      <c r="BZ16" s="172">
        <v>0.28860000000000002</v>
      </c>
      <c r="CA16" s="172">
        <v>5.4219999999999997E-2</v>
      </c>
      <c r="CB16" s="172">
        <v>0.15481</v>
      </c>
      <c r="CC16" s="172">
        <v>0.58955999999999997</v>
      </c>
      <c r="CD16" s="172">
        <v>0.36971999999999999</v>
      </c>
      <c r="CE16" s="172">
        <v>0.23297999999999999</v>
      </c>
      <c r="CF16" s="172">
        <v>0.73650000000000004</v>
      </c>
      <c r="CG16" s="172">
        <v>0.59570000000000001</v>
      </c>
      <c r="CH16" s="172">
        <v>3.7449999999999997E-2</v>
      </c>
      <c r="CI16" s="172">
        <v>1.7309999999999999E-2</v>
      </c>
      <c r="CJ16" s="172">
        <v>0.52546000000000004</v>
      </c>
      <c r="CK16" s="172">
        <v>0.12634999999999999</v>
      </c>
      <c r="CL16" s="172">
        <v>0.45434999999999998</v>
      </c>
      <c r="CM16" s="172">
        <v>9.2490000000000003E-2</v>
      </c>
      <c r="CN16" s="172">
        <v>0.26169999999999999</v>
      </c>
      <c r="CO16" s="172">
        <v>4.777E-2</v>
      </c>
      <c r="CP16" s="172">
        <v>5.1650000000000001E-2</v>
      </c>
      <c r="CQ16" s="172">
        <v>0.25635999999999998</v>
      </c>
      <c r="CR16" s="172">
        <v>7.3539999999999994E-2</v>
      </c>
      <c r="CS16" s="172">
        <v>0.111</v>
      </c>
      <c r="CT16" s="172">
        <v>0.38503999999999999</v>
      </c>
      <c r="CU16" s="172">
        <v>0.17660000000000001</v>
      </c>
      <c r="CV16" s="172">
        <v>0.31040000000000001</v>
      </c>
      <c r="CW16" s="172">
        <v>0.2092</v>
      </c>
    </row>
    <row r="17" spans="1:101">
      <c r="A17" s="171">
        <f t="shared" si="1"/>
        <v>395</v>
      </c>
      <c r="B17" s="171">
        <v>1</v>
      </c>
      <c r="C17" s="172">
        <v>0.63590000000000002</v>
      </c>
      <c r="D17" s="172">
        <v>0.26150000000000001</v>
      </c>
      <c r="E17" s="172">
        <v>1.7729999999999999E-2</v>
      </c>
      <c r="F17" s="172">
        <v>0.44102000000000002</v>
      </c>
      <c r="G17" s="172">
        <v>0.13539999999999999</v>
      </c>
      <c r="H17" s="172">
        <v>7.3880000000000001E-2</v>
      </c>
      <c r="I17" s="172">
        <v>5.8299999999999998E-2</v>
      </c>
      <c r="J17" s="172">
        <v>5.9409999999999998E-2</v>
      </c>
      <c r="K17" s="172">
        <v>4.2020000000000002E-2</v>
      </c>
      <c r="L17" s="172">
        <v>0.19983000000000001</v>
      </c>
      <c r="M17" s="172">
        <v>5.629E-2</v>
      </c>
      <c r="N17" s="172">
        <v>0.16203999999999999</v>
      </c>
      <c r="O17" s="172">
        <v>4.3240000000000001E-2</v>
      </c>
      <c r="P17" s="172">
        <v>0.34139999999999998</v>
      </c>
      <c r="Q17" s="172">
        <v>0.17913000000000001</v>
      </c>
      <c r="R17" s="172">
        <v>3.6819999999999999E-2</v>
      </c>
      <c r="S17" s="172">
        <v>3.8199999999999998E-2</v>
      </c>
      <c r="T17" s="172">
        <v>7.3099999999999998E-2</v>
      </c>
      <c r="U17" s="172">
        <v>0.1202</v>
      </c>
      <c r="V17" s="172">
        <v>3.1289999999999998E-2</v>
      </c>
      <c r="W17" s="172">
        <v>0.14607999999999999</v>
      </c>
      <c r="X17" s="172">
        <v>3.107E-2</v>
      </c>
      <c r="Y17" s="172">
        <v>0.43081999999999998</v>
      </c>
      <c r="Z17" s="172">
        <v>0.2515</v>
      </c>
      <c r="AA17" s="172">
        <v>7.621E-2</v>
      </c>
      <c r="AB17" s="172">
        <v>0.16880000000000001</v>
      </c>
      <c r="AC17" s="172">
        <v>6.7580000000000001E-2</v>
      </c>
      <c r="AD17" s="172">
        <v>4.317E-2</v>
      </c>
      <c r="AE17" s="172">
        <v>4.5249999999999999E-2</v>
      </c>
      <c r="AF17" s="172">
        <v>2.9559999999999999E-2</v>
      </c>
      <c r="AG17" s="172">
        <v>4.761E-2</v>
      </c>
      <c r="AH17" s="172">
        <v>4.2900000000000001E-2</v>
      </c>
      <c r="AI17" s="172">
        <v>0.19147</v>
      </c>
      <c r="AJ17" s="172">
        <v>4.3889999999999998E-2</v>
      </c>
      <c r="AK17" s="172">
        <v>5.2449999999999997E-2</v>
      </c>
      <c r="AL17" s="172">
        <v>5.3580000000000003E-2</v>
      </c>
      <c r="AM17" s="172">
        <v>5.0139999999999997E-2</v>
      </c>
      <c r="AN17" s="172">
        <v>9.5409999999999995E-2</v>
      </c>
      <c r="AO17" s="172">
        <v>4.5879999999999997E-2</v>
      </c>
      <c r="AP17" s="172">
        <v>7.5039999999999996E-2</v>
      </c>
      <c r="AQ17" s="172">
        <v>0.4098</v>
      </c>
      <c r="AR17" s="172">
        <v>6.4180000000000001E-2</v>
      </c>
      <c r="AS17" s="172">
        <v>6.7100000000000007E-2</v>
      </c>
      <c r="AT17" s="172">
        <v>4.3900000000000002E-2</v>
      </c>
      <c r="AU17" s="172">
        <v>5.7230000000000003E-2</v>
      </c>
      <c r="AV17" s="172">
        <v>0.11260000000000001</v>
      </c>
      <c r="AW17" s="172">
        <v>0.14460000000000001</v>
      </c>
      <c r="AX17" s="172">
        <v>9.0219999999999995E-2</v>
      </c>
      <c r="AY17" s="172">
        <v>2.0379999999999999E-2</v>
      </c>
      <c r="AZ17" s="172">
        <v>8.949E-2</v>
      </c>
      <c r="BA17" s="172">
        <v>0.11373</v>
      </c>
      <c r="BB17" s="172">
        <v>5.806E-2</v>
      </c>
      <c r="BC17" s="172">
        <v>7.7899999999999997E-2</v>
      </c>
      <c r="BD17" s="172">
        <v>0.47189999999999999</v>
      </c>
      <c r="BE17" s="172">
        <v>0.37230000000000002</v>
      </c>
      <c r="BF17" s="172">
        <v>0.23150000000000001</v>
      </c>
      <c r="BG17" s="172">
        <v>0.13469999999999999</v>
      </c>
      <c r="BH17" s="172">
        <v>0.1202</v>
      </c>
      <c r="BI17" s="172">
        <v>0.4345</v>
      </c>
      <c r="BJ17" s="172">
        <v>0.53129000000000004</v>
      </c>
      <c r="BK17" s="172">
        <v>0.34955000000000003</v>
      </c>
      <c r="BL17" s="172">
        <v>0.19888</v>
      </c>
      <c r="BM17" s="172">
        <v>3.6040000000000003E-2</v>
      </c>
      <c r="BN17" s="172">
        <v>0.22325999999999999</v>
      </c>
      <c r="BO17" s="172">
        <v>2.0389999999999998E-2</v>
      </c>
      <c r="BP17" s="172">
        <v>0.1249</v>
      </c>
      <c r="BQ17" s="172">
        <v>0.14699999999999999</v>
      </c>
      <c r="BR17" s="172">
        <v>0.26676</v>
      </c>
      <c r="BS17" s="172">
        <v>0.15443000000000001</v>
      </c>
      <c r="BT17" s="172">
        <v>0.40554000000000001</v>
      </c>
      <c r="BU17" s="172">
        <v>5.04E-2</v>
      </c>
      <c r="BV17" s="172">
        <v>0.42509000000000002</v>
      </c>
      <c r="BW17" s="172">
        <v>0.22217000000000001</v>
      </c>
      <c r="BX17" s="172">
        <v>3.6819999999999999E-2</v>
      </c>
      <c r="BY17" s="172">
        <v>5.0900000000000001E-2</v>
      </c>
      <c r="BZ17" s="172">
        <v>0.28860000000000002</v>
      </c>
      <c r="CA17" s="172">
        <v>7.8299999999999995E-2</v>
      </c>
      <c r="CB17" s="172">
        <v>0.16893</v>
      </c>
      <c r="CC17" s="172">
        <v>0.60045999999999999</v>
      </c>
      <c r="CD17" s="172">
        <v>0.39599000000000001</v>
      </c>
      <c r="CE17" s="172">
        <v>0.27446999999999999</v>
      </c>
      <c r="CF17" s="172">
        <v>0.73650000000000004</v>
      </c>
      <c r="CG17" s="172">
        <v>0.59570000000000001</v>
      </c>
      <c r="CH17" s="172">
        <v>3.943E-2</v>
      </c>
      <c r="CI17" s="172">
        <v>2.444E-2</v>
      </c>
      <c r="CJ17" s="172">
        <v>0.53688999999999998</v>
      </c>
      <c r="CK17" s="172">
        <v>0.13764000000000001</v>
      </c>
      <c r="CL17" s="172">
        <v>0.46844999999999998</v>
      </c>
      <c r="CM17" s="172">
        <v>0.10408000000000001</v>
      </c>
      <c r="CN17" s="172">
        <v>0.26169999999999999</v>
      </c>
      <c r="CO17" s="172">
        <v>7.9170000000000004E-2</v>
      </c>
      <c r="CP17" s="172">
        <v>7.3730000000000004E-2</v>
      </c>
      <c r="CQ17" s="172">
        <v>0.26919999999999999</v>
      </c>
      <c r="CR17" s="172">
        <v>8.0649999999999999E-2</v>
      </c>
      <c r="CS17" s="172">
        <v>0.13525000000000001</v>
      </c>
      <c r="CT17" s="172">
        <v>0.40917999999999999</v>
      </c>
      <c r="CU17" s="172">
        <v>0.17660000000000001</v>
      </c>
      <c r="CV17" s="172">
        <v>0.31040000000000001</v>
      </c>
      <c r="CW17" s="172">
        <v>0.2092</v>
      </c>
    </row>
    <row r="18" spans="1:101">
      <c r="A18" s="171">
        <f t="shared" si="1"/>
        <v>400</v>
      </c>
      <c r="B18" s="171">
        <v>1</v>
      </c>
      <c r="C18" s="172">
        <v>0.63590000000000002</v>
      </c>
      <c r="D18" s="172">
        <v>0.26150000000000001</v>
      </c>
      <c r="E18" s="172">
        <v>1.167E-2</v>
      </c>
      <c r="F18" s="172">
        <v>0.42157</v>
      </c>
      <c r="G18" s="172">
        <v>0.13578999999999999</v>
      </c>
      <c r="H18" s="172">
        <v>8.2489999999999994E-2</v>
      </c>
      <c r="I18" s="172">
        <v>5.8299999999999998E-2</v>
      </c>
      <c r="J18" s="172">
        <v>5.8860000000000003E-2</v>
      </c>
      <c r="K18" s="172">
        <v>4.2250000000000003E-2</v>
      </c>
      <c r="L18" s="172">
        <v>0.19983000000000001</v>
      </c>
      <c r="M18" s="172">
        <v>6.0810000000000003E-2</v>
      </c>
      <c r="N18" s="172">
        <v>0.14513999999999999</v>
      </c>
      <c r="O18" s="172">
        <v>4.3270000000000003E-2</v>
      </c>
      <c r="P18" s="172">
        <v>0.34139999999999998</v>
      </c>
      <c r="Q18" s="172">
        <v>0.18140999999999999</v>
      </c>
      <c r="R18" s="172">
        <v>3.7670000000000002E-2</v>
      </c>
      <c r="S18" s="172">
        <v>4.0309999999999999E-2</v>
      </c>
      <c r="T18" s="172">
        <v>7.3099999999999998E-2</v>
      </c>
      <c r="U18" s="172">
        <v>0.1202</v>
      </c>
      <c r="V18" s="172">
        <v>3.1969999999999998E-2</v>
      </c>
      <c r="W18" s="172">
        <v>0.14874000000000001</v>
      </c>
      <c r="X18" s="172">
        <v>4.1570000000000003E-2</v>
      </c>
      <c r="Y18" s="172">
        <v>0.44274000000000002</v>
      </c>
      <c r="Z18" s="172">
        <v>0.2515</v>
      </c>
      <c r="AA18" s="172">
        <v>6.8140000000000006E-2</v>
      </c>
      <c r="AB18" s="172">
        <v>0.16880000000000001</v>
      </c>
      <c r="AC18" s="172">
        <v>6.8390000000000006E-2</v>
      </c>
      <c r="AD18" s="172">
        <v>4.4670000000000001E-2</v>
      </c>
      <c r="AE18" s="172">
        <v>4.7980000000000002E-2</v>
      </c>
      <c r="AF18" s="172">
        <v>2.7990000000000001E-2</v>
      </c>
      <c r="AG18" s="172">
        <v>5.142E-2</v>
      </c>
      <c r="AH18" s="172">
        <v>4.2900000000000001E-2</v>
      </c>
      <c r="AI18" s="172">
        <v>0.19786999999999999</v>
      </c>
      <c r="AJ18" s="172">
        <v>4.3889999999999998E-2</v>
      </c>
      <c r="AK18" s="172">
        <v>5.2449999999999997E-2</v>
      </c>
      <c r="AL18" s="172">
        <v>7.5060000000000002E-2</v>
      </c>
      <c r="AM18" s="172">
        <v>0.05</v>
      </c>
      <c r="AN18" s="172">
        <v>8.6889999999999995E-2</v>
      </c>
      <c r="AO18" s="172">
        <v>4.6059999999999997E-2</v>
      </c>
      <c r="AP18" s="172">
        <v>7.5219999999999995E-2</v>
      </c>
      <c r="AQ18" s="172">
        <v>0.4098</v>
      </c>
      <c r="AR18" s="172">
        <v>6.3740000000000005E-2</v>
      </c>
      <c r="AS18" s="172">
        <v>6.7100000000000007E-2</v>
      </c>
      <c r="AT18" s="172">
        <v>4.3900000000000002E-2</v>
      </c>
      <c r="AU18" s="172">
        <v>5.7599999999999998E-2</v>
      </c>
      <c r="AV18" s="172">
        <v>0.11260000000000001</v>
      </c>
      <c r="AW18" s="172">
        <v>0.14460000000000001</v>
      </c>
      <c r="AX18" s="172">
        <v>9.0889999999999999E-2</v>
      </c>
      <c r="AY18" s="172">
        <v>2.7199999999999998E-2</v>
      </c>
      <c r="AZ18" s="172">
        <v>9.3390000000000001E-2</v>
      </c>
      <c r="BA18" s="172">
        <v>0.11889</v>
      </c>
      <c r="BB18" s="172">
        <v>5.8020000000000002E-2</v>
      </c>
      <c r="BC18" s="172">
        <v>7.7899999999999997E-2</v>
      </c>
      <c r="BD18" s="172">
        <v>0.47189999999999999</v>
      </c>
      <c r="BE18" s="172">
        <v>0.39416000000000001</v>
      </c>
      <c r="BF18" s="172">
        <v>0.23150000000000001</v>
      </c>
      <c r="BG18" s="172">
        <v>0.13469999999999999</v>
      </c>
      <c r="BH18" s="172">
        <v>0.12531</v>
      </c>
      <c r="BI18" s="172">
        <v>0.4345</v>
      </c>
      <c r="BJ18" s="172">
        <v>0.55735000000000001</v>
      </c>
      <c r="BK18" s="172">
        <v>0.36976999999999999</v>
      </c>
      <c r="BL18" s="172">
        <v>0.20849000000000001</v>
      </c>
      <c r="BM18" s="172">
        <v>3.9559999999999998E-2</v>
      </c>
      <c r="BN18" s="172">
        <v>0.22325999999999999</v>
      </c>
      <c r="BO18" s="172">
        <v>2.9489999999999999E-2</v>
      </c>
      <c r="BP18" s="172">
        <v>0.1249</v>
      </c>
      <c r="BQ18" s="172">
        <v>0.14699999999999999</v>
      </c>
      <c r="BR18" s="172">
        <v>0.28244999999999998</v>
      </c>
      <c r="BS18" s="172">
        <v>0.16220000000000001</v>
      </c>
      <c r="BT18" s="172">
        <v>0.43536999999999998</v>
      </c>
      <c r="BU18" s="172">
        <v>5.04E-2</v>
      </c>
      <c r="BV18" s="172">
        <v>0.44022</v>
      </c>
      <c r="BW18" s="172">
        <v>0.23998</v>
      </c>
      <c r="BX18" s="172">
        <v>3.7830000000000003E-2</v>
      </c>
      <c r="BY18" s="172">
        <v>5.0900000000000001E-2</v>
      </c>
      <c r="BZ18" s="172">
        <v>0.28860000000000002</v>
      </c>
      <c r="CA18" s="172">
        <v>0.10593</v>
      </c>
      <c r="CB18" s="172">
        <v>0.1812</v>
      </c>
      <c r="CC18" s="172">
        <v>0.60662000000000005</v>
      </c>
      <c r="CD18" s="172">
        <v>0.42314000000000002</v>
      </c>
      <c r="CE18" s="172">
        <v>0.30442000000000002</v>
      </c>
      <c r="CF18" s="172">
        <v>0.73650000000000004</v>
      </c>
      <c r="CG18" s="172">
        <v>0.59570000000000001</v>
      </c>
      <c r="CH18" s="172">
        <v>4.138E-2</v>
      </c>
      <c r="CI18" s="172">
        <v>3.8309999999999997E-2</v>
      </c>
      <c r="CJ18" s="172">
        <v>0.54635999999999996</v>
      </c>
      <c r="CK18" s="172">
        <v>0.14596000000000001</v>
      </c>
      <c r="CL18" s="172">
        <v>0.47489999999999999</v>
      </c>
      <c r="CM18" s="172">
        <v>0.11545999999999999</v>
      </c>
      <c r="CN18" s="172">
        <v>0.26169999999999999</v>
      </c>
      <c r="CO18" s="172">
        <v>0.13075000000000001</v>
      </c>
      <c r="CP18" s="172">
        <v>9.6699999999999994E-2</v>
      </c>
      <c r="CQ18" s="172">
        <v>0.28194999999999998</v>
      </c>
      <c r="CR18" s="172">
        <v>8.8099999999999998E-2</v>
      </c>
      <c r="CS18" s="172">
        <v>0.16428000000000001</v>
      </c>
      <c r="CT18" s="172">
        <v>0.43393999999999999</v>
      </c>
      <c r="CU18" s="172">
        <v>0.17660000000000001</v>
      </c>
      <c r="CV18" s="172">
        <v>0.31040000000000001</v>
      </c>
      <c r="CW18" s="172">
        <v>0.2092</v>
      </c>
    </row>
    <row r="19" spans="1:101">
      <c r="A19" s="171">
        <f t="shared" si="1"/>
        <v>405</v>
      </c>
      <c r="B19" s="171">
        <v>1</v>
      </c>
      <c r="C19" s="172">
        <v>0.64015</v>
      </c>
      <c r="D19" s="172">
        <v>0.26408999999999999</v>
      </c>
      <c r="E19" s="172">
        <v>5.11E-3</v>
      </c>
      <c r="F19" s="172">
        <v>0.40559000000000001</v>
      </c>
      <c r="G19" s="172">
        <v>0.13757</v>
      </c>
      <c r="H19" s="172">
        <v>0.10382</v>
      </c>
      <c r="I19" s="172">
        <v>5.7860000000000002E-2</v>
      </c>
      <c r="J19" s="172">
        <v>5.858E-2</v>
      </c>
      <c r="K19" s="172">
        <v>4.2290000000000001E-2</v>
      </c>
      <c r="L19" s="172">
        <v>0.20627999999999999</v>
      </c>
      <c r="M19" s="172">
        <v>7.2330000000000005E-2</v>
      </c>
      <c r="N19" s="172">
        <v>0.12981000000000001</v>
      </c>
      <c r="O19" s="172">
        <v>4.3110000000000002E-2</v>
      </c>
      <c r="P19" s="172">
        <v>0.34300999999999998</v>
      </c>
      <c r="Q19" s="172">
        <v>0.18593000000000001</v>
      </c>
      <c r="R19" s="172">
        <v>3.8289999999999998E-2</v>
      </c>
      <c r="S19" s="172">
        <v>4.4429999999999997E-2</v>
      </c>
      <c r="T19" s="172">
        <v>7.5380000000000003E-2</v>
      </c>
      <c r="U19" s="172">
        <v>0.12316000000000001</v>
      </c>
      <c r="V19" s="172">
        <v>3.7139999999999999E-2</v>
      </c>
      <c r="W19" s="172">
        <v>0.16578000000000001</v>
      </c>
      <c r="X19" s="172">
        <v>5.2319999999999998E-2</v>
      </c>
      <c r="Y19" s="172">
        <v>0.45363999999999999</v>
      </c>
      <c r="Z19" s="172">
        <v>0.26605000000000001</v>
      </c>
      <c r="AA19" s="172">
        <v>6.2399999999999997E-2</v>
      </c>
      <c r="AB19" s="172">
        <v>0.16558</v>
      </c>
      <c r="AC19" s="172">
        <v>7.1849999999999997E-2</v>
      </c>
      <c r="AD19" s="172">
        <v>4.65E-2</v>
      </c>
      <c r="AE19" s="172">
        <v>4.8869999999999997E-2</v>
      </c>
      <c r="AF19" s="172">
        <v>2.9430000000000001E-2</v>
      </c>
      <c r="AG19" s="172">
        <v>5.6239999999999998E-2</v>
      </c>
      <c r="AH19" s="172">
        <v>4.206E-2</v>
      </c>
      <c r="AI19" s="172">
        <v>0.20469999999999999</v>
      </c>
      <c r="AJ19" s="172">
        <v>4.3970000000000002E-2</v>
      </c>
      <c r="AK19" s="172">
        <v>5.2389999999999999E-2</v>
      </c>
      <c r="AL19" s="172">
        <v>9.776E-2</v>
      </c>
      <c r="AM19" s="172">
        <v>5.0090000000000003E-2</v>
      </c>
      <c r="AN19" s="172">
        <v>8.2239999999999994E-2</v>
      </c>
      <c r="AO19" s="172">
        <v>4.5969999999999997E-2</v>
      </c>
      <c r="AP19" s="172">
        <v>7.4980000000000005E-2</v>
      </c>
      <c r="AQ19" s="172">
        <v>0.41775000000000001</v>
      </c>
      <c r="AR19" s="172">
        <v>6.2920000000000004E-2</v>
      </c>
      <c r="AS19" s="172">
        <v>6.2280000000000002E-2</v>
      </c>
      <c r="AT19" s="172">
        <v>4.4510000000000001E-2</v>
      </c>
      <c r="AU19" s="172">
        <v>5.7729999999999997E-2</v>
      </c>
      <c r="AV19" s="172">
        <v>0.11615</v>
      </c>
      <c r="AW19" s="172">
        <v>0.14513999999999999</v>
      </c>
      <c r="AX19" s="172">
        <v>9.1340000000000005E-2</v>
      </c>
      <c r="AY19" s="172">
        <v>3.4340000000000002E-2</v>
      </c>
      <c r="AZ19" s="172">
        <v>9.7269999999999995E-2</v>
      </c>
      <c r="BA19" s="172">
        <v>0.12416000000000001</v>
      </c>
      <c r="BB19" s="172">
        <v>5.765E-2</v>
      </c>
      <c r="BC19" s="172">
        <v>7.9299999999999995E-2</v>
      </c>
      <c r="BD19" s="172">
        <v>0.48882999999999999</v>
      </c>
      <c r="BE19" s="172">
        <v>0.41553000000000001</v>
      </c>
      <c r="BF19" s="172">
        <v>0.25502999999999998</v>
      </c>
      <c r="BG19" s="172">
        <v>0.13983999999999999</v>
      </c>
      <c r="BH19" s="172">
        <v>0.13033</v>
      </c>
      <c r="BI19" s="172">
        <v>0.51356999999999997</v>
      </c>
      <c r="BJ19" s="172">
        <v>0.58082999999999996</v>
      </c>
      <c r="BK19" s="172">
        <v>0.39383000000000001</v>
      </c>
      <c r="BL19" s="172">
        <v>0.22042999999999999</v>
      </c>
      <c r="BM19" s="172">
        <v>4.8800000000000003E-2</v>
      </c>
      <c r="BN19" s="172">
        <v>0.23893</v>
      </c>
      <c r="BO19" s="172">
        <v>4.6089999999999999E-2</v>
      </c>
      <c r="BP19" s="172">
        <v>0.13231000000000001</v>
      </c>
      <c r="BQ19" s="172">
        <v>0.15842000000000001</v>
      </c>
      <c r="BR19" s="172">
        <v>0.30036000000000002</v>
      </c>
      <c r="BS19" s="172">
        <v>0.17097999999999999</v>
      </c>
      <c r="BT19" s="172">
        <v>0.46844999999999998</v>
      </c>
      <c r="BU19" s="172">
        <v>5.4850000000000003E-2</v>
      </c>
      <c r="BV19" s="172">
        <v>0.45815</v>
      </c>
      <c r="BW19" s="172">
        <v>0.2737</v>
      </c>
      <c r="BX19" s="172">
        <v>3.8929999999999999E-2</v>
      </c>
      <c r="BY19" s="172">
        <v>5.8659999999999997E-2</v>
      </c>
      <c r="BZ19" s="172">
        <v>0.31111</v>
      </c>
      <c r="CA19" s="172">
        <v>0.13045999999999999</v>
      </c>
      <c r="CB19" s="172">
        <v>0.20172000000000001</v>
      </c>
      <c r="CC19" s="172">
        <v>0.62422</v>
      </c>
      <c r="CD19" s="172">
        <v>0.45024999999999998</v>
      </c>
      <c r="CE19" s="172">
        <v>0.32357000000000002</v>
      </c>
      <c r="CF19" s="172">
        <v>0.74377000000000004</v>
      </c>
      <c r="CG19" s="172">
        <v>0.60396000000000005</v>
      </c>
      <c r="CH19" s="172">
        <v>4.3790000000000003E-2</v>
      </c>
      <c r="CI19" s="172">
        <v>4.9399999999999999E-2</v>
      </c>
      <c r="CJ19" s="172">
        <v>0.56055999999999995</v>
      </c>
      <c r="CK19" s="172">
        <v>0.16475999999999999</v>
      </c>
      <c r="CL19" s="172">
        <v>0.50053999999999998</v>
      </c>
      <c r="CM19" s="172">
        <v>0.13191</v>
      </c>
      <c r="CN19" s="172">
        <v>0.27271000000000001</v>
      </c>
      <c r="CO19" s="172">
        <v>0.17691000000000001</v>
      </c>
      <c r="CP19" s="172">
        <v>0.12048</v>
      </c>
      <c r="CQ19" s="172">
        <v>0.29459999999999997</v>
      </c>
      <c r="CR19" s="172">
        <v>9.6939999999999998E-2</v>
      </c>
      <c r="CS19" s="172">
        <v>0.19678000000000001</v>
      </c>
      <c r="CT19" s="172">
        <v>0.45859</v>
      </c>
      <c r="CU19" s="172">
        <v>0.19450999999999999</v>
      </c>
      <c r="CV19" s="172">
        <v>0.32028000000000001</v>
      </c>
      <c r="CW19" s="172">
        <v>0.22044</v>
      </c>
    </row>
    <row r="20" spans="1:101">
      <c r="A20" s="171">
        <f t="shared" si="1"/>
        <v>410</v>
      </c>
      <c r="B20" s="171">
        <v>1</v>
      </c>
      <c r="C20" s="172">
        <v>0.64539999999999997</v>
      </c>
      <c r="D20" s="172">
        <v>0.26700000000000002</v>
      </c>
      <c r="E20" s="172">
        <v>3.79E-3</v>
      </c>
      <c r="F20" s="172">
        <v>0.38950000000000001</v>
      </c>
      <c r="G20" s="172">
        <v>0.14001</v>
      </c>
      <c r="H20" s="172">
        <v>0.11965000000000001</v>
      </c>
      <c r="I20" s="172">
        <v>5.7299999999999997E-2</v>
      </c>
      <c r="J20" s="172">
        <v>5.8360000000000002E-2</v>
      </c>
      <c r="K20" s="172">
        <v>4.2459999999999998E-2</v>
      </c>
      <c r="L20" s="172">
        <v>0.21152000000000001</v>
      </c>
      <c r="M20" s="172">
        <v>8.0320000000000003E-2</v>
      </c>
      <c r="N20" s="172">
        <v>0.11536</v>
      </c>
      <c r="O20" s="172">
        <v>4.3069999999999997E-2</v>
      </c>
      <c r="P20" s="172">
        <v>0.34510000000000002</v>
      </c>
      <c r="Q20" s="172">
        <v>0.18883</v>
      </c>
      <c r="R20" s="172">
        <v>3.9100000000000003E-2</v>
      </c>
      <c r="S20" s="172">
        <v>4.7509999999999997E-2</v>
      </c>
      <c r="T20" s="172">
        <v>7.85E-2</v>
      </c>
      <c r="U20" s="172">
        <v>0.12590000000000001</v>
      </c>
      <c r="V20" s="172">
        <v>3.952E-2</v>
      </c>
      <c r="W20" s="172">
        <v>0.17316000000000001</v>
      </c>
      <c r="X20" s="172">
        <v>6.2289999999999998E-2</v>
      </c>
      <c r="Y20" s="172">
        <v>0.46388000000000001</v>
      </c>
      <c r="Z20" s="172">
        <v>0.28120000000000001</v>
      </c>
      <c r="AA20" s="172">
        <v>6.1580000000000003E-2</v>
      </c>
      <c r="AB20" s="172">
        <v>0.16159999999999999</v>
      </c>
      <c r="AC20" s="172">
        <v>8.1170000000000006E-2</v>
      </c>
      <c r="AD20" s="172">
        <v>4.793E-2</v>
      </c>
      <c r="AE20" s="172">
        <v>5.1150000000000001E-2</v>
      </c>
      <c r="AF20" s="172">
        <v>3.159E-2</v>
      </c>
      <c r="AG20" s="172">
        <v>6.182E-2</v>
      </c>
      <c r="AH20" s="172">
        <v>4.1099999999999998E-2</v>
      </c>
      <c r="AI20" s="172">
        <v>0.21023</v>
      </c>
      <c r="AJ20" s="172">
        <v>4.4040000000000003E-2</v>
      </c>
      <c r="AK20" s="172">
        <v>5.2170000000000001E-2</v>
      </c>
      <c r="AL20" s="172">
        <v>0.12728999999999999</v>
      </c>
      <c r="AM20" s="172">
        <v>0.05</v>
      </c>
      <c r="AN20" s="172">
        <v>8.1420000000000006E-2</v>
      </c>
      <c r="AO20" s="172">
        <v>4.6059999999999997E-2</v>
      </c>
      <c r="AP20" s="172">
        <v>7.5020000000000003E-2</v>
      </c>
      <c r="AQ20" s="172">
        <v>0.4269</v>
      </c>
      <c r="AR20" s="172">
        <v>6.2350000000000003E-2</v>
      </c>
      <c r="AS20" s="172">
        <v>5.62E-2</v>
      </c>
      <c r="AT20" s="172">
        <v>4.5199999999999997E-2</v>
      </c>
      <c r="AU20" s="172">
        <v>5.8409999999999997E-2</v>
      </c>
      <c r="AV20" s="172">
        <v>0.1202</v>
      </c>
      <c r="AW20" s="172">
        <v>0.14580000000000001</v>
      </c>
      <c r="AX20" s="172">
        <v>9.2450000000000004E-2</v>
      </c>
      <c r="AY20" s="172">
        <v>4.0509999999999997E-2</v>
      </c>
      <c r="AZ20" s="172">
        <v>0.10142</v>
      </c>
      <c r="BA20" s="172">
        <v>0.12970999999999999</v>
      </c>
      <c r="BB20" s="172">
        <v>5.7500000000000002E-2</v>
      </c>
      <c r="BC20" s="172">
        <v>8.1199999999999994E-2</v>
      </c>
      <c r="BD20" s="172">
        <v>0.51160000000000005</v>
      </c>
      <c r="BE20" s="172">
        <v>0.43631999999999999</v>
      </c>
      <c r="BF20" s="172">
        <v>0.28200999999999998</v>
      </c>
      <c r="BG20" s="172">
        <v>0.14599999999999999</v>
      </c>
      <c r="BH20" s="172">
        <v>0.13550000000000001</v>
      </c>
      <c r="BI20" s="172">
        <v>0.60419999999999996</v>
      </c>
      <c r="BJ20" s="172">
        <v>0.60182999999999998</v>
      </c>
      <c r="BK20" s="172">
        <v>0.41610999999999998</v>
      </c>
      <c r="BL20" s="172">
        <v>0.23133000000000001</v>
      </c>
      <c r="BM20" s="172">
        <v>5.5379999999999999E-2</v>
      </c>
      <c r="BN20" s="172">
        <v>0.25742999999999999</v>
      </c>
      <c r="BO20" s="172">
        <v>6.8110000000000004E-2</v>
      </c>
      <c r="BP20" s="172">
        <v>0.14130000000000001</v>
      </c>
      <c r="BQ20" s="172">
        <v>0.17219999999999999</v>
      </c>
      <c r="BR20" s="172">
        <v>0.31768999999999997</v>
      </c>
      <c r="BS20" s="172">
        <v>0.17960999999999999</v>
      </c>
      <c r="BT20" s="172">
        <v>0.49987999999999999</v>
      </c>
      <c r="BU20" s="172">
        <v>6.1699999999999998E-2</v>
      </c>
      <c r="BV20" s="172">
        <v>0.47443000000000002</v>
      </c>
      <c r="BW20" s="172">
        <v>0.29807</v>
      </c>
      <c r="BX20" s="172">
        <v>4.0009999999999997E-2</v>
      </c>
      <c r="BY20" s="172">
        <v>6.9099999999999995E-2</v>
      </c>
      <c r="BZ20" s="172">
        <v>0.33960000000000001</v>
      </c>
      <c r="CA20" s="172">
        <v>0.15590999999999999</v>
      </c>
      <c r="CB20" s="172">
        <v>0.21754000000000001</v>
      </c>
      <c r="CC20" s="172">
        <v>0.63353000000000004</v>
      </c>
      <c r="CD20" s="172">
        <v>0.47575000000000001</v>
      </c>
      <c r="CE20" s="172">
        <v>0.33682000000000001</v>
      </c>
      <c r="CF20" s="172">
        <v>0.75319999999999998</v>
      </c>
      <c r="CG20" s="172">
        <v>0.61319999999999997</v>
      </c>
      <c r="CH20" s="172">
        <v>4.6050000000000001E-2</v>
      </c>
      <c r="CI20" s="172">
        <v>6.3240000000000005E-2</v>
      </c>
      <c r="CJ20" s="172">
        <v>0.57138</v>
      </c>
      <c r="CK20" s="172">
        <v>0.17752999999999999</v>
      </c>
      <c r="CL20" s="172">
        <v>0.51283000000000001</v>
      </c>
      <c r="CM20" s="172">
        <v>0.14757000000000001</v>
      </c>
      <c r="CN20" s="172">
        <v>0.2838</v>
      </c>
      <c r="CO20" s="172">
        <v>0.22905</v>
      </c>
      <c r="CP20" s="172">
        <v>0.14704999999999999</v>
      </c>
      <c r="CQ20" s="172">
        <v>0.30753999999999998</v>
      </c>
      <c r="CR20" s="172">
        <v>0.10607</v>
      </c>
      <c r="CS20" s="172">
        <v>0.23541000000000001</v>
      </c>
      <c r="CT20" s="172">
        <v>0.48408000000000001</v>
      </c>
      <c r="CU20" s="172">
        <v>0.2147</v>
      </c>
      <c r="CV20" s="172">
        <v>0.33277000000000001</v>
      </c>
      <c r="CW20" s="172">
        <v>0.2319</v>
      </c>
    </row>
    <row r="21" spans="1:101">
      <c r="A21" s="171">
        <f t="shared" si="1"/>
        <v>415</v>
      </c>
      <c r="B21" s="171">
        <v>1</v>
      </c>
      <c r="C21" s="172">
        <v>0.64888000000000001</v>
      </c>
      <c r="D21" s="172">
        <v>0.26834000000000002</v>
      </c>
      <c r="E21" s="172">
        <v>8.7399999999999995E-3</v>
      </c>
      <c r="F21" s="172">
        <v>0.37567</v>
      </c>
      <c r="G21" s="172">
        <v>0.14194999999999999</v>
      </c>
      <c r="H21" s="172">
        <v>0.13053000000000001</v>
      </c>
      <c r="I21" s="172">
        <v>5.6919999999999998E-2</v>
      </c>
      <c r="J21" s="172">
        <v>5.7970000000000001E-2</v>
      </c>
      <c r="K21" s="172">
        <v>4.2750000000000003E-2</v>
      </c>
      <c r="L21" s="172">
        <v>0.20943999999999999</v>
      </c>
      <c r="M21" s="172">
        <v>8.5220000000000004E-2</v>
      </c>
      <c r="N21" s="172">
        <v>0.10584</v>
      </c>
      <c r="O21" s="172">
        <v>4.3200000000000002E-2</v>
      </c>
      <c r="P21" s="172">
        <v>0.34676000000000001</v>
      </c>
      <c r="Q21" s="172">
        <v>0.19137000000000001</v>
      </c>
      <c r="R21" s="172">
        <v>4.0030000000000003E-2</v>
      </c>
      <c r="S21" s="172">
        <v>4.9669999999999999E-2</v>
      </c>
      <c r="T21" s="172">
        <v>8.1299999999999997E-2</v>
      </c>
      <c r="U21" s="172">
        <v>0.12589</v>
      </c>
      <c r="V21" s="172">
        <v>3.916E-2</v>
      </c>
      <c r="W21" s="172">
        <v>0.17444000000000001</v>
      </c>
      <c r="X21" s="172">
        <v>7.0330000000000004E-2</v>
      </c>
      <c r="Y21" s="172">
        <v>0.47366000000000003</v>
      </c>
      <c r="Z21" s="172">
        <v>0.28563</v>
      </c>
      <c r="AA21" s="172">
        <v>5.8540000000000002E-2</v>
      </c>
      <c r="AB21" s="172">
        <v>0.159</v>
      </c>
      <c r="AC21" s="172">
        <v>9.3890000000000001E-2</v>
      </c>
      <c r="AD21" s="172">
        <v>4.6989999999999997E-2</v>
      </c>
      <c r="AE21" s="172">
        <v>5.4780000000000002E-2</v>
      </c>
      <c r="AF21" s="172">
        <v>3.0540000000000001E-2</v>
      </c>
      <c r="AG21" s="172">
        <v>6.8089999999999998E-2</v>
      </c>
      <c r="AH21" s="172">
        <v>4.0689999999999997E-2</v>
      </c>
      <c r="AI21" s="172">
        <v>0.21321000000000001</v>
      </c>
      <c r="AJ21" s="172">
        <v>4.4010000000000001E-2</v>
      </c>
      <c r="AK21" s="172">
        <v>5.1700000000000003E-2</v>
      </c>
      <c r="AL21" s="172">
        <v>0.16370999999999999</v>
      </c>
      <c r="AM21" s="172">
        <v>4.9910000000000003E-2</v>
      </c>
      <c r="AN21" s="172">
        <v>8.6809999999999998E-2</v>
      </c>
      <c r="AO21" s="172">
        <v>4.6339999999999999E-2</v>
      </c>
      <c r="AP21" s="172">
        <v>7.5340000000000004E-2</v>
      </c>
      <c r="AQ21" s="172">
        <v>0.43208999999999997</v>
      </c>
      <c r="AR21" s="172">
        <v>6.2129999999999998E-2</v>
      </c>
      <c r="AS21" s="172">
        <v>5.1959999999999999E-2</v>
      </c>
      <c r="AT21" s="172">
        <v>4.555E-2</v>
      </c>
      <c r="AU21" s="172">
        <v>5.8999999999999997E-2</v>
      </c>
      <c r="AV21" s="172">
        <v>0.12231</v>
      </c>
      <c r="AW21" s="172">
        <v>0.14646000000000001</v>
      </c>
      <c r="AX21" s="172">
        <v>9.5780000000000004E-2</v>
      </c>
      <c r="AY21" s="172">
        <v>4.446E-2</v>
      </c>
      <c r="AZ21" s="172">
        <v>0.10575</v>
      </c>
      <c r="BA21" s="172">
        <v>0.13542999999999999</v>
      </c>
      <c r="BB21" s="172">
        <v>5.7529999999999998E-2</v>
      </c>
      <c r="BC21" s="172">
        <v>8.2909999999999998E-2</v>
      </c>
      <c r="BD21" s="172">
        <v>0.53113999999999995</v>
      </c>
      <c r="BE21" s="172">
        <v>0.45651999999999998</v>
      </c>
      <c r="BF21" s="172">
        <v>0.29615999999999998</v>
      </c>
      <c r="BG21" s="172">
        <v>0.14999000000000001</v>
      </c>
      <c r="BH21" s="172">
        <v>0.14113999999999999</v>
      </c>
      <c r="BI21" s="172">
        <v>0.65037999999999996</v>
      </c>
      <c r="BJ21" s="172">
        <v>0.62063000000000001</v>
      </c>
      <c r="BK21" s="172">
        <v>0.43653999999999998</v>
      </c>
      <c r="BL21" s="172">
        <v>0.24199000000000001</v>
      </c>
      <c r="BM21" s="172">
        <v>5.9729999999999998E-2</v>
      </c>
      <c r="BN21" s="172">
        <v>0.26841999999999999</v>
      </c>
      <c r="BO21" s="172">
        <v>9.0240000000000001E-2</v>
      </c>
      <c r="BP21" s="172">
        <v>0.14721000000000001</v>
      </c>
      <c r="BQ21" s="172">
        <v>0.18101999999999999</v>
      </c>
      <c r="BR21" s="172">
        <v>0.33467000000000002</v>
      </c>
      <c r="BS21" s="172">
        <v>0.18831000000000001</v>
      </c>
      <c r="BT21" s="172">
        <v>0.52990000000000004</v>
      </c>
      <c r="BU21" s="172">
        <v>6.9430000000000006E-2</v>
      </c>
      <c r="BV21" s="172">
        <v>0.48876999999999998</v>
      </c>
      <c r="BW21" s="172">
        <v>0.32072000000000001</v>
      </c>
      <c r="BX21" s="172">
        <v>4.1119999999999997E-2</v>
      </c>
      <c r="BY21" s="172">
        <v>7.8149999999999997E-2</v>
      </c>
      <c r="BZ21" s="172">
        <v>0.36065999999999998</v>
      </c>
      <c r="CA21" s="172">
        <v>0.18140000000000001</v>
      </c>
      <c r="CB21" s="172">
        <v>0.23408000000000001</v>
      </c>
      <c r="CC21" s="172">
        <v>0.63805000000000001</v>
      </c>
      <c r="CD21" s="172">
        <v>0.49823000000000001</v>
      </c>
      <c r="CE21" s="172">
        <v>0.34500999999999998</v>
      </c>
      <c r="CF21" s="172">
        <v>0.76058999999999999</v>
      </c>
      <c r="CG21" s="172">
        <v>0.61738999999999999</v>
      </c>
      <c r="CH21" s="172">
        <v>4.8300000000000003E-2</v>
      </c>
      <c r="CI21" s="172">
        <v>7.9549999999999996E-2</v>
      </c>
      <c r="CJ21" s="172">
        <v>0.57981000000000005</v>
      </c>
      <c r="CK21" s="172">
        <v>0.18653</v>
      </c>
      <c r="CL21" s="172">
        <v>0.51583999999999997</v>
      </c>
      <c r="CM21" s="172">
        <v>0.16011</v>
      </c>
      <c r="CN21" s="172">
        <v>0.28598000000000001</v>
      </c>
      <c r="CO21" s="172">
        <v>0.28445999999999999</v>
      </c>
      <c r="CP21" s="172">
        <v>0.17355000000000001</v>
      </c>
      <c r="CQ21" s="172">
        <v>0.32129999999999997</v>
      </c>
      <c r="CR21" s="172">
        <v>0.11496000000000001</v>
      </c>
      <c r="CS21" s="172">
        <v>0.27694999999999997</v>
      </c>
      <c r="CT21" s="172">
        <v>0.50807999999999998</v>
      </c>
      <c r="CU21" s="172">
        <v>0.22438</v>
      </c>
      <c r="CV21" s="172">
        <v>0.34183999999999998</v>
      </c>
      <c r="CW21" s="172">
        <v>0.23457</v>
      </c>
    </row>
    <row r="22" spans="1:101">
      <c r="A22" s="171">
        <f t="shared" si="1"/>
        <v>420</v>
      </c>
      <c r="B22" s="171">
        <v>1</v>
      </c>
      <c r="C22" s="172">
        <v>0.65069999999999995</v>
      </c>
      <c r="D22" s="172">
        <v>0.26840000000000003</v>
      </c>
      <c r="E22" s="172">
        <v>1.8880000000000001E-2</v>
      </c>
      <c r="F22" s="172">
        <v>0.36501</v>
      </c>
      <c r="G22" s="172">
        <v>0.14194000000000001</v>
      </c>
      <c r="H22" s="172">
        <v>0.13699</v>
      </c>
      <c r="I22" s="172">
        <v>5.6800000000000003E-2</v>
      </c>
      <c r="J22" s="172">
        <v>5.7689999999999998E-2</v>
      </c>
      <c r="K22" s="172">
        <v>4.3180000000000003E-2</v>
      </c>
      <c r="L22" s="172">
        <v>0.20352000000000001</v>
      </c>
      <c r="M22" s="172">
        <v>8.7419999999999998E-2</v>
      </c>
      <c r="N22" s="172">
        <v>0.1043</v>
      </c>
      <c r="O22" s="172">
        <v>4.3569999999999998E-2</v>
      </c>
      <c r="P22" s="172">
        <v>0.34820000000000001</v>
      </c>
      <c r="Q22" s="172">
        <v>0.19478999999999999</v>
      </c>
      <c r="R22" s="172">
        <v>4.104E-2</v>
      </c>
      <c r="S22" s="172">
        <v>5.1049999999999998E-2</v>
      </c>
      <c r="T22" s="172">
        <v>8.4099999999999994E-2</v>
      </c>
      <c r="U22" s="172">
        <v>0.1245</v>
      </c>
      <c r="V22" s="172">
        <v>3.6139999999999999E-2</v>
      </c>
      <c r="W22" s="172">
        <v>0.17316000000000001</v>
      </c>
      <c r="X22" s="172">
        <v>7.6069999999999999E-2</v>
      </c>
      <c r="Y22" s="172">
        <v>0.48293999999999998</v>
      </c>
      <c r="Z22" s="172">
        <v>0.2838</v>
      </c>
      <c r="AA22" s="172">
        <v>5.4640000000000001E-2</v>
      </c>
      <c r="AB22" s="172">
        <v>0.15809999999999999</v>
      </c>
      <c r="AC22" s="172">
        <v>0.11434</v>
      </c>
      <c r="AD22" s="172">
        <v>4.6210000000000001E-2</v>
      </c>
      <c r="AE22" s="172">
        <v>5.9720000000000002E-2</v>
      </c>
      <c r="AF22" s="172">
        <v>3.0679999999999999E-2</v>
      </c>
      <c r="AG22" s="172">
        <v>7.5689999999999993E-2</v>
      </c>
      <c r="AH22" s="172">
        <v>4.1000000000000002E-2</v>
      </c>
      <c r="AI22" s="172">
        <v>0.21595</v>
      </c>
      <c r="AJ22" s="172">
        <v>4.3999999999999997E-2</v>
      </c>
      <c r="AK22" s="172">
        <v>5.108E-2</v>
      </c>
      <c r="AL22" s="172">
        <v>0.20727000000000001</v>
      </c>
      <c r="AM22" s="172">
        <v>0.05</v>
      </c>
      <c r="AN22" s="172">
        <v>0.10151</v>
      </c>
      <c r="AO22" s="172">
        <v>4.6780000000000002E-2</v>
      </c>
      <c r="AP22" s="172">
        <v>7.5950000000000004E-2</v>
      </c>
      <c r="AQ22" s="172">
        <v>0.43680000000000002</v>
      </c>
      <c r="AR22" s="172">
        <v>6.2350000000000003E-2</v>
      </c>
      <c r="AS22" s="172">
        <v>4.9700000000000001E-2</v>
      </c>
      <c r="AT22" s="172">
        <v>4.5699999999999998E-2</v>
      </c>
      <c r="AU22" s="172">
        <v>6.0760000000000002E-2</v>
      </c>
      <c r="AV22" s="172">
        <v>0.1235</v>
      </c>
      <c r="AW22" s="172">
        <v>0.1484</v>
      </c>
      <c r="AX22" s="172">
        <v>0.10460999999999999</v>
      </c>
      <c r="AY22" s="172">
        <v>4.6330000000000003E-2</v>
      </c>
      <c r="AZ22" s="172">
        <v>0.11015999999999999</v>
      </c>
      <c r="BA22" s="172">
        <v>0.14122000000000001</v>
      </c>
      <c r="BB22" s="172">
        <v>5.7709999999999997E-2</v>
      </c>
      <c r="BC22" s="172">
        <v>8.48E-2</v>
      </c>
      <c r="BD22" s="172">
        <v>0.54879999999999995</v>
      </c>
      <c r="BE22" s="172">
        <v>0.47667999999999999</v>
      </c>
      <c r="BF22" s="172">
        <v>0.30297000000000002</v>
      </c>
      <c r="BG22" s="172">
        <v>0.15359999999999999</v>
      </c>
      <c r="BH22" s="172">
        <v>0.14746999999999999</v>
      </c>
      <c r="BI22" s="172">
        <v>0.66449999999999998</v>
      </c>
      <c r="BJ22" s="172">
        <v>0.63776999999999995</v>
      </c>
      <c r="BK22" s="172">
        <v>0.45501999999999998</v>
      </c>
      <c r="BL22" s="172">
        <v>0.25317000000000001</v>
      </c>
      <c r="BM22" s="172">
        <v>6.2289999999999998E-2</v>
      </c>
      <c r="BN22" s="172">
        <v>0.27548</v>
      </c>
      <c r="BO22" s="172">
        <v>0.10713</v>
      </c>
      <c r="BP22" s="172">
        <v>0.15179999999999999</v>
      </c>
      <c r="BQ22" s="172">
        <v>0.18720000000000001</v>
      </c>
      <c r="BR22" s="172">
        <v>0.35149000000000002</v>
      </c>
      <c r="BS22" s="172">
        <v>0.19733000000000001</v>
      </c>
      <c r="BT22" s="172">
        <v>0.55871999999999999</v>
      </c>
      <c r="BU22" s="172">
        <v>7.8600000000000003E-2</v>
      </c>
      <c r="BV22" s="172">
        <v>0.50090999999999997</v>
      </c>
      <c r="BW22" s="172">
        <v>0.3493</v>
      </c>
      <c r="BX22" s="172">
        <v>4.2299999999999997E-2</v>
      </c>
      <c r="BY22" s="172">
        <v>8.6699999999999999E-2</v>
      </c>
      <c r="BZ22" s="172">
        <v>0.37769999999999998</v>
      </c>
      <c r="CA22" s="172">
        <v>0.20585999999999999</v>
      </c>
      <c r="CB22" s="172">
        <v>0.25675999999999999</v>
      </c>
      <c r="CC22" s="172">
        <v>0.64127000000000001</v>
      </c>
      <c r="CD22" s="172">
        <v>0.51751000000000003</v>
      </c>
      <c r="CE22" s="172">
        <v>0.34762999999999999</v>
      </c>
      <c r="CF22" s="172">
        <v>0.76659999999999995</v>
      </c>
      <c r="CG22" s="172">
        <v>0.61799999999999999</v>
      </c>
      <c r="CH22" s="172">
        <v>5.0709999999999998E-2</v>
      </c>
      <c r="CI22" s="172">
        <v>9.5229999999999995E-2</v>
      </c>
      <c r="CJ22" s="172">
        <v>0.58686000000000005</v>
      </c>
      <c r="CK22" s="172">
        <v>0.19400999999999999</v>
      </c>
      <c r="CL22" s="172">
        <v>0.51363000000000003</v>
      </c>
      <c r="CM22" s="172">
        <v>0.16724</v>
      </c>
      <c r="CN22" s="172">
        <v>0.28220000000000001</v>
      </c>
      <c r="CO22" s="172">
        <v>0.34278999999999998</v>
      </c>
      <c r="CP22" s="172">
        <v>0.19903000000000001</v>
      </c>
      <c r="CQ22" s="172">
        <v>0.33661999999999997</v>
      </c>
      <c r="CR22" s="172">
        <v>0.12311999999999999</v>
      </c>
      <c r="CS22" s="172">
        <v>0.31816</v>
      </c>
      <c r="CT22" s="172">
        <v>0.52829999999999999</v>
      </c>
      <c r="CU22" s="172">
        <v>0.22750000000000001</v>
      </c>
      <c r="CV22" s="172">
        <v>0.34836</v>
      </c>
      <c r="CW22" s="172">
        <v>0.2316</v>
      </c>
    </row>
    <row r="23" spans="1:101">
      <c r="A23" s="171">
        <f t="shared" si="1"/>
        <v>425</v>
      </c>
      <c r="B23" s="171">
        <v>1</v>
      </c>
      <c r="C23" s="172">
        <v>0.65146999999999999</v>
      </c>
      <c r="D23" s="172">
        <v>0.26778999999999997</v>
      </c>
      <c r="E23" s="172">
        <v>2.972E-2</v>
      </c>
      <c r="F23" s="172">
        <v>0.35610999999999998</v>
      </c>
      <c r="G23" s="172">
        <v>0.13886999999999999</v>
      </c>
      <c r="H23" s="172">
        <v>0.13975000000000001</v>
      </c>
      <c r="I23" s="172">
        <v>5.6939999999999998E-2</v>
      </c>
      <c r="J23" s="172">
        <v>5.7770000000000002E-2</v>
      </c>
      <c r="K23" s="172">
        <v>4.3740000000000001E-2</v>
      </c>
      <c r="L23" s="172">
        <v>0.19850000000000001</v>
      </c>
      <c r="M23" s="172">
        <v>8.7480000000000002E-2</v>
      </c>
      <c r="N23" s="172">
        <v>9.8710000000000006E-2</v>
      </c>
      <c r="O23" s="172">
        <v>4.419E-2</v>
      </c>
      <c r="P23" s="172">
        <v>0.34976000000000002</v>
      </c>
      <c r="Q23" s="172">
        <v>0.20029</v>
      </c>
      <c r="R23" s="172">
        <v>4.2119999999999998E-2</v>
      </c>
      <c r="S23" s="172">
        <v>5.1860000000000003E-2</v>
      </c>
      <c r="T23" s="172">
        <v>8.7520000000000001E-2</v>
      </c>
      <c r="U23" s="172">
        <v>0.12359000000000001</v>
      </c>
      <c r="V23" s="172">
        <v>3.0939999999999999E-2</v>
      </c>
      <c r="W23" s="172">
        <v>0.17219999999999999</v>
      </c>
      <c r="X23" s="172">
        <v>7.961E-2</v>
      </c>
      <c r="Y23" s="172">
        <v>0.49170999999999998</v>
      </c>
      <c r="Z23" s="172">
        <v>0.28249000000000002</v>
      </c>
      <c r="AA23" s="172">
        <v>5.5019999999999999E-2</v>
      </c>
      <c r="AB23" s="172">
        <v>0.15881000000000001</v>
      </c>
      <c r="AC23" s="172">
        <v>0.14548</v>
      </c>
      <c r="AD23" s="172">
        <v>4.3999999999999997E-2</v>
      </c>
      <c r="AE23" s="172">
        <v>6.6110000000000002E-2</v>
      </c>
      <c r="AF23" s="172">
        <v>3.5099999999999999E-2</v>
      </c>
      <c r="AG23" s="172">
        <v>8.5319999999999993E-2</v>
      </c>
      <c r="AH23" s="172">
        <v>4.2090000000000002E-2</v>
      </c>
      <c r="AI23" s="172">
        <v>0.22112000000000001</v>
      </c>
      <c r="AJ23" s="172">
        <v>4.4110000000000003E-2</v>
      </c>
      <c r="AK23" s="172">
        <v>5.042E-2</v>
      </c>
      <c r="AL23" s="172">
        <v>0.25618000000000002</v>
      </c>
      <c r="AM23" s="172">
        <v>5.0389999999999997E-2</v>
      </c>
      <c r="AN23" s="172">
        <v>0.12741</v>
      </c>
      <c r="AO23" s="172">
        <v>4.7410000000000001E-2</v>
      </c>
      <c r="AP23" s="172">
        <v>7.6829999999999996E-2</v>
      </c>
      <c r="AQ23" s="172">
        <v>0.44546000000000002</v>
      </c>
      <c r="AR23" s="172">
        <v>6.3070000000000001E-2</v>
      </c>
      <c r="AS23" s="172">
        <v>4.8849999999999998E-2</v>
      </c>
      <c r="AT23" s="172">
        <v>4.589E-2</v>
      </c>
      <c r="AU23" s="172">
        <v>6.1809999999999997E-2</v>
      </c>
      <c r="AV23" s="172">
        <v>0.12531999999999999</v>
      </c>
      <c r="AW23" s="172">
        <v>0.15293999999999999</v>
      </c>
      <c r="AX23" s="172">
        <v>0.12154</v>
      </c>
      <c r="AY23" s="172">
        <v>4.675E-2</v>
      </c>
      <c r="AZ23" s="172">
        <v>0.11458</v>
      </c>
      <c r="BA23" s="172">
        <v>0.14702999999999999</v>
      </c>
      <c r="BB23" s="172">
        <v>5.8009999999999999E-2</v>
      </c>
      <c r="BC23" s="172">
        <v>8.7359999999999993E-2</v>
      </c>
      <c r="BD23" s="172">
        <v>0.56754000000000004</v>
      </c>
      <c r="BE23" s="172">
        <v>0.49725000000000003</v>
      </c>
      <c r="BF23" s="172">
        <v>0.31130000000000002</v>
      </c>
      <c r="BG23" s="172">
        <v>0.15934000000000001</v>
      </c>
      <c r="BH23" s="172">
        <v>0.15464</v>
      </c>
      <c r="BI23" s="172">
        <v>0.67117000000000004</v>
      </c>
      <c r="BJ23" s="172">
        <v>0.65381</v>
      </c>
      <c r="BK23" s="172">
        <v>0.47150999999999998</v>
      </c>
      <c r="BL23" s="172">
        <v>0.26551000000000002</v>
      </c>
      <c r="BM23" s="172">
        <v>6.3560000000000005E-2</v>
      </c>
      <c r="BN23" s="172">
        <v>0.28427000000000002</v>
      </c>
      <c r="BO23" s="172">
        <v>0.11533</v>
      </c>
      <c r="BP23" s="172">
        <v>0.1578</v>
      </c>
      <c r="BQ23" s="172">
        <v>0.19467000000000001</v>
      </c>
      <c r="BR23" s="172">
        <v>0.36825999999999998</v>
      </c>
      <c r="BS23" s="172">
        <v>0.20679</v>
      </c>
      <c r="BT23" s="172">
        <v>0.58643999999999996</v>
      </c>
      <c r="BU23" s="172">
        <v>9.0020000000000003E-2</v>
      </c>
      <c r="BV23" s="172">
        <v>0.51073000000000002</v>
      </c>
      <c r="BW23" s="172">
        <v>0.38927</v>
      </c>
      <c r="BX23" s="172">
        <v>4.36E-2</v>
      </c>
      <c r="BY23" s="172">
        <v>9.6500000000000002E-2</v>
      </c>
      <c r="BZ23" s="172">
        <v>0.39674999999999999</v>
      </c>
      <c r="CA23" s="172">
        <v>0.22735</v>
      </c>
      <c r="CB23" s="172">
        <v>0.28939999999999999</v>
      </c>
      <c r="CC23" s="172">
        <v>0.64576</v>
      </c>
      <c r="CD23" s="172">
        <v>0.53376999999999997</v>
      </c>
      <c r="CE23" s="172">
        <v>0.35069</v>
      </c>
      <c r="CF23" s="172">
        <v>0.77259</v>
      </c>
      <c r="CG23" s="172">
        <v>0.61761999999999995</v>
      </c>
      <c r="CH23" s="172">
        <v>5.3339999999999999E-2</v>
      </c>
      <c r="CI23" s="172">
        <v>0.11233</v>
      </c>
      <c r="CJ23" s="172">
        <v>0.59284000000000003</v>
      </c>
      <c r="CK23" s="172">
        <v>0.20193</v>
      </c>
      <c r="CL23" s="172">
        <v>0.50938000000000005</v>
      </c>
      <c r="CM23" s="172">
        <v>0.16828000000000001</v>
      </c>
      <c r="CN23" s="172">
        <v>0.27711000000000002</v>
      </c>
      <c r="CO23" s="172">
        <v>0.40110000000000001</v>
      </c>
      <c r="CP23" s="172">
        <v>0.22337000000000001</v>
      </c>
      <c r="CQ23" s="172">
        <v>0.35357</v>
      </c>
      <c r="CR23" s="172">
        <v>0.13016</v>
      </c>
      <c r="CS23" s="172">
        <v>0.35643000000000002</v>
      </c>
      <c r="CT23" s="172">
        <v>0.54339999999999999</v>
      </c>
      <c r="CU23" s="172">
        <v>0.23063</v>
      </c>
      <c r="CV23" s="172">
        <v>0.35424</v>
      </c>
      <c r="CW23" s="172">
        <v>0.22794</v>
      </c>
    </row>
    <row r="24" spans="1:101">
      <c r="A24" s="171">
        <f t="shared" si="1"/>
        <v>430</v>
      </c>
      <c r="B24" s="171">
        <v>1</v>
      </c>
      <c r="C24" s="172">
        <v>0.65080000000000005</v>
      </c>
      <c r="D24" s="172">
        <v>0.26629999999999998</v>
      </c>
      <c r="E24" s="172">
        <v>4.199E-2</v>
      </c>
      <c r="F24" s="172">
        <v>0.34936</v>
      </c>
      <c r="G24" s="172">
        <v>0.13327</v>
      </c>
      <c r="H24" s="172">
        <v>0.14015</v>
      </c>
      <c r="I24" s="172">
        <v>5.7200000000000001E-2</v>
      </c>
      <c r="J24" s="172">
        <v>5.7950000000000002E-2</v>
      </c>
      <c r="K24" s="172">
        <v>4.4409999999999998E-2</v>
      </c>
      <c r="L24" s="172">
        <v>0.19472999999999999</v>
      </c>
      <c r="M24" s="172">
        <v>8.6440000000000003E-2</v>
      </c>
      <c r="N24" s="172">
        <v>9.4829999999999998E-2</v>
      </c>
      <c r="O24" s="172">
        <v>4.496E-2</v>
      </c>
      <c r="P24" s="172">
        <v>0.3513</v>
      </c>
      <c r="Q24" s="172">
        <v>0.2089</v>
      </c>
      <c r="R24" s="172">
        <v>4.3490000000000001E-2</v>
      </c>
      <c r="S24" s="172">
        <v>5.253E-2</v>
      </c>
      <c r="T24" s="172">
        <v>9.1800000000000007E-2</v>
      </c>
      <c r="U24" s="172">
        <v>0.1232</v>
      </c>
      <c r="V24" s="172">
        <v>2.572E-2</v>
      </c>
      <c r="W24" s="172">
        <v>0.17166999999999999</v>
      </c>
      <c r="X24" s="172">
        <v>8.233E-2</v>
      </c>
      <c r="Y24" s="172">
        <v>0.50041000000000002</v>
      </c>
      <c r="Z24" s="172">
        <v>0.28199999999999997</v>
      </c>
      <c r="AA24" s="172">
        <v>5.8319999999999997E-2</v>
      </c>
      <c r="AB24" s="172">
        <v>0.1613</v>
      </c>
      <c r="AC24" s="172">
        <v>0.17979999999999999</v>
      </c>
      <c r="AD24" s="172">
        <v>4.4560000000000002E-2</v>
      </c>
      <c r="AE24" s="172">
        <v>7.4829999999999994E-2</v>
      </c>
      <c r="AF24" s="172">
        <v>4.6179999999999999E-2</v>
      </c>
      <c r="AG24" s="172">
        <v>9.7119999999999998E-2</v>
      </c>
      <c r="AH24" s="172">
        <v>4.3999999999999997E-2</v>
      </c>
      <c r="AI24" s="172">
        <v>0.22921</v>
      </c>
      <c r="AJ24" s="172">
        <v>4.4330000000000001E-2</v>
      </c>
      <c r="AK24" s="172">
        <v>4.9799999999999997E-2</v>
      </c>
      <c r="AL24" s="172">
        <v>0.30712</v>
      </c>
      <c r="AM24" s="172">
        <v>5.0999999999999997E-2</v>
      </c>
      <c r="AN24" s="172">
        <v>0.16431000000000001</v>
      </c>
      <c r="AO24" s="172">
        <v>4.8230000000000002E-2</v>
      </c>
      <c r="AP24" s="172">
        <v>7.8009999999999996E-2</v>
      </c>
      <c r="AQ24" s="172">
        <v>0.4577</v>
      </c>
      <c r="AR24" s="172">
        <v>6.4140000000000003E-2</v>
      </c>
      <c r="AS24" s="172">
        <v>4.8899999999999999E-2</v>
      </c>
      <c r="AT24" s="172">
        <v>4.6100000000000002E-2</v>
      </c>
      <c r="AU24" s="172">
        <v>6.3640000000000002E-2</v>
      </c>
      <c r="AV24" s="172">
        <v>0.128</v>
      </c>
      <c r="AW24" s="172">
        <v>0.16009999999999999</v>
      </c>
      <c r="AX24" s="172">
        <v>0.14474000000000001</v>
      </c>
      <c r="AY24" s="172">
        <v>4.6809999999999997E-2</v>
      </c>
      <c r="AZ24" s="172">
        <v>0.11919</v>
      </c>
      <c r="BA24" s="172">
        <v>0.15303</v>
      </c>
      <c r="BB24" s="172">
        <v>5.8529999999999999E-2</v>
      </c>
      <c r="BC24" s="172">
        <v>9.0499999999999997E-2</v>
      </c>
      <c r="BD24" s="172">
        <v>0.58620000000000005</v>
      </c>
      <c r="BE24" s="172">
        <v>0.51775000000000004</v>
      </c>
      <c r="BF24" s="172">
        <v>0.32157999999999998</v>
      </c>
      <c r="BG24" s="172">
        <v>0.16769999999999999</v>
      </c>
      <c r="BH24" s="172">
        <v>0.16259000000000001</v>
      </c>
      <c r="BI24" s="172">
        <v>0.67559999999999998</v>
      </c>
      <c r="BJ24" s="172">
        <v>0.66908000000000001</v>
      </c>
      <c r="BK24" s="172">
        <v>0.48618</v>
      </c>
      <c r="BL24" s="172">
        <v>0.27899000000000002</v>
      </c>
      <c r="BM24" s="172">
        <v>6.429E-2</v>
      </c>
      <c r="BN24" s="172">
        <v>0.29487999999999998</v>
      </c>
      <c r="BO24" s="172">
        <v>0.11874999999999999</v>
      </c>
      <c r="BP24" s="172">
        <v>0.16550000000000001</v>
      </c>
      <c r="BQ24" s="172">
        <v>0.20419999999999999</v>
      </c>
      <c r="BR24" s="172">
        <v>0.38457000000000002</v>
      </c>
      <c r="BS24" s="172">
        <v>0.21629999999999999</v>
      </c>
      <c r="BT24" s="172">
        <v>0.61260999999999999</v>
      </c>
      <c r="BU24" s="172">
        <v>0.10340000000000001</v>
      </c>
      <c r="BV24" s="172">
        <v>0.51873999999999998</v>
      </c>
      <c r="BW24" s="172">
        <v>0.43736999999999998</v>
      </c>
      <c r="BX24" s="172">
        <v>4.5080000000000002E-2</v>
      </c>
      <c r="BY24" s="172">
        <v>0.1076</v>
      </c>
      <c r="BZ24" s="172">
        <v>0.41749999999999998</v>
      </c>
      <c r="CA24" s="172">
        <v>0.24648999999999999</v>
      </c>
      <c r="CB24" s="172">
        <v>0.32944000000000001</v>
      </c>
      <c r="CC24" s="172">
        <v>0.65031000000000005</v>
      </c>
      <c r="CD24" s="172">
        <v>0.54732999999999998</v>
      </c>
      <c r="CE24" s="172">
        <v>0.35499999999999998</v>
      </c>
      <c r="CF24" s="172">
        <v>0.77790000000000004</v>
      </c>
      <c r="CG24" s="172">
        <v>0.6159</v>
      </c>
      <c r="CH24" s="172">
        <v>5.5969999999999999E-2</v>
      </c>
      <c r="CI24" s="172">
        <v>0.13166</v>
      </c>
      <c r="CJ24" s="172">
        <v>0.59519999999999995</v>
      </c>
      <c r="CK24" s="172">
        <v>0.21099000000000001</v>
      </c>
      <c r="CL24" s="172">
        <v>0.50280000000000002</v>
      </c>
      <c r="CM24" s="172">
        <v>0.16927</v>
      </c>
      <c r="CN24" s="172">
        <v>0.27029999999999998</v>
      </c>
      <c r="CO24" s="172">
        <v>0.45479000000000003</v>
      </c>
      <c r="CP24" s="172">
        <v>0.24496999999999999</v>
      </c>
      <c r="CQ24" s="172">
        <v>0.36925000000000002</v>
      </c>
      <c r="CR24" s="172">
        <v>0.13628999999999999</v>
      </c>
      <c r="CS24" s="172">
        <v>0.39144000000000001</v>
      </c>
      <c r="CT24" s="172">
        <v>0.55591999999999997</v>
      </c>
      <c r="CU24" s="172">
        <v>0.23419999999999999</v>
      </c>
      <c r="CV24" s="172">
        <v>0.35854999999999998</v>
      </c>
      <c r="CW24" s="172">
        <v>0.22339999999999999</v>
      </c>
    </row>
    <row r="25" spans="1:101">
      <c r="A25" s="171">
        <f t="shared" si="1"/>
        <v>435</v>
      </c>
      <c r="B25" s="171">
        <v>1</v>
      </c>
      <c r="C25" s="172">
        <v>0.64822999999999997</v>
      </c>
      <c r="D25" s="172">
        <v>0.26349</v>
      </c>
      <c r="E25" s="172">
        <v>4.8959999999999997E-2</v>
      </c>
      <c r="F25" s="172">
        <v>0.34200000000000003</v>
      </c>
      <c r="G25" s="172">
        <v>0.12595000000000001</v>
      </c>
      <c r="H25" s="172">
        <v>0.13946</v>
      </c>
      <c r="I25" s="172">
        <v>5.7439999999999998E-2</v>
      </c>
      <c r="J25" s="172">
        <v>5.79E-2</v>
      </c>
      <c r="K25" s="172">
        <v>4.5159999999999999E-2</v>
      </c>
      <c r="L25" s="172">
        <v>0.19148999999999999</v>
      </c>
      <c r="M25" s="172">
        <v>8.5199999999999998E-2</v>
      </c>
      <c r="N25" s="172">
        <v>9.7670000000000007E-2</v>
      </c>
      <c r="O25" s="172">
        <v>4.5719999999999997E-2</v>
      </c>
      <c r="P25" s="172">
        <v>0.35260999999999998</v>
      </c>
      <c r="Q25" s="172">
        <v>0.22103</v>
      </c>
      <c r="R25" s="172">
        <v>4.5310000000000003E-2</v>
      </c>
      <c r="S25" s="172">
        <v>5.3460000000000001E-2</v>
      </c>
      <c r="T25" s="172">
        <v>9.6960000000000005E-2</v>
      </c>
      <c r="U25" s="172">
        <v>0.12298000000000001</v>
      </c>
      <c r="V25" s="172">
        <v>2.2419999999999999E-2</v>
      </c>
      <c r="W25" s="172">
        <v>0.17113999999999999</v>
      </c>
      <c r="X25" s="172">
        <v>8.5639999999999994E-2</v>
      </c>
      <c r="Y25" s="172">
        <v>0.50936999999999999</v>
      </c>
      <c r="Z25" s="172">
        <v>0.28134999999999999</v>
      </c>
      <c r="AA25" s="172">
        <v>5.8400000000000001E-2</v>
      </c>
      <c r="AB25" s="172">
        <v>0.16571</v>
      </c>
      <c r="AC25" s="172">
        <v>0.20757999999999999</v>
      </c>
      <c r="AD25" s="172">
        <v>4.6530000000000002E-2</v>
      </c>
      <c r="AE25" s="172">
        <v>8.6830000000000004E-2</v>
      </c>
      <c r="AF25" s="172">
        <v>5.858E-2</v>
      </c>
      <c r="AG25" s="172">
        <v>0.11108</v>
      </c>
      <c r="AH25" s="172">
        <v>4.6789999999999998E-2</v>
      </c>
      <c r="AI25" s="172">
        <v>0.24063000000000001</v>
      </c>
      <c r="AJ25" s="172">
        <v>4.4639999999999999E-2</v>
      </c>
      <c r="AK25" s="172">
        <v>4.9320000000000003E-2</v>
      </c>
      <c r="AL25" s="172">
        <v>0.35738999999999999</v>
      </c>
      <c r="AM25" s="172">
        <v>5.1769999999999997E-2</v>
      </c>
      <c r="AN25" s="172">
        <v>0.21013999999999999</v>
      </c>
      <c r="AO25" s="172">
        <v>4.9250000000000002E-2</v>
      </c>
      <c r="AP25" s="172">
        <v>7.9500000000000001E-2</v>
      </c>
      <c r="AQ25" s="172">
        <v>0.47231000000000001</v>
      </c>
      <c r="AR25" s="172">
        <v>6.54E-2</v>
      </c>
      <c r="AS25" s="172">
        <v>4.9500000000000002E-2</v>
      </c>
      <c r="AT25" s="172">
        <v>4.6289999999999998E-2</v>
      </c>
      <c r="AU25" s="172">
        <v>6.5360000000000001E-2</v>
      </c>
      <c r="AV25" s="172">
        <v>0.13152</v>
      </c>
      <c r="AW25" s="172">
        <v>0.16969999999999999</v>
      </c>
      <c r="AX25" s="172">
        <v>0.17179</v>
      </c>
      <c r="AY25" s="172">
        <v>4.7480000000000001E-2</v>
      </c>
      <c r="AZ25" s="172">
        <v>0.12413</v>
      </c>
      <c r="BA25" s="172">
        <v>0.15937000000000001</v>
      </c>
      <c r="BB25" s="172">
        <v>5.9369999999999999E-2</v>
      </c>
      <c r="BC25" s="172">
        <v>9.4030000000000002E-2</v>
      </c>
      <c r="BD25" s="172">
        <v>0.60333000000000003</v>
      </c>
      <c r="BE25" s="172">
        <v>0.53774</v>
      </c>
      <c r="BF25" s="172">
        <v>0.33252999999999999</v>
      </c>
      <c r="BG25" s="172">
        <v>0.17857000000000001</v>
      </c>
      <c r="BH25" s="172">
        <v>0.17127999999999999</v>
      </c>
      <c r="BI25" s="172">
        <v>0.67830000000000001</v>
      </c>
      <c r="BJ25" s="172">
        <v>0.68369999999999997</v>
      </c>
      <c r="BK25" s="172">
        <v>0.49914999999999998</v>
      </c>
      <c r="BL25" s="172">
        <v>0.29357</v>
      </c>
      <c r="BM25" s="172">
        <v>6.5189999999999998E-2</v>
      </c>
      <c r="BN25" s="172">
        <v>0.30635000000000001</v>
      </c>
      <c r="BO25" s="172">
        <v>0.12207</v>
      </c>
      <c r="BP25" s="172">
        <v>0.17466999999999999</v>
      </c>
      <c r="BQ25" s="172">
        <v>0.21573000000000001</v>
      </c>
      <c r="BR25" s="172">
        <v>0.39996999999999999</v>
      </c>
      <c r="BS25" s="172">
        <v>0.22539999999999999</v>
      </c>
      <c r="BT25" s="172">
        <v>0.63671999999999995</v>
      </c>
      <c r="BU25" s="172">
        <v>0.11814</v>
      </c>
      <c r="BV25" s="172">
        <v>0.52556000000000003</v>
      </c>
      <c r="BW25" s="172">
        <v>0.48743999999999998</v>
      </c>
      <c r="BX25" s="172">
        <v>4.6780000000000002E-2</v>
      </c>
      <c r="BY25" s="172">
        <v>0.11962</v>
      </c>
      <c r="BZ25" s="172">
        <v>0.43808000000000002</v>
      </c>
      <c r="CA25" s="172">
        <v>0.26234000000000002</v>
      </c>
      <c r="CB25" s="172">
        <v>0.37206</v>
      </c>
      <c r="CC25" s="172">
        <v>0.65295000000000003</v>
      </c>
      <c r="CD25" s="172">
        <v>0.55847000000000002</v>
      </c>
      <c r="CE25" s="172">
        <v>0.35271000000000002</v>
      </c>
      <c r="CF25" s="172">
        <v>0.78171000000000002</v>
      </c>
      <c r="CG25" s="172">
        <v>0.61212999999999995</v>
      </c>
      <c r="CH25" s="172">
        <v>5.8290000000000002E-2</v>
      </c>
      <c r="CI25" s="172">
        <v>0.14949999999999999</v>
      </c>
      <c r="CJ25" s="172">
        <v>0.59175999999999995</v>
      </c>
      <c r="CK25" s="172">
        <v>0.22114</v>
      </c>
      <c r="CL25" s="172">
        <v>0.49313000000000001</v>
      </c>
      <c r="CM25" s="172">
        <v>0.17537</v>
      </c>
      <c r="CN25" s="172">
        <v>0.26062999999999997</v>
      </c>
      <c r="CO25" s="172">
        <v>0.50149999999999995</v>
      </c>
      <c r="CP25" s="172">
        <v>0.26321</v>
      </c>
      <c r="CQ25" s="172">
        <v>0.38105</v>
      </c>
      <c r="CR25" s="172">
        <v>0.14162</v>
      </c>
      <c r="CS25" s="172">
        <v>0.42266999999999999</v>
      </c>
      <c r="CT25" s="172">
        <v>0.56810000000000005</v>
      </c>
      <c r="CU25" s="172">
        <v>0.23707</v>
      </c>
      <c r="CV25" s="172">
        <v>0.35975000000000001</v>
      </c>
      <c r="CW25" s="172">
        <v>0.21695</v>
      </c>
    </row>
    <row r="26" spans="1:101">
      <c r="A26" s="171">
        <f t="shared" si="1"/>
        <v>440</v>
      </c>
      <c r="B26" s="171">
        <v>1</v>
      </c>
      <c r="C26" s="172">
        <v>0.64400000000000002</v>
      </c>
      <c r="D26" s="172">
        <v>0.25900000000000001</v>
      </c>
      <c r="E26" s="172">
        <v>5.457E-2</v>
      </c>
      <c r="F26" s="172">
        <v>0.33382000000000001</v>
      </c>
      <c r="G26" s="172">
        <v>0.11738</v>
      </c>
      <c r="H26" s="172">
        <v>0.13788</v>
      </c>
      <c r="I26" s="172">
        <v>5.7599999999999998E-2</v>
      </c>
      <c r="J26" s="172">
        <v>5.7639999999999997E-2</v>
      </c>
      <c r="K26" s="172">
        <v>4.5960000000000001E-2</v>
      </c>
      <c r="L26" s="172">
        <v>0.18842</v>
      </c>
      <c r="M26" s="172">
        <v>8.3580000000000002E-2</v>
      </c>
      <c r="N26" s="172">
        <v>9.8290000000000002E-2</v>
      </c>
      <c r="O26" s="172">
        <v>4.6249999999999999E-2</v>
      </c>
      <c r="P26" s="172">
        <v>0.3538</v>
      </c>
      <c r="Q26" s="172">
        <v>0.23491999999999999</v>
      </c>
      <c r="R26" s="172">
        <v>4.7370000000000002E-2</v>
      </c>
      <c r="S26" s="172">
        <v>5.4699999999999999E-2</v>
      </c>
      <c r="T26" s="172">
        <v>0.10249999999999999</v>
      </c>
      <c r="U26" s="172">
        <v>0.123</v>
      </c>
      <c r="V26" s="172">
        <v>2.035E-2</v>
      </c>
      <c r="W26" s="172">
        <v>0.17068</v>
      </c>
      <c r="X26" s="172">
        <v>8.9760000000000006E-2</v>
      </c>
      <c r="Y26" s="172">
        <v>0.51814000000000004</v>
      </c>
      <c r="Z26" s="172">
        <v>0.28100000000000003</v>
      </c>
      <c r="AA26" s="172">
        <v>5.4620000000000002E-2</v>
      </c>
      <c r="AB26" s="172">
        <v>0.17169999999999999</v>
      </c>
      <c r="AC26" s="172">
        <v>0.22586999999999999</v>
      </c>
      <c r="AD26" s="172">
        <v>4.7109999999999999E-2</v>
      </c>
      <c r="AE26" s="172">
        <v>0.1027</v>
      </c>
      <c r="AF26" s="172">
        <v>7.3779999999999998E-2</v>
      </c>
      <c r="AG26" s="172">
        <v>0.12709999999999999</v>
      </c>
      <c r="AH26" s="172">
        <v>5.0500000000000003E-2</v>
      </c>
      <c r="AI26" s="172">
        <v>0.25763999999999998</v>
      </c>
      <c r="AJ26" s="172">
        <v>4.5109999999999997E-2</v>
      </c>
      <c r="AK26" s="172">
        <v>4.8989999999999999E-2</v>
      </c>
      <c r="AL26" s="172">
        <v>0.40412999999999999</v>
      </c>
      <c r="AM26" s="172">
        <v>5.2999999999999999E-2</v>
      </c>
      <c r="AN26" s="172">
        <v>0.26264999999999999</v>
      </c>
      <c r="AO26" s="172">
        <v>5.0389999999999997E-2</v>
      </c>
      <c r="AP26" s="172">
        <v>8.1299999999999997E-2</v>
      </c>
      <c r="AQ26" s="172">
        <v>0.48949999999999999</v>
      </c>
      <c r="AR26" s="172">
        <v>6.6820000000000004E-2</v>
      </c>
      <c r="AS26" s="172">
        <v>5.0900000000000001E-2</v>
      </c>
      <c r="AT26" s="172">
        <v>4.65E-2</v>
      </c>
      <c r="AU26" s="172">
        <v>6.8409999999999999E-2</v>
      </c>
      <c r="AV26" s="172">
        <v>0.13619999999999999</v>
      </c>
      <c r="AW26" s="172">
        <v>0.182</v>
      </c>
      <c r="AX26" s="172">
        <v>0.20227000000000001</v>
      </c>
      <c r="AY26" s="172">
        <v>4.8890000000000003E-2</v>
      </c>
      <c r="AZ26" s="172">
        <v>0.12931000000000001</v>
      </c>
      <c r="BA26" s="172">
        <v>0.16583000000000001</v>
      </c>
      <c r="BB26" s="172">
        <v>6.0589999999999998E-2</v>
      </c>
      <c r="BC26" s="172">
        <v>9.8000000000000004E-2</v>
      </c>
      <c r="BD26" s="172">
        <v>0.62039999999999995</v>
      </c>
      <c r="BE26" s="172">
        <v>0.55789</v>
      </c>
      <c r="BF26" s="172">
        <v>0.34437000000000001</v>
      </c>
      <c r="BG26" s="172">
        <v>0.19159999999999999</v>
      </c>
      <c r="BH26" s="172">
        <v>0.18103</v>
      </c>
      <c r="BI26" s="172">
        <v>0.68049999999999999</v>
      </c>
      <c r="BJ26" s="172">
        <v>0.69721</v>
      </c>
      <c r="BK26" s="172">
        <v>0.51039000000000001</v>
      </c>
      <c r="BL26" s="172">
        <v>0.30975999999999998</v>
      </c>
      <c r="BM26" s="172">
        <v>6.6500000000000004E-2</v>
      </c>
      <c r="BN26" s="172">
        <v>0.31906000000000001</v>
      </c>
      <c r="BO26" s="172">
        <v>0.1255</v>
      </c>
      <c r="BP26" s="172">
        <v>0.18540000000000001</v>
      </c>
      <c r="BQ26" s="172">
        <v>0.2291</v>
      </c>
      <c r="BR26" s="172">
        <v>0.41415000000000002</v>
      </c>
      <c r="BS26" s="172">
        <v>0.23380999999999999</v>
      </c>
      <c r="BT26" s="172">
        <v>0.65856999999999999</v>
      </c>
      <c r="BU26" s="172">
        <v>0.1336</v>
      </c>
      <c r="BV26" s="172">
        <v>0.53161999999999998</v>
      </c>
      <c r="BW26" s="172">
        <v>0.53051000000000004</v>
      </c>
      <c r="BX26" s="172">
        <v>4.8849999999999998E-2</v>
      </c>
      <c r="BY26" s="172">
        <v>0.13220000000000001</v>
      </c>
      <c r="BZ26" s="172">
        <v>0.45679999999999998</v>
      </c>
      <c r="CA26" s="172">
        <v>0.27424999999999999</v>
      </c>
      <c r="CB26" s="172">
        <v>0.40977000000000002</v>
      </c>
      <c r="CC26" s="172">
        <v>0.65239000000000003</v>
      </c>
      <c r="CD26" s="172">
        <v>0.56720000000000004</v>
      </c>
      <c r="CE26" s="172">
        <v>0.34519</v>
      </c>
      <c r="CF26" s="172">
        <v>0.78449999999999998</v>
      </c>
      <c r="CG26" s="172">
        <v>0.60709999999999997</v>
      </c>
      <c r="CH26" s="172">
        <v>6.0040000000000003E-2</v>
      </c>
      <c r="CI26" s="172">
        <v>0.15820000000000001</v>
      </c>
      <c r="CJ26" s="172">
        <v>0.58448</v>
      </c>
      <c r="CK26" s="172">
        <v>0.23055</v>
      </c>
      <c r="CL26" s="172">
        <v>0.48115999999999998</v>
      </c>
      <c r="CM26" s="172">
        <v>0.18160000000000001</v>
      </c>
      <c r="CN26" s="172">
        <v>0.249</v>
      </c>
      <c r="CO26" s="172">
        <v>0.53963000000000005</v>
      </c>
      <c r="CP26" s="172">
        <v>0.27932000000000001</v>
      </c>
      <c r="CQ26" s="172">
        <v>0.39054</v>
      </c>
      <c r="CR26" s="172">
        <v>0.14546999999999999</v>
      </c>
      <c r="CS26" s="172">
        <v>0.44627</v>
      </c>
      <c r="CT26" s="172">
        <v>0.57701999999999998</v>
      </c>
      <c r="CU26" s="172">
        <v>0.23810000000000001</v>
      </c>
      <c r="CV26" s="172">
        <v>0.35649999999999998</v>
      </c>
      <c r="CW26" s="172">
        <v>0.2092</v>
      </c>
    </row>
    <row r="27" spans="1:101">
      <c r="A27" s="171">
        <f t="shared" si="1"/>
        <v>445</v>
      </c>
      <c r="B27" s="171">
        <v>1</v>
      </c>
      <c r="C27" s="172">
        <v>0.63824999999999998</v>
      </c>
      <c r="D27" s="172">
        <v>0.25241000000000002</v>
      </c>
      <c r="E27" s="172">
        <v>5.6739999999999999E-2</v>
      </c>
      <c r="F27" s="172">
        <v>0.32411000000000001</v>
      </c>
      <c r="G27" s="172">
        <v>0.10793999999999999</v>
      </c>
      <c r="H27" s="172">
        <v>0.13541</v>
      </c>
      <c r="I27" s="172">
        <v>5.7630000000000001E-2</v>
      </c>
      <c r="J27" s="172">
        <v>5.7290000000000001E-2</v>
      </c>
      <c r="K27" s="172">
        <v>4.6809999999999997E-2</v>
      </c>
      <c r="L27" s="172">
        <v>0.18529000000000001</v>
      </c>
      <c r="M27" s="172">
        <v>8.1210000000000004E-2</v>
      </c>
      <c r="N27" s="172">
        <v>9.4740000000000005E-2</v>
      </c>
      <c r="O27" s="172">
        <v>4.641E-2</v>
      </c>
      <c r="P27" s="172">
        <v>0.35499000000000003</v>
      </c>
      <c r="Q27" s="172">
        <v>0.24851000000000001</v>
      </c>
      <c r="R27" s="172">
        <v>4.9439999999999998E-2</v>
      </c>
      <c r="S27" s="172">
        <v>5.6230000000000002E-2</v>
      </c>
      <c r="T27" s="172">
        <v>0.10789</v>
      </c>
      <c r="U27" s="172">
        <v>0.12334000000000001</v>
      </c>
      <c r="V27" s="172">
        <v>1.8589999999999999E-2</v>
      </c>
      <c r="W27" s="172">
        <v>0.17047000000000001</v>
      </c>
      <c r="X27" s="172">
        <v>9.4560000000000005E-2</v>
      </c>
      <c r="Y27" s="172">
        <v>0.52629999999999999</v>
      </c>
      <c r="Z27" s="172">
        <v>0.28161000000000003</v>
      </c>
      <c r="AA27" s="172">
        <v>5.2900000000000003E-2</v>
      </c>
      <c r="AB27" s="172">
        <v>0.17895</v>
      </c>
      <c r="AC27" s="172">
        <v>0.24071999999999999</v>
      </c>
      <c r="AD27" s="172">
        <v>4.7940000000000003E-2</v>
      </c>
      <c r="AE27" s="172">
        <v>0.12281</v>
      </c>
      <c r="AF27" s="172">
        <v>9.7110000000000002E-2</v>
      </c>
      <c r="AG27" s="172">
        <v>0.14513000000000001</v>
      </c>
      <c r="AH27" s="172">
        <v>5.5219999999999998E-2</v>
      </c>
      <c r="AI27" s="172">
        <v>0.28283000000000003</v>
      </c>
      <c r="AJ27" s="172">
        <v>4.589E-2</v>
      </c>
      <c r="AK27" s="172">
        <v>4.8829999999999998E-2</v>
      </c>
      <c r="AL27" s="172">
        <v>0.44396999999999998</v>
      </c>
      <c r="AM27" s="172">
        <v>5.4899999999999997E-2</v>
      </c>
      <c r="AN27" s="172">
        <v>0.31889000000000001</v>
      </c>
      <c r="AO27" s="172">
        <v>5.16E-2</v>
      </c>
      <c r="AP27" s="172">
        <v>8.3470000000000003E-2</v>
      </c>
      <c r="AQ27" s="172">
        <v>0.50976999999999995</v>
      </c>
      <c r="AR27" s="172">
        <v>6.8449999999999997E-2</v>
      </c>
      <c r="AS27" s="172">
        <v>5.3560000000000003E-2</v>
      </c>
      <c r="AT27" s="172">
        <v>4.6760000000000003E-2</v>
      </c>
      <c r="AU27" s="172">
        <v>7.0629999999999998E-2</v>
      </c>
      <c r="AV27" s="172">
        <v>0.14244999999999999</v>
      </c>
      <c r="AW27" s="172">
        <v>0.19736999999999999</v>
      </c>
      <c r="AX27" s="172">
        <v>0.23616000000000001</v>
      </c>
      <c r="AY27" s="172">
        <v>5.1029999999999999E-2</v>
      </c>
      <c r="AZ27" s="172">
        <v>0.13467000000000001</v>
      </c>
      <c r="BA27" s="172">
        <v>0.17226</v>
      </c>
      <c r="BB27" s="172">
        <v>6.2289999999999998E-2</v>
      </c>
      <c r="BC27" s="172">
        <v>0.10263</v>
      </c>
      <c r="BD27" s="172">
        <v>0.63907000000000003</v>
      </c>
      <c r="BE27" s="172">
        <v>0.57898000000000005</v>
      </c>
      <c r="BF27" s="172">
        <v>0.35808000000000001</v>
      </c>
      <c r="BG27" s="172">
        <v>0.20654</v>
      </c>
      <c r="BH27" s="172">
        <v>0.19242000000000001</v>
      </c>
      <c r="BI27" s="172">
        <v>0.68332000000000004</v>
      </c>
      <c r="BJ27" s="172">
        <v>0.70918000000000003</v>
      </c>
      <c r="BK27" s="172">
        <v>0.51992000000000005</v>
      </c>
      <c r="BL27" s="172">
        <v>0.32795999999999997</v>
      </c>
      <c r="BM27" s="172">
        <v>6.8349999999999994E-2</v>
      </c>
      <c r="BN27" s="172">
        <v>0.33377000000000001</v>
      </c>
      <c r="BO27" s="172">
        <v>0.1285</v>
      </c>
      <c r="BP27" s="172">
        <v>0.19797999999999999</v>
      </c>
      <c r="BQ27" s="172">
        <v>0.24431</v>
      </c>
      <c r="BR27" s="172">
        <v>0.4269</v>
      </c>
      <c r="BS27" s="172">
        <v>0.24135999999999999</v>
      </c>
      <c r="BT27" s="172">
        <v>0.67805000000000004</v>
      </c>
      <c r="BU27" s="172">
        <v>0.14924999999999999</v>
      </c>
      <c r="BV27" s="172">
        <v>0.53715999999999997</v>
      </c>
      <c r="BW27" s="172">
        <v>0.55903999999999998</v>
      </c>
      <c r="BX27" s="172">
        <v>5.1330000000000001E-2</v>
      </c>
      <c r="BY27" s="172">
        <v>0.14512</v>
      </c>
      <c r="BZ27" s="172">
        <v>0.47192000000000001</v>
      </c>
      <c r="CA27" s="172">
        <v>0.28312999999999999</v>
      </c>
      <c r="CB27" s="172">
        <v>0.43567</v>
      </c>
      <c r="CC27" s="172">
        <v>0.64837</v>
      </c>
      <c r="CD27" s="172">
        <v>0.57340000000000002</v>
      </c>
      <c r="CE27" s="172">
        <v>0.33814</v>
      </c>
      <c r="CF27" s="172">
        <v>0.78681999999999996</v>
      </c>
      <c r="CG27" s="172">
        <v>0.60152000000000005</v>
      </c>
      <c r="CH27" s="172">
        <v>6.105E-2</v>
      </c>
      <c r="CI27" s="172">
        <v>0.16275000000000001</v>
      </c>
      <c r="CJ27" s="172">
        <v>0.57574999999999998</v>
      </c>
      <c r="CK27" s="172">
        <v>0.23699999999999999</v>
      </c>
      <c r="CL27" s="172">
        <v>0.46804000000000001</v>
      </c>
      <c r="CM27" s="172">
        <v>0.18229999999999999</v>
      </c>
      <c r="CN27" s="172">
        <v>0.23663000000000001</v>
      </c>
      <c r="CO27" s="172">
        <v>0.56762000000000001</v>
      </c>
      <c r="CP27" s="172">
        <v>0.29203000000000001</v>
      </c>
      <c r="CQ27" s="172">
        <v>0.39974999999999999</v>
      </c>
      <c r="CR27" s="172">
        <v>0.14718000000000001</v>
      </c>
      <c r="CS27" s="172">
        <v>0.45905000000000001</v>
      </c>
      <c r="CT27" s="172">
        <v>0.5796</v>
      </c>
      <c r="CU27" s="172">
        <v>0.23624999999999999</v>
      </c>
      <c r="CV27" s="172">
        <v>0.34788999999999998</v>
      </c>
      <c r="CW27" s="172">
        <v>0.20100000000000001</v>
      </c>
    </row>
    <row r="28" spans="1:101">
      <c r="A28" s="171">
        <f t="shared" si="1"/>
        <v>450</v>
      </c>
      <c r="B28" s="171">
        <v>1</v>
      </c>
      <c r="C28" s="172">
        <v>0.63009999999999999</v>
      </c>
      <c r="D28" s="172">
        <v>0.24310000000000001</v>
      </c>
      <c r="E28" s="172">
        <v>5.4100000000000002E-2</v>
      </c>
      <c r="F28" s="172">
        <v>0.31281999999999999</v>
      </c>
      <c r="G28" s="172">
        <v>9.819E-2</v>
      </c>
      <c r="H28" s="172">
        <v>0.13217000000000001</v>
      </c>
      <c r="I28" s="172">
        <v>5.7299999999999997E-2</v>
      </c>
      <c r="J28" s="172">
        <v>5.7070000000000003E-2</v>
      </c>
      <c r="K28" s="172">
        <v>4.7710000000000002E-2</v>
      </c>
      <c r="L28" s="172">
        <v>0.18231</v>
      </c>
      <c r="M28" s="172">
        <v>7.8060000000000004E-2</v>
      </c>
      <c r="N28" s="172">
        <v>9.3950000000000006E-2</v>
      </c>
      <c r="O28" s="172">
        <v>4.6440000000000002E-2</v>
      </c>
      <c r="P28" s="172">
        <v>0.35620000000000002</v>
      </c>
      <c r="Q28" s="172">
        <v>0.26083000000000001</v>
      </c>
      <c r="R28" s="172">
        <v>5.1659999999999998E-2</v>
      </c>
      <c r="S28" s="172">
        <v>5.8049999999999997E-2</v>
      </c>
      <c r="T28" s="172">
        <v>0.1129</v>
      </c>
      <c r="U28" s="172">
        <v>0.12379999999999999</v>
      </c>
      <c r="V28" s="172">
        <v>1.787E-2</v>
      </c>
      <c r="W28" s="172">
        <v>0.17068</v>
      </c>
      <c r="X28" s="172">
        <v>9.9860000000000004E-2</v>
      </c>
      <c r="Y28" s="172">
        <v>0.53427000000000002</v>
      </c>
      <c r="Z28" s="172">
        <v>0.28320000000000001</v>
      </c>
      <c r="AA28" s="172">
        <v>5.3039999999999997E-2</v>
      </c>
      <c r="AB28" s="172">
        <v>0.18759999999999999</v>
      </c>
      <c r="AC28" s="172">
        <v>0.25485999999999998</v>
      </c>
      <c r="AD28" s="172">
        <v>4.8009999999999997E-2</v>
      </c>
      <c r="AE28" s="172">
        <v>0.14710999999999999</v>
      </c>
      <c r="AF28" s="172">
        <v>0.12842999999999999</v>
      </c>
      <c r="AG28" s="172">
        <v>0.16550999999999999</v>
      </c>
      <c r="AH28" s="172">
        <v>6.13E-2</v>
      </c>
      <c r="AI28" s="172">
        <v>0.31841000000000003</v>
      </c>
      <c r="AJ28" s="172">
        <v>4.7210000000000002E-2</v>
      </c>
      <c r="AK28" s="172">
        <v>4.8849999999999998E-2</v>
      </c>
      <c r="AL28" s="172">
        <v>0.47549000000000002</v>
      </c>
      <c r="AM28" s="172">
        <v>5.7000000000000002E-2</v>
      </c>
      <c r="AN28" s="172">
        <v>0.37622</v>
      </c>
      <c r="AO28" s="172">
        <v>5.2970000000000003E-2</v>
      </c>
      <c r="AP28" s="172">
        <v>8.6249999999999993E-2</v>
      </c>
      <c r="AQ28" s="172">
        <v>0.5333</v>
      </c>
      <c r="AR28" s="172">
        <v>7.0499999999999993E-2</v>
      </c>
      <c r="AS28" s="172">
        <v>5.8200000000000002E-2</v>
      </c>
      <c r="AT28" s="172">
        <v>4.7E-2</v>
      </c>
      <c r="AU28" s="172">
        <v>7.3330000000000006E-2</v>
      </c>
      <c r="AV28" s="172">
        <v>0.1507</v>
      </c>
      <c r="AW28" s="172">
        <v>0.2162</v>
      </c>
      <c r="AX28" s="172">
        <v>0.27292</v>
      </c>
      <c r="AY28" s="172">
        <v>5.4179999999999999E-2</v>
      </c>
      <c r="AZ28" s="172">
        <v>0.14052000000000001</v>
      </c>
      <c r="BA28" s="172">
        <v>0.17913000000000001</v>
      </c>
      <c r="BB28" s="172">
        <v>6.4710000000000004E-2</v>
      </c>
      <c r="BC28" s="172">
        <v>0.1086</v>
      </c>
      <c r="BD28" s="172">
        <v>0.65890000000000004</v>
      </c>
      <c r="BE28" s="172">
        <v>0.60124999999999995</v>
      </c>
      <c r="BF28" s="172">
        <v>0.37612000000000001</v>
      </c>
      <c r="BG28" s="172">
        <v>0.2238</v>
      </c>
      <c r="BH28" s="172">
        <v>0.20673</v>
      </c>
      <c r="BI28" s="172">
        <v>0.68689999999999996</v>
      </c>
      <c r="BJ28" s="172">
        <v>0.71972999999999998</v>
      </c>
      <c r="BK28" s="172">
        <v>0.52805999999999997</v>
      </c>
      <c r="BL28" s="172">
        <v>0.34749000000000002</v>
      </c>
      <c r="BM28" s="172">
        <v>7.0800000000000002E-2</v>
      </c>
      <c r="BN28" s="172">
        <v>0.35149999999999998</v>
      </c>
      <c r="BO28" s="172">
        <v>0.13206000000000001</v>
      </c>
      <c r="BP28" s="172">
        <v>0.21299999999999999</v>
      </c>
      <c r="BQ28" s="172">
        <v>0.26200000000000001</v>
      </c>
      <c r="BR28" s="172">
        <v>0.43836000000000003</v>
      </c>
      <c r="BS28" s="172">
        <v>0.24814</v>
      </c>
      <c r="BT28" s="172">
        <v>0.69494999999999996</v>
      </c>
      <c r="BU28" s="172">
        <v>0.16520000000000001</v>
      </c>
      <c r="BV28" s="172">
        <v>0.54203000000000001</v>
      </c>
      <c r="BW28" s="172">
        <v>0.57418999999999998</v>
      </c>
      <c r="BX28" s="172">
        <v>5.391E-2</v>
      </c>
      <c r="BY28" s="172">
        <v>0.15870000000000001</v>
      </c>
      <c r="BZ28" s="172">
        <v>0.48120000000000002</v>
      </c>
      <c r="CA28" s="172">
        <v>0.29061999999999999</v>
      </c>
      <c r="CB28" s="172">
        <v>0.44790000000000002</v>
      </c>
      <c r="CC28" s="172">
        <v>0.64415</v>
      </c>
      <c r="CD28" s="172">
        <v>0.57682999999999995</v>
      </c>
      <c r="CE28" s="172">
        <v>0.33334999999999998</v>
      </c>
      <c r="CF28" s="172">
        <v>0.78820000000000001</v>
      </c>
      <c r="CG28" s="172">
        <v>0.59440000000000004</v>
      </c>
      <c r="CH28" s="172">
        <v>6.1530000000000001E-2</v>
      </c>
      <c r="CI28" s="172">
        <v>0.17107</v>
      </c>
      <c r="CJ28" s="172">
        <v>0.56542000000000003</v>
      </c>
      <c r="CK28" s="172">
        <v>0.23849000000000001</v>
      </c>
      <c r="CL28" s="172">
        <v>0.45465</v>
      </c>
      <c r="CM28" s="172">
        <v>0.17906</v>
      </c>
      <c r="CN28" s="172">
        <v>0.22389999999999999</v>
      </c>
      <c r="CO28" s="172">
        <v>0.58708000000000005</v>
      </c>
      <c r="CP28" s="172">
        <v>0.2999</v>
      </c>
      <c r="CQ28" s="172">
        <v>0.40838999999999998</v>
      </c>
      <c r="CR28" s="172">
        <v>0.14699999999999999</v>
      </c>
      <c r="CS28" s="172">
        <v>0.46389999999999998</v>
      </c>
      <c r="CT28" s="172">
        <v>0.57732000000000006</v>
      </c>
      <c r="CU28" s="172">
        <v>0.23089999999999999</v>
      </c>
      <c r="CV28" s="172">
        <v>0.33439999999999998</v>
      </c>
      <c r="CW28" s="172">
        <v>0.19259999999999999</v>
      </c>
    </row>
    <row r="29" spans="1:101">
      <c r="A29" s="171">
        <f t="shared" si="1"/>
        <v>455</v>
      </c>
      <c r="B29" s="171">
        <v>1</v>
      </c>
      <c r="C29" s="172">
        <v>0.61895</v>
      </c>
      <c r="D29" s="172">
        <v>0.23086000000000001</v>
      </c>
      <c r="E29" s="172">
        <v>5.4870000000000002E-2</v>
      </c>
      <c r="F29" s="172">
        <v>0.29815999999999998</v>
      </c>
      <c r="G29" s="172">
        <v>8.8679999999999995E-2</v>
      </c>
      <c r="H29" s="172">
        <v>0.12834999999999999</v>
      </c>
      <c r="I29" s="172">
        <v>5.6460000000000003E-2</v>
      </c>
      <c r="J29" s="172">
        <v>5.7149999999999999E-2</v>
      </c>
      <c r="K29" s="172">
        <v>4.8619999999999997E-2</v>
      </c>
      <c r="L29" s="172">
        <v>0.17978</v>
      </c>
      <c r="M29" s="172">
        <v>7.4230000000000004E-2</v>
      </c>
      <c r="N29" s="172">
        <v>9.1910000000000006E-2</v>
      </c>
      <c r="O29" s="172">
        <v>4.6550000000000001E-2</v>
      </c>
      <c r="P29" s="172">
        <v>0.35737999999999998</v>
      </c>
      <c r="Q29" s="172">
        <v>0.27134999999999998</v>
      </c>
      <c r="R29" s="172">
        <v>5.4190000000000002E-2</v>
      </c>
      <c r="S29" s="172">
        <v>6.0159999999999998E-2</v>
      </c>
      <c r="T29" s="172">
        <v>0.11747</v>
      </c>
      <c r="U29" s="172">
        <v>0.12417</v>
      </c>
      <c r="V29" s="172">
        <v>1.9429999999999999E-2</v>
      </c>
      <c r="W29" s="172">
        <v>0.17150000000000001</v>
      </c>
      <c r="X29" s="172">
        <v>0.10553999999999999</v>
      </c>
      <c r="Y29" s="172">
        <v>0.54259999999999997</v>
      </c>
      <c r="Z29" s="172">
        <v>0.28566999999999998</v>
      </c>
      <c r="AA29" s="172">
        <v>5.21E-2</v>
      </c>
      <c r="AB29" s="172">
        <v>0.19777</v>
      </c>
      <c r="AC29" s="172">
        <v>0.26272000000000001</v>
      </c>
      <c r="AD29" s="172">
        <v>4.5370000000000001E-2</v>
      </c>
      <c r="AE29" s="172">
        <v>0.17523</v>
      </c>
      <c r="AF29" s="172">
        <v>0.16070999999999999</v>
      </c>
      <c r="AG29" s="172">
        <v>0.1885</v>
      </c>
      <c r="AH29" s="172">
        <v>6.9129999999999997E-2</v>
      </c>
      <c r="AI29" s="172">
        <v>0.36487000000000003</v>
      </c>
      <c r="AJ29" s="172">
        <v>4.9230000000000003E-2</v>
      </c>
      <c r="AK29" s="172">
        <v>4.9029999999999997E-2</v>
      </c>
      <c r="AL29" s="172">
        <v>0.49917</v>
      </c>
      <c r="AM29" s="172">
        <v>5.8749999999999997E-2</v>
      </c>
      <c r="AN29" s="172">
        <v>0.43059999999999998</v>
      </c>
      <c r="AO29" s="172">
        <v>5.4530000000000002E-2</v>
      </c>
      <c r="AP29" s="172">
        <v>8.9639999999999997E-2</v>
      </c>
      <c r="AQ29" s="172">
        <v>0.55996000000000001</v>
      </c>
      <c r="AR29" s="172">
        <v>7.3279999999999998E-2</v>
      </c>
      <c r="AS29" s="172">
        <v>6.5439999999999998E-2</v>
      </c>
      <c r="AT29" s="172">
        <v>4.7140000000000001E-2</v>
      </c>
      <c r="AU29" s="172">
        <v>7.8310000000000005E-2</v>
      </c>
      <c r="AV29" s="172">
        <v>0.16141</v>
      </c>
      <c r="AW29" s="172">
        <v>0.23885999999999999</v>
      </c>
      <c r="AX29" s="172">
        <v>0.31152999999999997</v>
      </c>
      <c r="AY29" s="172">
        <v>5.8790000000000002E-2</v>
      </c>
      <c r="AZ29" s="172">
        <v>0.14713999999999999</v>
      </c>
      <c r="BA29" s="172">
        <v>0.18679999999999999</v>
      </c>
      <c r="BB29" s="172">
        <v>6.7839999999999998E-2</v>
      </c>
      <c r="BC29" s="172">
        <v>0.11658</v>
      </c>
      <c r="BD29" s="172">
        <v>0.67891000000000001</v>
      </c>
      <c r="BE29" s="172">
        <v>0.62458000000000002</v>
      </c>
      <c r="BF29" s="172">
        <v>0.40032000000000001</v>
      </c>
      <c r="BG29" s="172">
        <v>0.24393999999999999</v>
      </c>
      <c r="BH29" s="172">
        <v>0.22517999999999999</v>
      </c>
      <c r="BI29" s="172">
        <v>0.69118999999999997</v>
      </c>
      <c r="BJ29" s="172">
        <v>0.72911999999999999</v>
      </c>
      <c r="BK29" s="172">
        <v>0.53496999999999995</v>
      </c>
      <c r="BL29" s="172">
        <v>0.36732999999999999</v>
      </c>
      <c r="BM29" s="172">
        <v>7.3929999999999996E-2</v>
      </c>
      <c r="BN29" s="172">
        <v>0.37309999999999999</v>
      </c>
      <c r="BO29" s="172">
        <v>0.13733000000000001</v>
      </c>
      <c r="BP29" s="172">
        <v>0.23107</v>
      </c>
      <c r="BQ29" s="172">
        <v>0.28281000000000001</v>
      </c>
      <c r="BR29" s="172">
        <v>0.44836999999999999</v>
      </c>
      <c r="BS29" s="172">
        <v>0.25398999999999999</v>
      </c>
      <c r="BT29" s="172">
        <v>0.70889999999999997</v>
      </c>
      <c r="BU29" s="172">
        <v>0.18140999999999999</v>
      </c>
      <c r="BV29" s="172">
        <v>0.54598000000000002</v>
      </c>
      <c r="BW29" s="172">
        <v>0.57916000000000001</v>
      </c>
      <c r="BX29" s="172">
        <v>5.6230000000000002E-2</v>
      </c>
      <c r="BY29" s="172">
        <v>0.17307</v>
      </c>
      <c r="BZ29" s="172">
        <v>0.48293000000000003</v>
      </c>
      <c r="CA29" s="172">
        <v>0.29480000000000001</v>
      </c>
      <c r="CB29" s="172">
        <v>0.44653999999999999</v>
      </c>
      <c r="CC29" s="172">
        <v>0.64297000000000004</v>
      </c>
      <c r="CD29" s="172">
        <v>0.57723000000000002</v>
      </c>
      <c r="CE29" s="172">
        <v>0.32584999999999997</v>
      </c>
      <c r="CF29" s="172">
        <v>0.78803999999999996</v>
      </c>
      <c r="CG29" s="172">
        <v>0.58477999999999997</v>
      </c>
      <c r="CH29" s="172">
        <v>6.1710000000000001E-2</v>
      </c>
      <c r="CI29" s="172">
        <v>0.17496</v>
      </c>
      <c r="CJ29" s="172">
        <v>0.55286999999999997</v>
      </c>
      <c r="CK29" s="172">
        <v>0.23383999999999999</v>
      </c>
      <c r="CL29" s="172">
        <v>0.44163999999999998</v>
      </c>
      <c r="CM29" s="172">
        <v>0.17458000000000001</v>
      </c>
      <c r="CN29" s="172">
        <v>0.21107000000000001</v>
      </c>
      <c r="CO29" s="172">
        <v>0.60060999999999998</v>
      </c>
      <c r="CP29" s="172">
        <v>0.30270000000000002</v>
      </c>
      <c r="CQ29" s="172">
        <v>0.41538999999999998</v>
      </c>
      <c r="CR29" s="172">
        <v>0.14527999999999999</v>
      </c>
      <c r="CS29" s="172">
        <v>0.46464</v>
      </c>
      <c r="CT29" s="172">
        <v>0.57245000000000001</v>
      </c>
      <c r="CU29" s="172">
        <v>0.22181999999999999</v>
      </c>
      <c r="CV29" s="172">
        <v>0.31698999999999999</v>
      </c>
      <c r="CW29" s="172">
        <v>0.18414</v>
      </c>
    </row>
    <row r="30" spans="1:101">
      <c r="A30" s="171">
        <f t="shared" si="1"/>
        <v>460</v>
      </c>
      <c r="B30" s="171">
        <v>1</v>
      </c>
      <c r="C30" s="172">
        <v>0.60629999999999995</v>
      </c>
      <c r="D30" s="172">
        <v>0.2175</v>
      </c>
      <c r="E30" s="172">
        <v>5.9080000000000001E-2</v>
      </c>
      <c r="F30" s="172">
        <v>0.27982000000000001</v>
      </c>
      <c r="G30" s="172">
        <v>7.9780000000000004E-2</v>
      </c>
      <c r="H30" s="172">
        <v>0.12428</v>
      </c>
      <c r="I30" s="172">
        <v>5.5300000000000002E-2</v>
      </c>
      <c r="J30" s="172">
        <v>5.7250000000000002E-2</v>
      </c>
      <c r="K30" s="172">
        <v>4.9360000000000001E-2</v>
      </c>
      <c r="L30" s="172">
        <v>0.17804</v>
      </c>
      <c r="M30" s="172">
        <v>6.9980000000000001E-2</v>
      </c>
      <c r="N30" s="172">
        <v>8.6029999999999995E-2</v>
      </c>
      <c r="O30" s="172">
        <v>4.6350000000000002E-2</v>
      </c>
      <c r="P30" s="172">
        <v>0.35849999999999999</v>
      </c>
      <c r="Q30" s="172">
        <v>0.28027000000000002</v>
      </c>
      <c r="R30" s="172">
        <v>5.6959999999999997E-2</v>
      </c>
      <c r="S30" s="172">
        <v>6.2489999999999997E-2</v>
      </c>
      <c r="T30" s="172">
        <v>0.12180000000000001</v>
      </c>
      <c r="U30" s="172">
        <v>0.1245</v>
      </c>
      <c r="V30" s="172">
        <v>2.4719999999999999E-2</v>
      </c>
      <c r="W30" s="172">
        <v>0.17316000000000001</v>
      </c>
      <c r="X30" s="172">
        <v>0.11176999999999999</v>
      </c>
      <c r="Y30" s="172">
        <v>0.55150999999999994</v>
      </c>
      <c r="Z30" s="172">
        <v>0.28899999999999998</v>
      </c>
      <c r="AA30" s="172">
        <v>5.0750000000000003E-2</v>
      </c>
      <c r="AB30" s="172">
        <v>0.20899999999999999</v>
      </c>
      <c r="AC30" s="172">
        <v>0.26805000000000001</v>
      </c>
      <c r="AD30" s="172">
        <v>4.5560000000000003E-2</v>
      </c>
      <c r="AE30" s="172">
        <v>0.20610999999999999</v>
      </c>
      <c r="AF30" s="172">
        <v>0.18945000000000001</v>
      </c>
      <c r="AG30" s="172">
        <v>0.21364</v>
      </c>
      <c r="AH30" s="172">
        <v>7.8899999999999998E-2</v>
      </c>
      <c r="AI30" s="172">
        <v>0.41631000000000001</v>
      </c>
      <c r="AJ30" s="172">
        <v>5.1639999999999998E-2</v>
      </c>
      <c r="AK30" s="172">
        <v>4.929E-2</v>
      </c>
      <c r="AL30" s="172">
        <v>0.51519000000000004</v>
      </c>
      <c r="AM30" s="172">
        <v>0.06</v>
      </c>
      <c r="AN30" s="172">
        <v>0.47843999999999998</v>
      </c>
      <c r="AO30" s="172">
        <v>5.595E-2</v>
      </c>
      <c r="AP30" s="172">
        <v>9.2429999999999998E-2</v>
      </c>
      <c r="AQ30" s="172">
        <v>0.58879999999999999</v>
      </c>
      <c r="AR30" s="172">
        <v>7.7249999999999999E-2</v>
      </c>
      <c r="AS30" s="172">
        <v>7.51E-2</v>
      </c>
      <c r="AT30" s="172">
        <v>4.7199999999999999E-2</v>
      </c>
      <c r="AU30" s="172">
        <v>8.4699999999999998E-2</v>
      </c>
      <c r="AV30" s="172">
        <v>0.17519999999999999</v>
      </c>
      <c r="AW30" s="172">
        <v>0.2656</v>
      </c>
      <c r="AX30" s="172">
        <v>0.34939999999999999</v>
      </c>
      <c r="AY30" s="172">
        <v>6.5589999999999996E-2</v>
      </c>
      <c r="AZ30" s="172">
        <v>0.15412000000000001</v>
      </c>
      <c r="BA30" s="172">
        <v>0.19470999999999999</v>
      </c>
      <c r="BB30" s="172">
        <v>7.0480000000000001E-2</v>
      </c>
      <c r="BC30" s="172">
        <v>0.12670000000000001</v>
      </c>
      <c r="BD30" s="172">
        <v>0.69799999999999995</v>
      </c>
      <c r="BE30" s="172">
        <v>0.64803999999999995</v>
      </c>
      <c r="BF30" s="172">
        <v>0.42836000000000002</v>
      </c>
      <c r="BG30" s="172">
        <v>0.26740000000000003</v>
      </c>
      <c r="BH30" s="172">
        <v>0.24804000000000001</v>
      </c>
      <c r="BI30" s="172">
        <v>0.69650000000000001</v>
      </c>
      <c r="BJ30" s="172">
        <v>0.73751</v>
      </c>
      <c r="BK30" s="172">
        <v>0.53986999999999996</v>
      </c>
      <c r="BL30" s="172">
        <v>0.38621</v>
      </c>
      <c r="BM30" s="172">
        <v>7.8009999999999996E-2</v>
      </c>
      <c r="BN30" s="172">
        <v>0.39842</v>
      </c>
      <c r="BO30" s="172">
        <v>0.14466999999999999</v>
      </c>
      <c r="BP30" s="172">
        <v>0.25240000000000001</v>
      </c>
      <c r="BQ30" s="172">
        <v>0.30680000000000002</v>
      </c>
      <c r="BR30" s="172">
        <v>0.45535999999999999</v>
      </c>
      <c r="BS30" s="172">
        <v>0.25741000000000003</v>
      </c>
      <c r="BT30" s="172">
        <v>0.71896000000000004</v>
      </c>
      <c r="BU30" s="172">
        <v>0.19670000000000001</v>
      </c>
      <c r="BV30" s="172">
        <v>0.54903000000000002</v>
      </c>
      <c r="BW30" s="172">
        <v>0.57667999999999997</v>
      </c>
      <c r="BX30" s="172">
        <v>5.7979999999999997E-2</v>
      </c>
      <c r="BY30" s="172">
        <v>0.18690000000000001</v>
      </c>
      <c r="BZ30" s="172">
        <v>0.47789999999999999</v>
      </c>
      <c r="CA30" s="172">
        <v>0.29516999999999999</v>
      </c>
      <c r="CB30" s="172">
        <v>0.43439</v>
      </c>
      <c r="CC30" s="172">
        <v>0.64444999999999997</v>
      </c>
      <c r="CD30" s="172">
        <v>0.57440999999999998</v>
      </c>
      <c r="CE30" s="172">
        <v>0.31342999999999999</v>
      </c>
      <c r="CF30" s="172">
        <v>0.78620000000000001</v>
      </c>
      <c r="CG30" s="172">
        <v>0.5736</v>
      </c>
      <c r="CH30" s="172">
        <v>6.1429999999999998E-2</v>
      </c>
      <c r="CI30" s="172">
        <v>0.17394999999999999</v>
      </c>
      <c r="CJ30" s="172">
        <v>0.53820999999999997</v>
      </c>
      <c r="CK30" s="172">
        <v>0.22469</v>
      </c>
      <c r="CL30" s="172">
        <v>0.42903000000000002</v>
      </c>
      <c r="CM30" s="172">
        <v>0.16855999999999999</v>
      </c>
      <c r="CN30" s="172">
        <v>0.19869999999999999</v>
      </c>
      <c r="CO30" s="172">
        <v>0.60850000000000004</v>
      </c>
      <c r="CP30" s="172">
        <v>0.30153999999999997</v>
      </c>
      <c r="CQ30" s="172">
        <v>0.41876999999999998</v>
      </c>
      <c r="CR30" s="172">
        <v>0.14180000000000001</v>
      </c>
      <c r="CS30" s="172">
        <v>0.46288000000000001</v>
      </c>
      <c r="CT30" s="172">
        <v>0.56571000000000005</v>
      </c>
      <c r="CU30" s="172">
        <v>0.20979999999999999</v>
      </c>
      <c r="CV30" s="172">
        <v>0.29727999999999999</v>
      </c>
      <c r="CW30" s="172">
        <v>0.17580000000000001</v>
      </c>
    </row>
    <row r="31" spans="1:101">
      <c r="A31" s="171">
        <f t="shared" si="1"/>
        <v>465</v>
      </c>
      <c r="B31" s="171">
        <v>1</v>
      </c>
      <c r="C31" s="172">
        <v>0.59360999999999997</v>
      </c>
      <c r="D31" s="172">
        <v>0.20471</v>
      </c>
      <c r="E31" s="172">
        <v>6.0749999999999998E-2</v>
      </c>
      <c r="F31" s="172">
        <v>0.26041999999999998</v>
      </c>
      <c r="G31" s="172">
        <v>7.1819999999999995E-2</v>
      </c>
      <c r="H31" s="172">
        <v>0.12021</v>
      </c>
      <c r="I31" s="172">
        <v>5.4059999999999997E-2</v>
      </c>
      <c r="J31" s="172">
        <v>5.7110000000000001E-2</v>
      </c>
      <c r="K31" s="172">
        <v>4.981E-2</v>
      </c>
      <c r="L31" s="172">
        <v>0.17718</v>
      </c>
      <c r="M31" s="172">
        <v>6.5540000000000001E-2</v>
      </c>
      <c r="N31" s="172">
        <v>8.133E-2</v>
      </c>
      <c r="O31" s="172">
        <v>4.5569999999999999E-2</v>
      </c>
      <c r="P31" s="172">
        <v>0.35954999999999998</v>
      </c>
      <c r="Q31" s="172">
        <v>0.28799000000000002</v>
      </c>
      <c r="R31" s="172">
        <v>5.9889999999999999E-2</v>
      </c>
      <c r="S31" s="172">
        <v>6.4920000000000005E-2</v>
      </c>
      <c r="T31" s="172">
        <v>0.12611</v>
      </c>
      <c r="U31" s="172">
        <v>0.12484000000000001</v>
      </c>
      <c r="V31" s="172">
        <v>3.5770000000000003E-2</v>
      </c>
      <c r="W31" s="172">
        <v>0.17585999999999999</v>
      </c>
      <c r="X31" s="172">
        <v>0.11877</v>
      </c>
      <c r="Y31" s="172">
        <v>0.56098999999999999</v>
      </c>
      <c r="Z31" s="172">
        <v>0.29330000000000001</v>
      </c>
      <c r="AA31" s="172">
        <v>5.1279999999999999E-2</v>
      </c>
      <c r="AB31" s="172">
        <v>0.22112000000000001</v>
      </c>
      <c r="AC31" s="172">
        <v>0.27811999999999998</v>
      </c>
      <c r="AD31" s="172">
        <v>4.5740000000000003E-2</v>
      </c>
      <c r="AE31" s="172">
        <v>0.23841999999999999</v>
      </c>
      <c r="AF31" s="172">
        <v>0.21301</v>
      </c>
      <c r="AG31" s="172">
        <v>0.24081</v>
      </c>
      <c r="AH31" s="172">
        <v>9.0770000000000003E-2</v>
      </c>
      <c r="AI31" s="172">
        <v>0.46632000000000001</v>
      </c>
      <c r="AJ31" s="172">
        <v>5.4269999999999999E-2</v>
      </c>
      <c r="AK31" s="172">
        <v>4.9599999999999998E-2</v>
      </c>
      <c r="AL31" s="172">
        <v>0.52400000000000002</v>
      </c>
      <c r="AM31" s="172">
        <v>6.0729999999999999E-2</v>
      </c>
      <c r="AN31" s="172">
        <v>0.51829000000000003</v>
      </c>
      <c r="AO31" s="172">
        <v>5.6980000000000003E-2</v>
      </c>
      <c r="AP31" s="172">
        <v>9.3710000000000002E-2</v>
      </c>
      <c r="AQ31" s="172">
        <v>0.61853999999999998</v>
      </c>
      <c r="AR31" s="172">
        <v>8.2750000000000004E-2</v>
      </c>
      <c r="AS31" s="172">
        <v>8.7609999999999993E-2</v>
      </c>
      <c r="AT31" s="172">
        <v>4.7239999999999997E-2</v>
      </c>
      <c r="AU31" s="172">
        <v>9.3109999999999998E-2</v>
      </c>
      <c r="AV31" s="172">
        <v>0.19261</v>
      </c>
      <c r="AW31" s="172">
        <v>0.29649999999999999</v>
      </c>
      <c r="AX31" s="172">
        <v>0.38407999999999998</v>
      </c>
      <c r="AY31" s="172">
        <v>7.5240000000000001E-2</v>
      </c>
      <c r="AZ31" s="172">
        <v>0.16117999999999999</v>
      </c>
      <c r="BA31" s="172">
        <v>0.20244000000000001</v>
      </c>
      <c r="BB31" s="172">
        <v>7.1749999999999994E-2</v>
      </c>
      <c r="BC31" s="172">
        <v>0.13900000000000001</v>
      </c>
      <c r="BD31" s="172">
        <v>0.71523000000000003</v>
      </c>
      <c r="BE31" s="172">
        <v>0.67049000000000003</v>
      </c>
      <c r="BF31" s="172">
        <v>0.45815</v>
      </c>
      <c r="BG31" s="172">
        <v>0.29426999999999998</v>
      </c>
      <c r="BH31" s="172">
        <v>0.27485999999999999</v>
      </c>
      <c r="BI31" s="172">
        <v>0.70331999999999995</v>
      </c>
      <c r="BJ31" s="172">
        <v>0.745</v>
      </c>
      <c r="BK31" s="172">
        <v>0.54220000000000002</v>
      </c>
      <c r="BL31" s="172">
        <v>0.40281</v>
      </c>
      <c r="BM31" s="172">
        <v>8.3180000000000004E-2</v>
      </c>
      <c r="BN31" s="172">
        <v>0.42668</v>
      </c>
      <c r="BO31" s="172">
        <v>0.15417</v>
      </c>
      <c r="BP31" s="172">
        <v>0.27660000000000001</v>
      </c>
      <c r="BQ31" s="172">
        <v>0.33329999999999999</v>
      </c>
      <c r="BR31" s="172">
        <v>0.45810000000000001</v>
      </c>
      <c r="BS31" s="172">
        <v>0.25724000000000002</v>
      </c>
      <c r="BT31" s="172">
        <v>0.72438000000000002</v>
      </c>
      <c r="BU31" s="172">
        <v>0.20952999999999999</v>
      </c>
      <c r="BV31" s="172">
        <v>0.55122000000000004</v>
      </c>
      <c r="BW31" s="172">
        <v>0.56906999999999996</v>
      </c>
      <c r="BX31" s="172">
        <v>5.8979999999999998E-2</v>
      </c>
      <c r="BY31" s="172">
        <v>0.19843</v>
      </c>
      <c r="BZ31" s="172">
        <v>0.46766000000000002</v>
      </c>
      <c r="CA31" s="172">
        <v>0.29326999999999998</v>
      </c>
      <c r="CB31" s="172">
        <v>0.41471999999999998</v>
      </c>
      <c r="CC31" s="172">
        <v>0.64683999999999997</v>
      </c>
      <c r="CD31" s="172">
        <v>0.56815000000000004</v>
      </c>
      <c r="CE31" s="172">
        <v>0.30296000000000001</v>
      </c>
      <c r="CF31" s="172">
        <v>0.78261000000000003</v>
      </c>
      <c r="CG31" s="172">
        <v>0.56172999999999995</v>
      </c>
      <c r="CH31" s="172">
        <v>6.0539999999999997E-2</v>
      </c>
      <c r="CI31" s="172">
        <v>0.17369999999999999</v>
      </c>
      <c r="CJ31" s="172">
        <v>0.52173999999999998</v>
      </c>
      <c r="CK31" s="172">
        <v>0.21321999999999999</v>
      </c>
      <c r="CL31" s="172">
        <v>0.41661999999999999</v>
      </c>
      <c r="CM31" s="172">
        <v>0.16017000000000001</v>
      </c>
      <c r="CN31" s="172">
        <v>0.18718000000000001</v>
      </c>
      <c r="CO31" s="172">
        <v>0.61063999999999996</v>
      </c>
      <c r="CP31" s="172">
        <v>0.29826000000000003</v>
      </c>
      <c r="CQ31" s="172">
        <v>0.41719000000000001</v>
      </c>
      <c r="CR31" s="172">
        <v>0.13636999999999999</v>
      </c>
      <c r="CS31" s="172">
        <v>0.45926</v>
      </c>
      <c r="CT31" s="172">
        <v>0.55730999999999997</v>
      </c>
      <c r="CU31" s="172">
        <v>0.19595000000000001</v>
      </c>
      <c r="CV31" s="172">
        <v>0.27687</v>
      </c>
      <c r="CW31" s="172">
        <v>0.16772999999999999</v>
      </c>
    </row>
    <row r="32" spans="1:101">
      <c r="A32" s="171">
        <f t="shared" si="1"/>
        <v>470</v>
      </c>
      <c r="B32" s="171">
        <v>1</v>
      </c>
      <c r="C32" s="172">
        <v>0.58020000000000005</v>
      </c>
      <c r="D32" s="172">
        <v>0.1918</v>
      </c>
      <c r="E32" s="172">
        <v>6.2590000000000007E-2</v>
      </c>
      <c r="F32" s="172">
        <v>0.24077999999999999</v>
      </c>
      <c r="G32" s="172">
        <v>6.5079999999999999E-2</v>
      </c>
      <c r="H32" s="172">
        <v>0.11600000000000001</v>
      </c>
      <c r="I32" s="172">
        <v>5.2900000000000003E-2</v>
      </c>
      <c r="J32" s="172">
        <v>5.6849999999999998E-2</v>
      </c>
      <c r="K32" s="172">
        <v>5.008E-2</v>
      </c>
      <c r="L32" s="172">
        <v>0.17637</v>
      </c>
      <c r="M32" s="172">
        <v>6.0909999999999999E-2</v>
      </c>
      <c r="N32" s="172">
        <v>7.5410000000000005E-2</v>
      </c>
      <c r="O32" s="172">
        <v>4.496E-2</v>
      </c>
      <c r="P32" s="172">
        <v>0.36070000000000002</v>
      </c>
      <c r="Q32" s="172">
        <v>0.29480000000000001</v>
      </c>
      <c r="R32" s="172">
        <v>6.2990000000000004E-2</v>
      </c>
      <c r="S32" s="172">
        <v>6.7320000000000005E-2</v>
      </c>
      <c r="T32" s="172">
        <v>0.13039999999999999</v>
      </c>
      <c r="U32" s="172">
        <v>0.12509999999999999</v>
      </c>
      <c r="V32" s="172">
        <v>5.6500000000000002E-2</v>
      </c>
      <c r="W32" s="172">
        <v>0.17962</v>
      </c>
      <c r="X32" s="172">
        <v>0.12662000000000001</v>
      </c>
      <c r="Y32" s="172">
        <v>0.57040999999999997</v>
      </c>
      <c r="Z32" s="172">
        <v>0.29909999999999998</v>
      </c>
      <c r="AA32" s="172">
        <v>5.2999999999999999E-2</v>
      </c>
      <c r="AB32" s="172">
        <v>0.2356</v>
      </c>
      <c r="AC32" s="172">
        <v>0.28681000000000001</v>
      </c>
      <c r="AD32" s="172">
        <v>4.7039999999999998E-2</v>
      </c>
      <c r="AE32" s="172">
        <v>0.27043</v>
      </c>
      <c r="AF32" s="172">
        <v>0.23025000000000001</v>
      </c>
      <c r="AG32" s="172">
        <v>0.27189000000000002</v>
      </c>
      <c r="AH32" s="172">
        <v>0.105</v>
      </c>
      <c r="AI32" s="172">
        <v>0.51290000000000002</v>
      </c>
      <c r="AJ32" s="172">
        <v>5.7959999999999998E-2</v>
      </c>
      <c r="AK32" s="172">
        <v>5.0290000000000001E-2</v>
      </c>
      <c r="AL32" s="172">
        <v>0.52781</v>
      </c>
      <c r="AM32" s="172">
        <v>6.0999999999999999E-2</v>
      </c>
      <c r="AN32" s="172">
        <v>0.55028999999999995</v>
      </c>
      <c r="AO32" s="172">
        <v>5.7910000000000003E-2</v>
      </c>
      <c r="AP32" s="172">
        <v>9.4799999999999995E-2</v>
      </c>
      <c r="AQ32" s="172">
        <v>0.64749999999999996</v>
      </c>
      <c r="AR32" s="172">
        <v>8.9660000000000004E-2</v>
      </c>
      <c r="AS32" s="172">
        <v>0.1066</v>
      </c>
      <c r="AT32" s="172">
        <v>4.7399999999999998E-2</v>
      </c>
      <c r="AU32" s="172">
        <v>0.10313</v>
      </c>
      <c r="AV32" s="172">
        <v>0.2137</v>
      </c>
      <c r="AW32" s="172">
        <v>0.33100000000000002</v>
      </c>
      <c r="AX32" s="172">
        <v>0.41515999999999997</v>
      </c>
      <c r="AY32" s="172">
        <v>8.795E-2</v>
      </c>
      <c r="AZ32" s="172">
        <v>0.16930000000000001</v>
      </c>
      <c r="BA32" s="172">
        <v>0.21118000000000001</v>
      </c>
      <c r="BB32" s="172">
        <v>7.306E-2</v>
      </c>
      <c r="BC32" s="172">
        <v>0.15379999999999999</v>
      </c>
      <c r="BD32" s="172">
        <v>0.73050000000000004</v>
      </c>
      <c r="BE32" s="172">
        <v>0.69066000000000005</v>
      </c>
      <c r="BF32" s="172">
        <v>0.49262</v>
      </c>
      <c r="BG32" s="172">
        <v>0.32340000000000002</v>
      </c>
      <c r="BH32" s="172">
        <v>0.30338999999999999</v>
      </c>
      <c r="BI32" s="172">
        <v>0.71260000000000001</v>
      </c>
      <c r="BJ32" s="172">
        <v>0.75158999999999998</v>
      </c>
      <c r="BK32" s="172">
        <v>0.54344000000000003</v>
      </c>
      <c r="BL32" s="172">
        <v>0.41599999999999998</v>
      </c>
      <c r="BM32" s="172">
        <v>8.8830000000000006E-2</v>
      </c>
      <c r="BN32" s="172">
        <v>0.45565</v>
      </c>
      <c r="BO32" s="172">
        <v>0.16581000000000001</v>
      </c>
      <c r="BP32" s="172">
        <v>0.30109999999999998</v>
      </c>
      <c r="BQ32" s="172">
        <v>0.3594</v>
      </c>
      <c r="BR32" s="172">
        <v>0.45804</v>
      </c>
      <c r="BS32" s="172">
        <v>0.25494</v>
      </c>
      <c r="BT32" s="172">
        <v>0.72575999999999996</v>
      </c>
      <c r="BU32" s="172">
        <v>0.21820000000000001</v>
      </c>
      <c r="BV32" s="172">
        <v>0.55254000000000003</v>
      </c>
      <c r="BW32" s="172">
        <v>0.55740999999999996</v>
      </c>
      <c r="BX32" s="172">
        <v>5.9369999999999999E-2</v>
      </c>
      <c r="BY32" s="172">
        <v>0.20549999999999999</v>
      </c>
      <c r="BZ32" s="172">
        <v>0.45429999999999998</v>
      </c>
      <c r="CA32" s="172">
        <v>0.28875000000000001</v>
      </c>
      <c r="CB32" s="172">
        <v>0.39001000000000002</v>
      </c>
      <c r="CC32" s="172">
        <v>0.64673000000000003</v>
      </c>
      <c r="CD32" s="172">
        <v>0.55801000000000001</v>
      </c>
      <c r="CE32" s="172">
        <v>0.29343000000000002</v>
      </c>
      <c r="CF32" s="172">
        <v>0.77710000000000001</v>
      </c>
      <c r="CG32" s="172">
        <v>0.54790000000000005</v>
      </c>
      <c r="CH32" s="172">
        <v>5.935E-2</v>
      </c>
      <c r="CI32" s="172">
        <v>0.17216000000000001</v>
      </c>
      <c r="CJ32" s="172">
        <v>0.50366</v>
      </c>
      <c r="CK32" s="172">
        <v>0.20075999999999999</v>
      </c>
      <c r="CL32" s="172">
        <v>0.40400999999999998</v>
      </c>
      <c r="CM32" s="172">
        <v>0.14940000000000001</v>
      </c>
      <c r="CN32" s="172">
        <v>0.1759</v>
      </c>
      <c r="CO32" s="172">
        <v>0.60879000000000005</v>
      </c>
      <c r="CP32" s="172">
        <v>0.29386000000000001</v>
      </c>
      <c r="CQ32" s="172">
        <v>0.41282999999999997</v>
      </c>
      <c r="CR32" s="172">
        <v>0.12955</v>
      </c>
      <c r="CS32" s="172">
        <v>0.45279000000000003</v>
      </c>
      <c r="CT32" s="172">
        <v>0.54695000000000005</v>
      </c>
      <c r="CU32" s="172">
        <v>0.1817</v>
      </c>
      <c r="CV32" s="172">
        <v>0.25673000000000001</v>
      </c>
      <c r="CW32" s="172">
        <v>0.1598</v>
      </c>
    </row>
    <row r="33" spans="1:101">
      <c r="A33" s="171">
        <f t="shared" si="1"/>
        <v>475</v>
      </c>
      <c r="B33" s="171">
        <v>1</v>
      </c>
      <c r="C33" s="172">
        <v>0.56547999999999998</v>
      </c>
      <c r="D33" s="172">
        <v>0.17813000000000001</v>
      </c>
      <c r="E33" s="172">
        <v>6.3039999999999999E-2</v>
      </c>
      <c r="F33" s="172">
        <v>0.22206000000000001</v>
      </c>
      <c r="G33" s="172">
        <v>5.9760000000000001E-2</v>
      </c>
      <c r="H33" s="172">
        <v>0.11157</v>
      </c>
      <c r="I33" s="172">
        <v>5.1920000000000001E-2</v>
      </c>
      <c r="J33" s="172">
        <v>5.663E-2</v>
      </c>
      <c r="K33" s="172">
        <v>5.0439999999999999E-2</v>
      </c>
      <c r="L33" s="172">
        <v>0.17466999999999999</v>
      </c>
      <c r="M33" s="172">
        <v>5.6120000000000003E-2</v>
      </c>
      <c r="N33" s="172">
        <v>6.8279999999999993E-2</v>
      </c>
      <c r="O33" s="172">
        <v>4.5560000000000003E-2</v>
      </c>
      <c r="P33" s="172">
        <v>0.36204999999999998</v>
      </c>
      <c r="Q33" s="172">
        <v>0.30092999999999998</v>
      </c>
      <c r="R33" s="172">
        <v>6.6280000000000006E-2</v>
      </c>
      <c r="S33" s="172">
        <v>6.9519999999999998E-2</v>
      </c>
      <c r="T33" s="172">
        <v>0.13466</v>
      </c>
      <c r="U33" s="172">
        <v>0.12518000000000001</v>
      </c>
      <c r="V33" s="172">
        <v>8.9959999999999998E-2</v>
      </c>
      <c r="W33" s="172">
        <v>0.18429999999999999</v>
      </c>
      <c r="X33" s="172">
        <v>0.13528999999999999</v>
      </c>
      <c r="Y33" s="172">
        <v>0.57915000000000005</v>
      </c>
      <c r="Z33" s="172">
        <v>0.30695</v>
      </c>
      <c r="AA33" s="172">
        <v>5.3159999999999999E-2</v>
      </c>
      <c r="AB33" s="172">
        <v>0.25362000000000001</v>
      </c>
      <c r="AC33" s="172">
        <v>0.29048000000000002</v>
      </c>
      <c r="AD33" s="172">
        <v>4.8890000000000003E-2</v>
      </c>
      <c r="AE33" s="172">
        <v>0.30065999999999998</v>
      </c>
      <c r="AF33" s="172">
        <v>0.23860000000000001</v>
      </c>
      <c r="AG33" s="172">
        <v>0.30813000000000001</v>
      </c>
      <c r="AH33" s="172">
        <v>0.12180000000000001</v>
      </c>
      <c r="AI33" s="172">
        <v>0.55466000000000004</v>
      </c>
      <c r="AJ33" s="172">
        <v>6.361E-2</v>
      </c>
      <c r="AK33" s="172">
        <v>5.178E-2</v>
      </c>
      <c r="AL33" s="172">
        <v>0.52869999999999995</v>
      </c>
      <c r="AM33" s="172">
        <v>6.1089999999999998E-2</v>
      </c>
      <c r="AN33" s="172">
        <v>0.57599</v>
      </c>
      <c r="AO33" s="172">
        <v>5.9319999999999998E-2</v>
      </c>
      <c r="AP33" s="172">
        <v>9.7939999999999999E-2</v>
      </c>
      <c r="AQ33" s="172">
        <v>0.67396</v>
      </c>
      <c r="AR33" s="172">
        <v>9.7860000000000003E-2</v>
      </c>
      <c r="AS33" s="172">
        <v>0.13514999999999999</v>
      </c>
      <c r="AT33" s="172">
        <v>4.7789999999999999E-2</v>
      </c>
      <c r="AU33" s="172">
        <v>0.11523</v>
      </c>
      <c r="AV33" s="172">
        <v>0.23821999999999999</v>
      </c>
      <c r="AW33" s="172">
        <v>0.36799999999999999</v>
      </c>
      <c r="AX33" s="172">
        <v>0.44281999999999999</v>
      </c>
      <c r="AY33" s="172">
        <v>0.10363</v>
      </c>
      <c r="AZ33" s="172">
        <v>0.18</v>
      </c>
      <c r="BA33" s="172">
        <v>0.22283</v>
      </c>
      <c r="BB33" s="172">
        <v>7.6789999999999997E-2</v>
      </c>
      <c r="BC33" s="172">
        <v>0.17152000000000001</v>
      </c>
      <c r="BD33" s="172">
        <v>0.74378999999999995</v>
      </c>
      <c r="BE33" s="172">
        <v>0.70753999999999995</v>
      </c>
      <c r="BF33" s="172">
        <v>0.53398999999999996</v>
      </c>
      <c r="BG33" s="172">
        <v>0.35336000000000001</v>
      </c>
      <c r="BH33" s="172">
        <v>0.33116000000000001</v>
      </c>
      <c r="BI33" s="172">
        <v>0.72513000000000005</v>
      </c>
      <c r="BJ33" s="172">
        <v>0.75729000000000002</v>
      </c>
      <c r="BK33" s="172">
        <v>0.54562999999999995</v>
      </c>
      <c r="BL33" s="172">
        <v>0.42492999999999997</v>
      </c>
      <c r="BM33" s="172">
        <v>9.4270000000000007E-2</v>
      </c>
      <c r="BN33" s="172">
        <v>0.48270999999999997</v>
      </c>
      <c r="BO33" s="172">
        <v>0.17902000000000001</v>
      </c>
      <c r="BP33" s="172">
        <v>0.32295000000000001</v>
      </c>
      <c r="BQ33" s="172">
        <v>0.38191999999999998</v>
      </c>
      <c r="BR33" s="172">
        <v>0.45745000000000002</v>
      </c>
      <c r="BS33" s="172">
        <v>0.25267000000000001</v>
      </c>
      <c r="BT33" s="172">
        <v>0.72392000000000001</v>
      </c>
      <c r="BU33" s="172">
        <v>0.22140000000000001</v>
      </c>
      <c r="BV33" s="172">
        <v>0.55300000000000005</v>
      </c>
      <c r="BW33" s="172">
        <v>0.54266999999999999</v>
      </c>
      <c r="BX33" s="172">
        <v>5.9369999999999999E-2</v>
      </c>
      <c r="BY33" s="172">
        <v>0.20635999999999999</v>
      </c>
      <c r="BZ33" s="172">
        <v>0.43958999999999998</v>
      </c>
      <c r="CA33" s="172">
        <v>0.28176000000000001</v>
      </c>
      <c r="CB33" s="172">
        <v>0.36264999999999997</v>
      </c>
      <c r="CC33" s="172">
        <v>0.64119000000000004</v>
      </c>
      <c r="CD33" s="172">
        <v>0.54359999999999997</v>
      </c>
      <c r="CE33" s="172">
        <v>0.27906999999999998</v>
      </c>
      <c r="CF33" s="172">
        <v>0.76963999999999999</v>
      </c>
      <c r="CG33" s="172">
        <v>0.53110999999999997</v>
      </c>
      <c r="CH33" s="172">
        <v>5.833E-2</v>
      </c>
      <c r="CI33" s="172">
        <v>0.16727</v>
      </c>
      <c r="CJ33" s="172">
        <v>0.48437000000000002</v>
      </c>
      <c r="CK33" s="172">
        <v>0.18829000000000001</v>
      </c>
      <c r="CL33" s="172">
        <v>0.39068000000000003</v>
      </c>
      <c r="CM33" s="172">
        <v>0.13678999999999999</v>
      </c>
      <c r="CN33" s="172">
        <v>0.16417000000000001</v>
      </c>
      <c r="CO33" s="172">
        <v>0.60406000000000004</v>
      </c>
      <c r="CP33" s="172">
        <v>0.28892000000000001</v>
      </c>
      <c r="CQ33" s="172">
        <v>0.40771000000000002</v>
      </c>
      <c r="CR33" s="172">
        <v>0.12194000000000001</v>
      </c>
      <c r="CS33" s="172">
        <v>0.44268999999999997</v>
      </c>
      <c r="CT33" s="172">
        <v>0.53442999999999996</v>
      </c>
      <c r="CU33" s="172">
        <v>0.16814000000000001</v>
      </c>
      <c r="CV33" s="172">
        <v>0.23768</v>
      </c>
      <c r="CW33" s="172">
        <v>0.15182999999999999</v>
      </c>
    </row>
    <row r="34" spans="1:101">
      <c r="A34" s="171">
        <f t="shared" si="1"/>
        <v>480</v>
      </c>
      <c r="B34" s="171">
        <v>1</v>
      </c>
      <c r="C34" s="172">
        <v>0.55149999999999999</v>
      </c>
      <c r="D34" s="172">
        <v>0.1656</v>
      </c>
      <c r="E34" s="172">
        <v>6.0690000000000001E-2</v>
      </c>
      <c r="F34" s="172">
        <v>0.20462</v>
      </c>
      <c r="G34" s="172">
        <v>5.586E-2</v>
      </c>
      <c r="H34" s="172">
        <v>0.10743</v>
      </c>
      <c r="I34" s="172">
        <v>5.11E-2</v>
      </c>
      <c r="J34" s="172">
        <v>5.6469999999999999E-2</v>
      </c>
      <c r="K34" s="172">
        <v>5.142E-2</v>
      </c>
      <c r="L34" s="172">
        <v>0.17191999999999999</v>
      </c>
      <c r="M34" s="172">
        <v>5.1740000000000001E-2</v>
      </c>
      <c r="N34" s="172">
        <v>6.1589999999999999E-2</v>
      </c>
      <c r="O34" s="172">
        <v>4.863E-2</v>
      </c>
      <c r="P34" s="172">
        <v>0.3634</v>
      </c>
      <c r="Q34" s="172">
        <v>0.30659999999999998</v>
      </c>
      <c r="R34" s="172">
        <v>6.9720000000000004E-2</v>
      </c>
      <c r="S34" s="172">
        <v>7.145E-2</v>
      </c>
      <c r="T34" s="172">
        <v>0.13900000000000001</v>
      </c>
      <c r="U34" s="172">
        <v>0.12509999999999999</v>
      </c>
      <c r="V34" s="172">
        <v>0.13394</v>
      </c>
      <c r="W34" s="172">
        <v>0.18934999999999999</v>
      </c>
      <c r="X34" s="172">
        <v>0.1444</v>
      </c>
      <c r="Y34" s="172">
        <v>0.58731999999999995</v>
      </c>
      <c r="Z34" s="172">
        <v>0.317</v>
      </c>
      <c r="AA34" s="172">
        <v>5.1880000000000003E-2</v>
      </c>
      <c r="AB34" s="172">
        <v>0.27339999999999998</v>
      </c>
      <c r="AC34" s="172">
        <v>0.29199999999999998</v>
      </c>
      <c r="AD34" s="172">
        <v>4.999E-2</v>
      </c>
      <c r="AE34" s="172">
        <v>0.32891999999999999</v>
      </c>
      <c r="AF34" s="172">
        <v>0.24313000000000001</v>
      </c>
      <c r="AG34" s="172">
        <v>0.34621000000000002</v>
      </c>
      <c r="AH34" s="172">
        <v>0.14119999999999999</v>
      </c>
      <c r="AI34" s="172">
        <v>0.58809</v>
      </c>
      <c r="AJ34" s="172">
        <v>7.1209999999999996E-2</v>
      </c>
      <c r="AK34" s="172">
        <v>5.4399999999999997E-2</v>
      </c>
      <c r="AL34" s="172">
        <v>0.52832000000000001</v>
      </c>
      <c r="AM34" s="172">
        <v>6.2E-2</v>
      </c>
      <c r="AN34" s="172">
        <v>0.59562000000000004</v>
      </c>
      <c r="AO34" s="172">
        <v>6.2239999999999997E-2</v>
      </c>
      <c r="AP34" s="172">
        <v>0.10655000000000001</v>
      </c>
      <c r="AQ34" s="172">
        <v>0.69650000000000001</v>
      </c>
      <c r="AR34" s="172">
        <v>0.10793</v>
      </c>
      <c r="AS34" s="172">
        <v>0.17100000000000001</v>
      </c>
      <c r="AT34" s="172">
        <v>4.8300000000000003E-2</v>
      </c>
      <c r="AU34" s="172">
        <v>0.13064000000000001</v>
      </c>
      <c r="AV34" s="172">
        <v>0.2651</v>
      </c>
      <c r="AW34" s="172">
        <v>0.40479999999999999</v>
      </c>
      <c r="AX34" s="172">
        <v>0.46753</v>
      </c>
      <c r="AY34" s="172">
        <v>0.12163</v>
      </c>
      <c r="AZ34" s="172">
        <v>0.1958</v>
      </c>
      <c r="BA34" s="172">
        <v>0.24056</v>
      </c>
      <c r="BB34" s="172">
        <v>8.6870000000000003E-2</v>
      </c>
      <c r="BC34" s="172">
        <v>0.1928</v>
      </c>
      <c r="BD34" s="172">
        <v>0.75470000000000004</v>
      </c>
      <c r="BE34" s="172">
        <v>0.72131999999999996</v>
      </c>
      <c r="BF34" s="172">
        <v>0.57657999999999998</v>
      </c>
      <c r="BG34" s="172">
        <v>0.38269999999999998</v>
      </c>
      <c r="BH34" s="172">
        <v>0.35681000000000002</v>
      </c>
      <c r="BI34" s="172">
        <v>0.74050000000000005</v>
      </c>
      <c r="BJ34" s="172">
        <v>0.76219999999999999</v>
      </c>
      <c r="BK34" s="172">
        <v>0.55127999999999999</v>
      </c>
      <c r="BL34" s="172">
        <v>0.4299</v>
      </c>
      <c r="BM34" s="172">
        <v>9.9140000000000006E-2</v>
      </c>
      <c r="BN34" s="172">
        <v>0.50514000000000003</v>
      </c>
      <c r="BO34" s="172">
        <v>0.19103000000000001</v>
      </c>
      <c r="BP34" s="172">
        <v>0.3397</v>
      </c>
      <c r="BQ34" s="172">
        <v>0.39889999999999998</v>
      </c>
      <c r="BR34" s="172">
        <v>0.45896999999999999</v>
      </c>
      <c r="BS34" s="172">
        <v>0.25276999999999999</v>
      </c>
      <c r="BT34" s="172">
        <v>0.71916000000000002</v>
      </c>
      <c r="BU34" s="172">
        <v>0.2195</v>
      </c>
      <c r="BV34" s="172">
        <v>0.55264000000000002</v>
      </c>
      <c r="BW34" s="172">
        <v>0.52663000000000004</v>
      </c>
      <c r="BX34" s="172">
        <v>5.9270000000000003E-2</v>
      </c>
      <c r="BY34" s="172">
        <v>0.20119999999999999</v>
      </c>
      <c r="BZ34" s="172">
        <v>0.42359999999999998</v>
      </c>
      <c r="CA34" s="172">
        <v>0.27334000000000003</v>
      </c>
      <c r="CB34" s="172">
        <v>0.33550000000000002</v>
      </c>
      <c r="CC34" s="172">
        <v>0.63104000000000005</v>
      </c>
      <c r="CD34" s="172">
        <v>0.52497000000000005</v>
      </c>
      <c r="CE34" s="172">
        <v>0.26179000000000002</v>
      </c>
      <c r="CF34" s="172">
        <v>0.76100000000000001</v>
      </c>
      <c r="CG34" s="172">
        <v>0.51359999999999995</v>
      </c>
      <c r="CH34" s="172">
        <v>5.8160000000000003E-2</v>
      </c>
      <c r="CI34" s="172">
        <v>0.16006999999999999</v>
      </c>
      <c r="CJ34" s="172">
        <v>0.46483999999999998</v>
      </c>
      <c r="CK34" s="172">
        <v>0.17613999999999999</v>
      </c>
      <c r="CL34" s="172">
        <v>0.37591000000000002</v>
      </c>
      <c r="CM34" s="172">
        <v>0.12422999999999999</v>
      </c>
      <c r="CN34" s="172">
        <v>0.152</v>
      </c>
      <c r="CO34" s="172">
        <v>0.59733999999999998</v>
      </c>
      <c r="CP34" s="172">
        <v>0.28247</v>
      </c>
      <c r="CQ34" s="172">
        <v>0.39971000000000001</v>
      </c>
      <c r="CR34" s="172">
        <v>0.11362</v>
      </c>
      <c r="CS34" s="172">
        <v>0.43067</v>
      </c>
      <c r="CT34" s="172">
        <v>0.52046000000000003</v>
      </c>
      <c r="CU34" s="172">
        <v>0.15479999999999999</v>
      </c>
      <c r="CV34" s="172">
        <v>0.22048999999999999</v>
      </c>
      <c r="CW34" s="172">
        <v>0.14380000000000001</v>
      </c>
    </row>
    <row r="35" spans="1:101">
      <c r="A35" s="171">
        <f t="shared" si="1"/>
        <v>485</v>
      </c>
      <c r="B35" s="171">
        <v>1</v>
      </c>
      <c r="C35" s="172">
        <v>0.54015999999999997</v>
      </c>
      <c r="D35" s="172">
        <v>0.15601999999999999</v>
      </c>
      <c r="E35" s="172">
        <v>5.9670000000000001E-2</v>
      </c>
      <c r="F35" s="172">
        <v>0.18884000000000001</v>
      </c>
      <c r="G35" s="172">
        <v>5.323E-2</v>
      </c>
      <c r="H35" s="172">
        <v>0.10413</v>
      </c>
      <c r="I35" s="172">
        <v>5.0389999999999997E-2</v>
      </c>
      <c r="J35" s="172">
        <v>5.6329999999999998E-2</v>
      </c>
      <c r="K35" s="172">
        <v>5.3400000000000003E-2</v>
      </c>
      <c r="L35" s="172">
        <v>0.16833999999999999</v>
      </c>
      <c r="M35" s="172">
        <v>4.8329999999999998E-2</v>
      </c>
      <c r="N35" s="172">
        <v>5.7189999999999998E-2</v>
      </c>
      <c r="O35" s="172">
        <v>5.4969999999999998E-2</v>
      </c>
      <c r="P35" s="172">
        <v>0.36453999999999998</v>
      </c>
      <c r="Q35" s="172">
        <v>0.31208000000000002</v>
      </c>
      <c r="R35" s="172">
        <v>7.3230000000000003E-2</v>
      </c>
      <c r="S35" s="172">
        <v>7.3050000000000004E-2</v>
      </c>
      <c r="T35" s="172">
        <v>0.14355000000000001</v>
      </c>
      <c r="U35" s="172">
        <v>0.12501000000000001</v>
      </c>
      <c r="V35" s="172">
        <v>0.18287999999999999</v>
      </c>
      <c r="W35" s="172">
        <v>0.19425000000000001</v>
      </c>
      <c r="X35" s="172">
        <v>0.15365000000000001</v>
      </c>
      <c r="Y35" s="172">
        <v>0.59526000000000001</v>
      </c>
      <c r="Z35" s="172">
        <v>0.32939000000000002</v>
      </c>
      <c r="AA35" s="172">
        <v>5.2400000000000002E-2</v>
      </c>
      <c r="AB35" s="172">
        <v>0.29329</v>
      </c>
      <c r="AC35" s="172">
        <v>0.29515999999999998</v>
      </c>
      <c r="AD35" s="172">
        <v>5.1130000000000002E-2</v>
      </c>
      <c r="AE35" s="172">
        <v>0.35532999999999998</v>
      </c>
      <c r="AF35" s="172">
        <v>0.24970000000000001</v>
      </c>
      <c r="AG35" s="172">
        <v>0.38299</v>
      </c>
      <c r="AH35" s="172">
        <v>0.16306999999999999</v>
      </c>
      <c r="AI35" s="172">
        <v>0.61048000000000002</v>
      </c>
      <c r="AJ35" s="172">
        <v>8.0629999999999993E-2</v>
      </c>
      <c r="AK35" s="172">
        <v>5.8409999999999997E-2</v>
      </c>
      <c r="AL35" s="172">
        <v>0.52853000000000006</v>
      </c>
      <c r="AM35" s="172">
        <v>6.4530000000000004E-2</v>
      </c>
      <c r="AN35" s="172">
        <v>0.61048999999999998</v>
      </c>
      <c r="AO35" s="172">
        <v>6.7419999999999994E-2</v>
      </c>
      <c r="AP35" s="172">
        <v>0.12302</v>
      </c>
      <c r="AQ35" s="172">
        <v>0.71397999999999995</v>
      </c>
      <c r="AR35" s="172">
        <v>0.12099</v>
      </c>
      <c r="AS35" s="172">
        <v>0.21203</v>
      </c>
      <c r="AT35" s="172">
        <v>4.879E-2</v>
      </c>
      <c r="AU35" s="172">
        <v>0.14960999999999999</v>
      </c>
      <c r="AV35" s="172">
        <v>0.29288999999999998</v>
      </c>
      <c r="AW35" s="172">
        <v>0.43811</v>
      </c>
      <c r="AX35" s="172">
        <v>0.48970999999999998</v>
      </c>
      <c r="AY35" s="172">
        <v>0.14087</v>
      </c>
      <c r="AZ35" s="172">
        <v>0.21831999999999999</v>
      </c>
      <c r="BA35" s="172">
        <v>0.26640000000000003</v>
      </c>
      <c r="BB35" s="172">
        <v>0.106</v>
      </c>
      <c r="BC35" s="172">
        <v>0.21822</v>
      </c>
      <c r="BD35" s="172">
        <v>0.76285000000000003</v>
      </c>
      <c r="BE35" s="172">
        <v>0.73246</v>
      </c>
      <c r="BF35" s="172">
        <v>0.61368</v>
      </c>
      <c r="BG35" s="172">
        <v>0.40983000000000003</v>
      </c>
      <c r="BH35" s="172">
        <v>0.37901000000000001</v>
      </c>
      <c r="BI35" s="172">
        <v>0.75795999999999997</v>
      </c>
      <c r="BJ35" s="172">
        <v>0.76636000000000004</v>
      </c>
      <c r="BK35" s="172">
        <v>0.56200000000000006</v>
      </c>
      <c r="BL35" s="172">
        <v>0.43128</v>
      </c>
      <c r="BM35" s="172">
        <v>0.10306</v>
      </c>
      <c r="BN35" s="172">
        <v>0.52063999999999999</v>
      </c>
      <c r="BO35" s="172">
        <v>0.1988</v>
      </c>
      <c r="BP35" s="172">
        <v>0.34943000000000002</v>
      </c>
      <c r="BQ35" s="172">
        <v>0.40877999999999998</v>
      </c>
      <c r="BR35" s="172">
        <v>0.46434999999999998</v>
      </c>
      <c r="BS35" s="172">
        <v>0.25679000000000002</v>
      </c>
      <c r="BT35" s="172">
        <v>0.71160999999999996</v>
      </c>
      <c r="BU35" s="172">
        <v>0.21332999999999999</v>
      </c>
      <c r="BV35" s="172">
        <v>0.55149000000000004</v>
      </c>
      <c r="BW35" s="172">
        <v>0.51095000000000002</v>
      </c>
      <c r="BX35" s="172">
        <v>5.9229999999999998E-2</v>
      </c>
      <c r="BY35" s="172">
        <v>0.19094</v>
      </c>
      <c r="BZ35" s="172">
        <v>0.40603</v>
      </c>
      <c r="CA35" s="172">
        <v>0.26346000000000003</v>
      </c>
      <c r="CB35" s="172">
        <v>0.31098999999999999</v>
      </c>
      <c r="CC35" s="172">
        <v>0.61778</v>
      </c>
      <c r="CD35" s="172">
        <v>0.50256000000000001</v>
      </c>
      <c r="CE35" s="172">
        <v>0.24643999999999999</v>
      </c>
      <c r="CF35" s="172">
        <v>0.75185999999999997</v>
      </c>
      <c r="CG35" s="172">
        <v>0.49765999999999999</v>
      </c>
      <c r="CH35" s="172">
        <v>5.926E-2</v>
      </c>
      <c r="CI35" s="172">
        <v>0.15576000000000001</v>
      </c>
      <c r="CJ35" s="172">
        <v>0.44596999999999998</v>
      </c>
      <c r="CK35" s="172">
        <v>0.16447999999999999</v>
      </c>
      <c r="CL35" s="172">
        <v>0.35911999999999999</v>
      </c>
      <c r="CM35" s="172">
        <v>0.11336</v>
      </c>
      <c r="CN35" s="172">
        <v>0.13979</v>
      </c>
      <c r="CO35" s="172">
        <v>0.59009</v>
      </c>
      <c r="CP35" s="172">
        <v>0.27445000000000003</v>
      </c>
      <c r="CQ35" s="172">
        <v>0.38682</v>
      </c>
      <c r="CR35" s="172">
        <v>0.10476000000000001</v>
      </c>
      <c r="CS35" s="172">
        <v>0.41861999999999999</v>
      </c>
      <c r="CT35" s="172">
        <v>0.50592999999999999</v>
      </c>
      <c r="CU35" s="172">
        <v>0.14093</v>
      </c>
      <c r="CV35" s="172">
        <v>0.20560999999999999</v>
      </c>
      <c r="CW35" s="172">
        <v>0.13580999999999999</v>
      </c>
    </row>
    <row r="36" spans="1:101">
      <c r="A36" s="171">
        <f t="shared" si="1"/>
        <v>490</v>
      </c>
      <c r="B36" s="171">
        <v>1</v>
      </c>
      <c r="C36" s="172">
        <v>0.53</v>
      </c>
      <c r="D36" s="172">
        <v>0.14810000000000001</v>
      </c>
      <c r="E36" s="172">
        <v>5.944E-2</v>
      </c>
      <c r="F36" s="172">
        <v>0.17488000000000001</v>
      </c>
      <c r="G36" s="172">
        <v>5.1400000000000001E-2</v>
      </c>
      <c r="H36" s="172">
        <v>0.10170999999999999</v>
      </c>
      <c r="I36" s="172">
        <v>4.9799999999999997E-2</v>
      </c>
      <c r="J36" s="172">
        <v>5.6090000000000001E-2</v>
      </c>
      <c r="K36" s="172">
        <v>5.5849999999999997E-2</v>
      </c>
      <c r="L36" s="172">
        <v>0.16488</v>
      </c>
      <c r="M36" s="172">
        <v>4.5929999999999999E-2</v>
      </c>
      <c r="N36" s="172">
        <v>5.416E-2</v>
      </c>
      <c r="O36" s="172">
        <v>6.3320000000000001E-2</v>
      </c>
      <c r="P36" s="172">
        <v>0.36559999999999998</v>
      </c>
      <c r="Q36" s="172">
        <v>0.318</v>
      </c>
      <c r="R36" s="172">
        <v>7.6670000000000002E-2</v>
      </c>
      <c r="S36" s="172">
        <v>7.4410000000000004E-2</v>
      </c>
      <c r="T36" s="172">
        <v>0.1484</v>
      </c>
      <c r="U36" s="172">
        <v>0.12559999999999999</v>
      </c>
      <c r="V36" s="172">
        <v>0.22320000000000001</v>
      </c>
      <c r="W36" s="172">
        <v>0.19927</v>
      </c>
      <c r="X36" s="172">
        <v>0.16336999999999999</v>
      </c>
      <c r="Y36" s="172">
        <v>0.60357000000000005</v>
      </c>
      <c r="Z36" s="172">
        <v>0.34470000000000001</v>
      </c>
      <c r="AA36" s="172">
        <v>5.5100000000000003E-2</v>
      </c>
      <c r="AB36" s="172">
        <v>0.315</v>
      </c>
      <c r="AC36" s="172">
        <v>0.30287999999999998</v>
      </c>
      <c r="AD36" s="172">
        <v>5.1839999999999997E-2</v>
      </c>
      <c r="AE36" s="172">
        <v>0.37996999999999997</v>
      </c>
      <c r="AF36" s="172">
        <v>0.25714999999999999</v>
      </c>
      <c r="AG36" s="172">
        <v>0.42054999999999998</v>
      </c>
      <c r="AH36" s="172">
        <v>0.18690000000000001</v>
      </c>
      <c r="AI36" s="172">
        <v>0.62424000000000002</v>
      </c>
      <c r="AJ36" s="172">
        <v>9.2069999999999999E-2</v>
      </c>
      <c r="AK36" s="172">
        <v>6.3710000000000003E-2</v>
      </c>
      <c r="AL36" s="172">
        <v>0.52959000000000001</v>
      </c>
      <c r="AM36" s="172">
        <v>6.8000000000000005E-2</v>
      </c>
      <c r="AN36" s="172">
        <v>0.62077000000000004</v>
      </c>
      <c r="AO36" s="172">
        <v>7.3889999999999997E-2</v>
      </c>
      <c r="AP36" s="172">
        <v>0.14427000000000001</v>
      </c>
      <c r="AQ36" s="172">
        <v>0.72619999999999996</v>
      </c>
      <c r="AR36" s="172">
        <v>0.13980000000000001</v>
      </c>
      <c r="AS36" s="172">
        <v>0.26190000000000002</v>
      </c>
      <c r="AT36" s="172">
        <v>4.9299999999999997E-2</v>
      </c>
      <c r="AU36" s="172">
        <v>0.17358999999999999</v>
      </c>
      <c r="AV36" s="172">
        <v>0.31950000000000001</v>
      </c>
      <c r="AW36" s="172">
        <v>0.46400000000000002</v>
      </c>
      <c r="AX36" s="172">
        <v>0.50917999999999997</v>
      </c>
      <c r="AY36" s="172">
        <v>0.15920999999999999</v>
      </c>
      <c r="AZ36" s="172">
        <v>0.24453</v>
      </c>
      <c r="BA36" s="172">
        <v>0.29663</v>
      </c>
      <c r="BB36" s="172">
        <v>0.13056000000000001</v>
      </c>
      <c r="BC36" s="172">
        <v>0.24790000000000001</v>
      </c>
      <c r="BD36" s="172">
        <v>0.76839999999999997</v>
      </c>
      <c r="BE36" s="172">
        <v>0.74114999999999998</v>
      </c>
      <c r="BF36" s="172">
        <v>0.64244000000000001</v>
      </c>
      <c r="BG36" s="172">
        <v>0.4325</v>
      </c>
      <c r="BH36" s="172">
        <v>0.39556999999999998</v>
      </c>
      <c r="BI36" s="172">
        <v>0.77649999999999997</v>
      </c>
      <c r="BJ36" s="172">
        <v>0.76953000000000005</v>
      </c>
      <c r="BK36" s="172">
        <v>0.57548999999999995</v>
      </c>
      <c r="BL36" s="172">
        <v>0.4289</v>
      </c>
      <c r="BM36" s="172">
        <v>0.10525</v>
      </c>
      <c r="BN36" s="172">
        <v>0.52858000000000005</v>
      </c>
      <c r="BO36" s="172">
        <v>0.20027</v>
      </c>
      <c r="BP36" s="172">
        <v>0.35189999999999999</v>
      </c>
      <c r="BQ36" s="172">
        <v>0.4103</v>
      </c>
      <c r="BR36" s="172">
        <v>0.47144000000000003</v>
      </c>
      <c r="BS36" s="172">
        <v>0.26297999999999999</v>
      </c>
      <c r="BT36" s="172">
        <v>0.70123000000000002</v>
      </c>
      <c r="BU36" s="172">
        <v>0.2039</v>
      </c>
      <c r="BV36" s="172">
        <v>0.54954999999999998</v>
      </c>
      <c r="BW36" s="172">
        <v>0.49575000000000002</v>
      </c>
      <c r="BX36" s="172">
        <v>5.8880000000000002E-2</v>
      </c>
      <c r="BY36" s="172">
        <v>0.1774</v>
      </c>
      <c r="BZ36" s="172">
        <v>0.38690000000000002</v>
      </c>
      <c r="CA36" s="172">
        <v>0.25141000000000002</v>
      </c>
      <c r="CB36" s="172">
        <v>0.28943000000000002</v>
      </c>
      <c r="CC36" s="172">
        <v>0.60175999999999996</v>
      </c>
      <c r="CD36" s="172">
        <v>0.4778</v>
      </c>
      <c r="CE36" s="172">
        <v>0.23007</v>
      </c>
      <c r="CF36" s="172">
        <v>0.74180000000000001</v>
      </c>
      <c r="CG36" s="172">
        <v>0.48270000000000002</v>
      </c>
      <c r="CH36" s="172">
        <v>6.1030000000000001E-2</v>
      </c>
      <c r="CI36" s="172">
        <v>0.14927000000000001</v>
      </c>
      <c r="CJ36" s="172">
        <v>0.42760999999999999</v>
      </c>
      <c r="CK36" s="172">
        <v>0.15340000000000001</v>
      </c>
      <c r="CL36" s="172">
        <v>0.34055999999999997</v>
      </c>
      <c r="CM36" s="172">
        <v>0.10344</v>
      </c>
      <c r="CN36" s="172">
        <v>0.12870000000000001</v>
      </c>
      <c r="CO36" s="172">
        <v>0.58274999999999999</v>
      </c>
      <c r="CP36" s="172">
        <v>0.26513999999999999</v>
      </c>
      <c r="CQ36" s="172">
        <v>0.37157000000000001</v>
      </c>
      <c r="CR36" s="172">
        <v>9.6369999999999997E-2</v>
      </c>
      <c r="CS36" s="172">
        <v>0.40661999999999998</v>
      </c>
      <c r="CT36" s="172">
        <v>0.49141000000000001</v>
      </c>
      <c r="CU36" s="172">
        <v>0.12640000000000001</v>
      </c>
      <c r="CV36" s="172">
        <v>0.1923</v>
      </c>
      <c r="CW36" s="172">
        <v>0.12839999999999999</v>
      </c>
    </row>
    <row r="37" spans="1:101">
      <c r="A37" s="171">
        <f t="shared" si="1"/>
        <v>495</v>
      </c>
      <c r="B37" s="171">
        <v>1</v>
      </c>
      <c r="C37" s="172">
        <v>0.51941999999999999</v>
      </c>
      <c r="D37" s="172">
        <v>0.14026</v>
      </c>
      <c r="E37" s="172">
        <v>5.6009999999999997E-2</v>
      </c>
      <c r="F37" s="172">
        <v>0.16336999999999999</v>
      </c>
      <c r="G37" s="172">
        <v>4.9910000000000003E-2</v>
      </c>
      <c r="H37" s="172">
        <v>9.9989999999999996E-2</v>
      </c>
      <c r="I37" s="172">
        <v>4.9360000000000001E-2</v>
      </c>
      <c r="J37" s="172">
        <v>5.5690000000000003E-2</v>
      </c>
      <c r="K37" s="172">
        <v>5.8049999999999997E-2</v>
      </c>
      <c r="L37" s="172">
        <v>0.16250000000000001</v>
      </c>
      <c r="M37" s="172">
        <v>4.4409999999999998E-2</v>
      </c>
      <c r="N37" s="172">
        <v>5.0869999999999999E-2</v>
      </c>
      <c r="O37" s="172">
        <v>7.1910000000000002E-2</v>
      </c>
      <c r="P37" s="172">
        <v>0.36675999999999997</v>
      </c>
      <c r="Q37" s="172">
        <v>0.32475999999999999</v>
      </c>
      <c r="R37" s="172">
        <v>7.9960000000000003E-2</v>
      </c>
      <c r="S37" s="172">
        <v>7.5590000000000004E-2</v>
      </c>
      <c r="T37" s="172">
        <v>0.15359</v>
      </c>
      <c r="U37" s="172">
        <v>0.12801000000000001</v>
      </c>
      <c r="V37" s="172">
        <v>0.2432</v>
      </c>
      <c r="W37" s="172">
        <v>0.20499000000000001</v>
      </c>
      <c r="X37" s="172">
        <v>0.17397000000000001</v>
      </c>
      <c r="Y37" s="172">
        <v>0.61277999999999999</v>
      </c>
      <c r="Z37" s="172">
        <v>0.36342999999999998</v>
      </c>
      <c r="AA37" s="172">
        <v>5.851E-2</v>
      </c>
      <c r="AB37" s="172">
        <v>0.34048</v>
      </c>
      <c r="AC37" s="172">
        <v>0.31468000000000002</v>
      </c>
      <c r="AD37" s="172">
        <v>5.2659999999999998E-2</v>
      </c>
      <c r="AE37" s="172">
        <v>0.40328000000000003</v>
      </c>
      <c r="AF37" s="172">
        <v>0.26432</v>
      </c>
      <c r="AG37" s="172">
        <v>0.46096999999999999</v>
      </c>
      <c r="AH37" s="172">
        <v>0.21218000000000001</v>
      </c>
      <c r="AI37" s="172">
        <v>0.6331</v>
      </c>
      <c r="AJ37" s="172">
        <v>0.10573</v>
      </c>
      <c r="AK37" s="172">
        <v>6.9989999999999997E-2</v>
      </c>
      <c r="AL37" s="172">
        <v>0.53054999999999997</v>
      </c>
      <c r="AM37" s="172">
        <v>7.1150000000000005E-2</v>
      </c>
      <c r="AN37" s="172">
        <v>0.62697999999999998</v>
      </c>
      <c r="AO37" s="172">
        <v>8.0310000000000006E-2</v>
      </c>
      <c r="AP37" s="172">
        <v>0.16617000000000001</v>
      </c>
      <c r="AQ37" s="172">
        <v>0.73336000000000001</v>
      </c>
      <c r="AR37" s="172">
        <v>0.16761000000000001</v>
      </c>
      <c r="AS37" s="172">
        <v>0.32329999999999998</v>
      </c>
      <c r="AT37" s="172">
        <v>4.9860000000000002E-2</v>
      </c>
      <c r="AU37" s="172">
        <v>0.20369000000000001</v>
      </c>
      <c r="AV37" s="172">
        <v>0.34297</v>
      </c>
      <c r="AW37" s="172">
        <v>0.47932999999999998</v>
      </c>
      <c r="AX37" s="172">
        <v>0.52583000000000002</v>
      </c>
      <c r="AY37" s="172">
        <v>0.17469000000000001</v>
      </c>
      <c r="AZ37" s="172">
        <v>0.27018999999999999</v>
      </c>
      <c r="BA37" s="172">
        <v>0.32596999999999998</v>
      </c>
      <c r="BB37" s="172">
        <v>0.15570999999999999</v>
      </c>
      <c r="BC37" s="172">
        <v>0.28105000000000002</v>
      </c>
      <c r="BD37" s="172">
        <v>0.77166000000000001</v>
      </c>
      <c r="BE37" s="172">
        <v>0.74751999999999996</v>
      </c>
      <c r="BF37" s="172">
        <v>0.66137000000000001</v>
      </c>
      <c r="BG37" s="172">
        <v>0.44869999999999999</v>
      </c>
      <c r="BH37" s="172">
        <v>0.40467999999999998</v>
      </c>
      <c r="BI37" s="172">
        <v>0.79473000000000005</v>
      </c>
      <c r="BJ37" s="172">
        <v>0.77144999999999997</v>
      </c>
      <c r="BK37" s="172">
        <v>0.58884000000000003</v>
      </c>
      <c r="BL37" s="172">
        <v>0.42262</v>
      </c>
      <c r="BM37" s="172">
        <v>0.10508000000000001</v>
      </c>
      <c r="BN37" s="172">
        <v>0.52895000000000003</v>
      </c>
      <c r="BO37" s="172">
        <v>0.19442999999999999</v>
      </c>
      <c r="BP37" s="172">
        <v>0.34737000000000001</v>
      </c>
      <c r="BQ37" s="172">
        <v>0.40282000000000001</v>
      </c>
      <c r="BR37" s="172">
        <v>0.47732000000000002</v>
      </c>
      <c r="BS37" s="172">
        <v>0.26901999999999998</v>
      </c>
      <c r="BT37" s="172">
        <v>0.68799999999999994</v>
      </c>
      <c r="BU37" s="172">
        <v>0.19206000000000001</v>
      </c>
      <c r="BV37" s="172">
        <v>0.54681000000000002</v>
      </c>
      <c r="BW37" s="172">
        <v>0.48059000000000002</v>
      </c>
      <c r="BX37" s="172">
        <v>5.7849999999999999E-2</v>
      </c>
      <c r="BY37" s="172">
        <v>0.16234000000000001</v>
      </c>
      <c r="BZ37" s="172">
        <v>0.36620999999999998</v>
      </c>
      <c r="CA37" s="172">
        <v>0.23809</v>
      </c>
      <c r="CB37" s="172">
        <v>0.27027000000000001</v>
      </c>
      <c r="CC37" s="172">
        <v>0.58330000000000004</v>
      </c>
      <c r="CD37" s="172">
        <v>0.45229000000000003</v>
      </c>
      <c r="CE37" s="172">
        <v>0.21651999999999999</v>
      </c>
      <c r="CF37" s="172">
        <v>0.73043999999999998</v>
      </c>
      <c r="CG37" s="172">
        <v>0.46771000000000001</v>
      </c>
      <c r="CH37" s="172">
        <v>6.2670000000000003E-2</v>
      </c>
      <c r="CI37" s="172">
        <v>0.14321</v>
      </c>
      <c r="CJ37" s="172">
        <v>0.40933999999999998</v>
      </c>
      <c r="CK37" s="172">
        <v>0.1429</v>
      </c>
      <c r="CL37" s="172">
        <v>0.32102999999999998</v>
      </c>
      <c r="CM37" s="172">
        <v>9.3579999999999997E-2</v>
      </c>
      <c r="CN37" s="172">
        <v>0.11977</v>
      </c>
      <c r="CO37" s="172">
        <v>0.57511000000000001</v>
      </c>
      <c r="CP37" s="172">
        <v>0.25488</v>
      </c>
      <c r="CQ37" s="172">
        <v>0.35699999999999998</v>
      </c>
      <c r="CR37" s="172">
        <v>8.9370000000000005E-2</v>
      </c>
      <c r="CS37" s="172">
        <v>0.39437</v>
      </c>
      <c r="CT37" s="172">
        <v>0.47728999999999999</v>
      </c>
      <c r="CU37" s="172">
        <v>0.11162999999999999</v>
      </c>
      <c r="CV37" s="172">
        <v>0.1797</v>
      </c>
      <c r="CW37" s="172">
        <v>0.12204</v>
      </c>
    </row>
    <row r="38" spans="1:101">
      <c r="A38" s="171">
        <f t="shared" si="1"/>
        <v>500</v>
      </c>
      <c r="B38" s="171">
        <v>1</v>
      </c>
      <c r="C38" s="172">
        <v>0.50949999999999995</v>
      </c>
      <c r="D38" s="172">
        <v>0.13270000000000001</v>
      </c>
      <c r="E38" s="172">
        <v>5.3920000000000003E-2</v>
      </c>
      <c r="F38" s="172">
        <v>0.15559999999999999</v>
      </c>
      <c r="G38" s="172">
        <v>4.8689999999999997E-2</v>
      </c>
      <c r="H38" s="172">
        <v>9.8559999999999995E-2</v>
      </c>
      <c r="I38" s="172">
        <v>4.9000000000000002E-2</v>
      </c>
      <c r="J38" s="172">
        <v>5.5289999999999999E-2</v>
      </c>
      <c r="K38" s="172">
        <v>5.9249999999999997E-2</v>
      </c>
      <c r="L38" s="172">
        <v>0.16134999999999999</v>
      </c>
      <c r="M38" s="172">
        <v>4.3369999999999999E-2</v>
      </c>
      <c r="N38" s="172">
        <v>4.8669999999999998E-2</v>
      </c>
      <c r="O38" s="172">
        <v>7.9089999999999994E-2</v>
      </c>
      <c r="P38" s="172">
        <v>0.36820000000000003</v>
      </c>
      <c r="Q38" s="172">
        <v>0.33167999999999997</v>
      </c>
      <c r="R38" s="172">
        <v>8.3199999999999996E-2</v>
      </c>
      <c r="S38" s="172">
        <v>7.6480000000000006E-2</v>
      </c>
      <c r="T38" s="172">
        <v>0.159</v>
      </c>
      <c r="U38" s="172">
        <v>0.1348</v>
      </c>
      <c r="V38" s="172">
        <v>0.24664</v>
      </c>
      <c r="W38" s="172">
        <v>0.21238000000000001</v>
      </c>
      <c r="X38" s="172">
        <v>0.18568999999999999</v>
      </c>
      <c r="Y38" s="172">
        <v>0.62302999999999997</v>
      </c>
      <c r="Z38" s="172">
        <v>0.38540000000000002</v>
      </c>
      <c r="AA38" s="172">
        <v>6.343E-2</v>
      </c>
      <c r="AB38" s="172">
        <v>0.36919999999999997</v>
      </c>
      <c r="AC38" s="172">
        <v>0.32906999999999997</v>
      </c>
      <c r="AD38" s="172">
        <v>5.7799999999999997E-2</v>
      </c>
      <c r="AE38" s="172">
        <v>0.42723</v>
      </c>
      <c r="AF38" s="172">
        <v>0.27011000000000002</v>
      </c>
      <c r="AG38" s="172">
        <v>0.50100999999999996</v>
      </c>
      <c r="AH38" s="172">
        <v>0.2387</v>
      </c>
      <c r="AI38" s="172">
        <v>0.64078999999999997</v>
      </c>
      <c r="AJ38" s="172">
        <v>0.12138</v>
      </c>
      <c r="AK38" s="172">
        <v>7.6480000000000006E-2</v>
      </c>
      <c r="AL38" s="172">
        <v>0.53091999999999995</v>
      </c>
      <c r="AM38" s="172">
        <v>7.1999999999999995E-2</v>
      </c>
      <c r="AN38" s="172">
        <v>0.63270000000000004</v>
      </c>
      <c r="AO38" s="172">
        <v>8.5629999999999998E-2</v>
      </c>
      <c r="AP38" s="172">
        <v>0.186</v>
      </c>
      <c r="AQ38" s="172">
        <v>0.73640000000000005</v>
      </c>
      <c r="AR38" s="172">
        <v>0.20821000000000001</v>
      </c>
      <c r="AS38" s="172">
        <v>0.3891</v>
      </c>
      <c r="AT38" s="172">
        <v>5.04E-2</v>
      </c>
      <c r="AU38" s="172">
        <v>0.23996000000000001</v>
      </c>
      <c r="AV38" s="172">
        <v>0.3624</v>
      </c>
      <c r="AW38" s="172">
        <v>0.48480000000000001</v>
      </c>
      <c r="AX38" s="172">
        <v>0.54042000000000001</v>
      </c>
      <c r="AY38" s="172">
        <v>0.18701000000000001</v>
      </c>
      <c r="AZ38" s="172">
        <v>0.29107</v>
      </c>
      <c r="BA38" s="172">
        <v>0.34882999999999997</v>
      </c>
      <c r="BB38" s="172">
        <v>0.17817</v>
      </c>
      <c r="BC38" s="172">
        <v>0.31369999999999998</v>
      </c>
      <c r="BD38" s="172">
        <v>0.77300000000000002</v>
      </c>
      <c r="BE38" s="172">
        <v>0.75151000000000001</v>
      </c>
      <c r="BF38" s="172">
        <v>0.67062999999999995</v>
      </c>
      <c r="BG38" s="172">
        <v>0.45800000000000002</v>
      </c>
      <c r="BH38" s="172">
        <v>0.40689999999999998</v>
      </c>
      <c r="BI38" s="172">
        <v>0.81</v>
      </c>
      <c r="BJ38" s="172">
        <v>0.77193000000000001</v>
      </c>
      <c r="BK38" s="172">
        <v>0.60070000000000001</v>
      </c>
      <c r="BL38" s="172">
        <v>0.41302</v>
      </c>
      <c r="BM38" s="172">
        <v>0.10285</v>
      </c>
      <c r="BN38" s="172">
        <v>0.52249999999999996</v>
      </c>
      <c r="BO38" s="172">
        <v>0.18339</v>
      </c>
      <c r="BP38" s="172">
        <v>0.33650000000000002</v>
      </c>
      <c r="BQ38" s="172">
        <v>0.38790000000000002</v>
      </c>
      <c r="BR38" s="172">
        <v>0.47999000000000003</v>
      </c>
      <c r="BS38" s="172">
        <v>0.27359</v>
      </c>
      <c r="BT38" s="172">
        <v>0.67186999999999997</v>
      </c>
      <c r="BU38" s="172">
        <v>0.17799999999999999</v>
      </c>
      <c r="BV38" s="172">
        <v>0.54325999999999997</v>
      </c>
      <c r="BW38" s="172">
        <v>0.46417999999999998</v>
      </c>
      <c r="BX38" s="172">
        <v>5.629E-2</v>
      </c>
      <c r="BY38" s="172">
        <v>0.14649999999999999</v>
      </c>
      <c r="BZ38" s="172">
        <v>0.34350000000000003</v>
      </c>
      <c r="CA38" s="172">
        <v>0.22534999999999999</v>
      </c>
      <c r="CB38" s="172">
        <v>0.25169999999999998</v>
      </c>
      <c r="CC38" s="172">
        <v>0.56372999999999995</v>
      </c>
      <c r="CD38" s="172">
        <v>0.42720000000000002</v>
      </c>
      <c r="CE38" s="172">
        <v>0.20355999999999999</v>
      </c>
      <c r="CF38" s="172">
        <v>0.71879999999999999</v>
      </c>
      <c r="CG38" s="172">
        <v>0.45300000000000001</v>
      </c>
      <c r="CH38" s="172">
        <v>6.3509999999999997E-2</v>
      </c>
      <c r="CI38" s="172">
        <v>0.13436000000000001</v>
      </c>
      <c r="CJ38" s="172">
        <v>0.39068000000000003</v>
      </c>
      <c r="CK38" s="172">
        <v>0.13255</v>
      </c>
      <c r="CL38" s="172">
        <v>0.30253999999999998</v>
      </c>
      <c r="CM38" s="172">
        <v>8.4589999999999999E-2</v>
      </c>
      <c r="CN38" s="172">
        <v>0.11260000000000001</v>
      </c>
      <c r="CO38" s="172">
        <v>0.56691999999999998</v>
      </c>
      <c r="CP38" s="172">
        <v>0.24532000000000001</v>
      </c>
      <c r="CQ38" s="172">
        <v>0.34355999999999998</v>
      </c>
      <c r="CR38" s="172">
        <v>8.3409999999999998E-2</v>
      </c>
      <c r="CS38" s="172">
        <v>0.38166</v>
      </c>
      <c r="CT38" s="172">
        <v>0.46359</v>
      </c>
      <c r="CU38" s="172">
        <v>9.8799999999999999E-2</v>
      </c>
      <c r="CV38" s="172">
        <v>0.16764999999999999</v>
      </c>
      <c r="CW38" s="172">
        <v>0.11650000000000001</v>
      </c>
    </row>
    <row r="39" spans="1:101">
      <c r="A39" s="171">
        <f t="shared" si="1"/>
        <v>505</v>
      </c>
      <c r="B39" s="171">
        <v>1</v>
      </c>
      <c r="C39" s="172">
        <v>0.50163000000000002</v>
      </c>
      <c r="D39" s="172">
        <v>0.12604000000000001</v>
      </c>
      <c r="E39" s="172">
        <v>5.2019999999999997E-2</v>
      </c>
      <c r="F39" s="172">
        <v>0.15190000000000001</v>
      </c>
      <c r="G39" s="172">
        <v>4.7829999999999998E-2</v>
      </c>
      <c r="H39" s="172">
        <v>9.7119999999999998E-2</v>
      </c>
      <c r="I39" s="172">
        <v>4.8660000000000002E-2</v>
      </c>
      <c r="J39" s="172">
        <v>5.5050000000000002E-2</v>
      </c>
      <c r="K39" s="172">
        <v>5.8990000000000001E-2</v>
      </c>
      <c r="L39" s="172">
        <v>0.16120000000000001</v>
      </c>
      <c r="M39" s="172">
        <v>4.2430000000000002E-2</v>
      </c>
      <c r="N39" s="172">
        <v>4.9950000000000001E-2</v>
      </c>
      <c r="O39" s="172">
        <v>8.3729999999999999E-2</v>
      </c>
      <c r="P39" s="172">
        <v>0.37008999999999997</v>
      </c>
      <c r="Q39" s="172">
        <v>0.33767000000000003</v>
      </c>
      <c r="R39" s="172">
        <v>8.6470000000000005E-2</v>
      </c>
      <c r="S39" s="172">
        <v>7.7009999999999995E-2</v>
      </c>
      <c r="T39" s="172">
        <v>0.16433</v>
      </c>
      <c r="U39" s="172">
        <v>0.14804999999999999</v>
      </c>
      <c r="V39" s="172">
        <v>0.2407</v>
      </c>
      <c r="W39" s="172">
        <v>0.22278000000000001</v>
      </c>
      <c r="X39" s="172">
        <v>0.19875999999999999</v>
      </c>
      <c r="Y39" s="172">
        <v>0.63424999999999998</v>
      </c>
      <c r="Z39" s="172">
        <v>0.41038999999999998</v>
      </c>
      <c r="AA39" s="172">
        <v>7.0620000000000002E-2</v>
      </c>
      <c r="AB39" s="172">
        <v>0.40017000000000003</v>
      </c>
      <c r="AC39" s="172">
        <v>0.34462999999999999</v>
      </c>
      <c r="AD39" s="172">
        <v>6.583E-2</v>
      </c>
      <c r="AE39" s="172">
        <v>0.45368999999999998</v>
      </c>
      <c r="AF39" s="172">
        <v>0.27155000000000001</v>
      </c>
      <c r="AG39" s="172">
        <v>0.53702000000000005</v>
      </c>
      <c r="AH39" s="172">
        <v>0.26635999999999999</v>
      </c>
      <c r="AI39" s="172">
        <v>0.65017999999999998</v>
      </c>
      <c r="AJ39" s="172">
        <v>0.13905999999999999</v>
      </c>
      <c r="AK39" s="172">
        <v>8.2439999999999999E-2</v>
      </c>
      <c r="AL39" s="172">
        <v>0.53193000000000001</v>
      </c>
      <c r="AM39" s="172">
        <v>7.0379999999999998E-2</v>
      </c>
      <c r="AN39" s="172">
        <v>0.64010999999999996</v>
      </c>
      <c r="AO39" s="172">
        <v>8.9160000000000003E-2</v>
      </c>
      <c r="AP39" s="172">
        <v>0.20197999999999999</v>
      </c>
      <c r="AQ39" s="172">
        <v>0.73638000000000003</v>
      </c>
      <c r="AR39" s="172">
        <v>0.26399</v>
      </c>
      <c r="AS39" s="172">
        <v>0.45023999999999997</v>
      </c>
      <c r="AT39" s="172">
        <v>5.0819999999999997E-2</v>
      </c>
      <c r="AU39" s="172">
        <v>0.27413999999999999</v>
      </c>
      <c r="AV39" s="172">
        <v>0.37735000000000002</v>
      </c>
      <c r="AW39" s="172">
        <v>0.48229</v>
      </c>
      <c r="AX39" s="172">
        <v>0.55383000000000004</v>
      </c>
      <c r="AY39" s="172">
        <v>0.19627</v>
      </c>
      <c r="AZ39" s="172">
        <v>0.30412</v>
      </c>
      <c r="BA39" s="172">
        <v>0.36119000000000001</v>
      </c>
      <c r="BB39" s="172">
        <v>0.19575000000000001</v>
      </c>
      <c r="BC39" s="172">
        <v>0.34111000000000002</v>
      </c>
      <c r="BD39" s="172">
        <v>0.77288999999999997</v>
      </c>
      <c r="BE39" s="172">
        <v>0.75312000000000001</v>
      </c>
      <c r="BF39" s="172">
        <v>0.67105999999999999</v>
      </c>
      <c r="BG39" s="172">
        <v>0.46055000000000001</v>
      </c>
      <c r="BH39" s="172">
        <v>0.40340999999999999</v>
      </c>
      <c r="BI39" s="172">
        <v>0.81989999999999996</v>
      </c>
      <c r="BJ39" s="172">
        <v>0.77081999999999995</v>
      </c>
      <c r="BK39" s="172">
        <v>0.61031000000000002</v>
      </c>
      <c r="BL39" s="172">
        <v>0.40100999999999998</v>
      </c>
      <c r="BM39" s="172">
        <v>9.9080000000000001E-2</v>
      </c>
      <c r="BN39" s="172">
        <v>0.51015999999999995</v>
      </c>
      <c r="BO39" s="172">
        <v>0.16986999999999999</v>
      </c>
      <c r="BP39" s="172">
        <v>0.32016</v>
      </c>
      <c r="BQ39" s="172">
        <v>0.36753999999999998</v>
      </c>
      <c r="BR39" s="172">
        <v>0.47815999999999997</v>
      </c>
      <c r="BS39" s="172">
        <v>0.27587</v>
      </c>
      <c r="BT39" s="172">
        <v>0.65288000000000002</v>
      </c>
      <c r="BU39" s="172">
        <v>0.16197</v>
      </c>
      <c r="BV39" s="172">
        <v>0.53893999999999997</v>
      </c>
      <c r="BW39" s="172">
        <v>0.44544</v>
      </c>
      <c r="BX39" s="172">
        <v>5.4480000000000001E-2</v>
      </c>
      <c r="BY39" s="172">
        <v>0.13039999999999999</v>
      </c>
      <c r="BZ39" s="172">
        <v>0.31847999999999999</v>
      </c>
      <c r="CA39" s="172">
        <v>0.21296999999999999</v>
      </c>
      <c r="CB39" s="172">
        <v>0.23219000000000001</v>
      </c>
      <c r="CC39" s="172">
        <v>0.54442999999999997</v>
      </c>
      <c r="CD39" s="172">
        <v>0.40344000000000002</v>
      </c>
      <c r="CE39" s="172">
        <v>0.18994</v>
      </c>
      <c r="CF39" s="172">
        <v>0.70796000000000003</v>
      </c>
      <c r="CG39" s="172">
        <v>0.43915999999999999</v>
      </c>
      <c r="CH39" s="172">
        <v>6.3149999999999998E-2</v>
      </c>
      <c r="CI39" s="172">
        <v>0.12644</v>
      </c>
      <c r="CJ39" s="172">
        <v>0.37145</v>
      </c>
      <c r="CK39" s="172">
        <v>0.12197</v>
      </c>
      <c r="CL39" s="172">
        <v>0.28661999999999999</v>
      </c>
      <c r="CM39" s="172">
        <v>7.7410000000000007E-2</v>
      </c>
      <c r="CN39" s="172">
        <v>0.10642</v>
      </c>
      <c r="CO39" s="172">
        <v>0.55949000000000004</v>
      </c>
      <c r="CP39" s="172">
        <v>0.23679</v>
      </c>
      <c r="CQ39" s="172">
        <v>0.33107999999999999</v>
      </c>
      <c r="CR39" s="172">
        <v>7.7950000000000005E-2</v>
      </c>
      <c r="CS39" s="172">
        <v>0.36831999999999998</v>
      </c>
      <c r="CT39" s="172">
        <v>0.45024999999999998</v>
      </c>
      <c r="CU39" s="172">
        <v>8.9929999999999996E-2</v>
      </c>
      <c r="CV39" s="172">
        <v>0.15642</v>
      </c>
      <c r="CW39" s="172">
        <v>0.11137</v>
      </c>
    </row>
    <row r="40" spans="1:101">
      <c r="A40" s="171">
        <f t="shared" si="1"/>
        <v>510</v>
      </c>
      <c r="B40" s="171">
        <v>1</v>
      </c>
      <c r="C40" s="172">
        <v>0.49580000000000002</v>
      </c>
      <c r="D40" s="172">
        <v>0.12089999999999999</v>
      </c>
      <c r="E40" s="172">
        <v>4.895E-2</v>
      </c>
      <c r="F40" s="172">
        <v>0.15143000000000001</v>
      </c>
      <c r="G40" s="172">
        <v>4.761E-2</v>
      </c>
      <c r="H40" s="172">
        <v>9.6000000000000002E-2</v>
      </c>
      <c r="I40" s="172">
        <v>4.8399999999999999E-2</v>
      </c>
      <c r="J40" s="172">
        <v>5.4960000000000002E-2</v>
      </c>
      <c r="K40" s="172">
        <v>5.7709999999999997E-2</v>
      </c>
      <c r="L40" s="172">
        <v>0.16111</v>
      </c>
      <c r="M40" s="172">
        <v>4.1689999999999998E-2</v>
      </c>
      <c r="N40" s="172">
        <v>5.2350000000000001E-2</v>
      </c>
      <c r="O40" s="172">
        <v>8.6540000000000006E-2</v>
      </c>
      <c r="P40" s="172">
        <v>0.37269999999999998</v>
      </c>
      <c r="Q40" s="172">
        <v>0.34118999999999999</v>
      </c>
      <c r="R40" s="172">
        <v>8.9730000000000004E-2</v>
      </c>
      <c r="S40" s="172">
        <v>7.7469999999999997E-2</v>
      </c>
      <c r="T40" s="172">
        <v>0.16880000000000001</v>
      </c>
      <c r="U40" s="172">
        <v>0.16639999999999999</v>
      </c>
      <c r="V40" s="172">
        <v>0.23085</v>
      </c>
      <c r="W40" s="172">
        <v>0.23849000000000001</v>
      </c>
      <c r="X40" s="172">
        <v>0.21356</v>
      </c>
      <c r="Y40" s="172">
        <v>0.64598999999999995</v>
      </c>
      <c r="Z40" s="172">
        <v>0.43859999999999999</v>
      </c>
      <c r="AA40" s="172">
        <v>8.2180000000000003E-2</v>
      </c>
      <c r="AB40" s="172">
        <v>0.43290000000000001</v>
      </c>
      <c r="AC40" s="172">
        <v>0.35691000000000001</v>
      </c>
      <c r="AD40" s="172">
        <v>7.9229999999999995E-2</v>
      </c>
      <c r="AE40" s="172">
        <v>0.48276999999999998</v>
      </c>
      <c r="AF40" s="172">
        <v>0.27200000000000002</v>
      </c>
      <c r="AG40" s="172">
        <v>0.56908000000000003</v>
      </c>
      <c r="AH40" s="172">
        <v>0.29520000000000002</v>
      </c>
      <c r="AI40" s="172">
        <v>0.66068000000000005</v>
      </c>
      <c r="AJ40" s="172">
        <v>0.16048000000000001</v>
      </c>
      <c r="AK40" s="172">
        <v>8.763E-2</v>
      </c>
      <c r="AL40" s="172">
        <v>0.53347</v>
      </c>
      <c r="AM40" s="172">
        <v>7.3999999999999996E-2</v>
      </c>
      <c r="AN40" s="172">
        <v>0.64719000000000004</v>
      </c>
      <c r="AO40" s="172">
        <v>9.1300000000000006E-2</v>
      </c>
      <c r="AP40" s="172">
        <v>0.21465000000000001</v>
      </c>
      <c r="AQ40" s="172">
        <v>0.73419999999999996</v>
      </c>
      <c r="AR40" s="172">
        <v>0.33133000000000001</v>
      </c>
      <c r="AS40" s="172">
        <v>0.49969999999999998</v>
      </c>
      <c r="AT40" s="172">
        <v>5.11E-2</v>
      </c>
      <c r="AU40" s="172">
        <v>0.30442999999999998</v>
      </c>
      <c r="AV40" s="172">
        <v>0.38800000000000001</v>
      </c>
      <c r="AW40" s="172">
        <v>0.47449999999999998</v>
      </c>
      <c r="AX40" s="172">
        <v>0.56645999999999996</v>
      </c>
      <c r="AY40" s="172">
        <v>0.20241000000000001</v>
      </c>
      <c r="AZ40" s="172">
        <v>0.31122</v>
      </c>
      <c r="BA40" s="172">
        <v>0.36570000000000003</v>
      </c>
      <c r="BB40" s="172">
        <v>0.20907999999999999</v>
      </c>
      <c r="BC40" s="172">
        <v>0.35849999999999999</v>
      </c>
      <c r="BD40" s="172">
        <v>0.7722</v>
      </c>
      <c r="BE40" s="172">
        <v>0.75258999999999998</v>
      </c>
      <c r="BF40" s="172">
        <v>0.66461000000000003</v>
      </c>
      <c r="BG40" s="172">
        <v>0.45710000000000001</v>
      </c>
      <c r="BH40" s="172">
        <v>0.39562000000000003</v>
      </c>
      <c r="BI40" s="172">
        <v>0.82440000000000002</v>
      </c>
      <c r="BJ40" s="172">
        <v>0.76795999999999998</v>
      </c>
      <c r="BK40" s="172">
        <v>0.61756999999999995</v>
      </c>
      <c r="BL40" s="172">
        <v>0.38819999999999999</v>
      </c>
      <c r="BM40" s="172">
        <v>9.4140000000000001E-2</v>
      </c>
      <c r="BN40" s="172">
        <v>0.49295</v>
      </c>
      <c r="BO40" s="172">
        <v>0.15589</v>
      </c>
      <c r="BP40" s="172">
        <v>0.29980000000000001</v>
      </c>
      <c r="BQ40" s="172">
        <v>0.34329999999999999</v>
      </c>
      <c r="BR40" s="172">
        <v>0.47256999999999999</v>
      </c>
      <c r="BS40" s="172">
        <v>0.27606000000000003</v>
      </c>
      <c r="BT40" s="172">
        <v>0.63146999999999998</v>
      </c>
      <c r="BU40" s="172">
        <v>0.1452</v>
      </c>
      <c r="BV40" s="172">
        <v>0.53388999999999998</v>
      </c>
      <c r="BW40" s="172">
        <v>0.42486000000000002</v>
      </c>
      <c r="BX40" s="172">
        <v>5.2819999999999999E-2</v>
      </c>
      <c r="BY40" s="172">
        <v>0.1148</v>
      </c>
      <c r="BZ40" s="172">
        <v>0.29189999999999999</v>
      </c>
      <c r="CA40" s="172">
        <v>0.20097999999999999</v>
      </c>
      <c r="CB40" s="172">
        <v>0.21257999999999999</v>
      </c>
      <c r="CC40" s="172">
        <v>0.52600000000000002</v>
      </c>
      <c r="CD40" s="172">
        <v>0.38140000000000002</v>
      </c>
      <c r="CE40" s="172">
        <v>0.17480999999999999</v>
      </c>
      <c r="CF40" s="172">
        <v>0.69789999999999996</v>
      </c>
      <c r="CG40" s="172">
        <v>0.42670000000000002</v>
      </c>
      <c r="CH40" s="172">
        <v>6.1929999999999999E-2</v>
      </c>
      <c r="CI40" s="172">
        <v>0.12123</v>
      </c>
      <c r="CJ40" s="172">
        <v>0.35265000000000002</v>
      </c>
      <c r="CK40" s="172">
        <v>0.11119999999999999</v>
      </c>
      <c r="CL40" s="172">
        <v>0.27176</v>
      </c>
      <c r="CM40" s="172">
        <v>7.195E-2</v>
      </c>
      <c r="CN40" s="172">
        <v>0.1002</v>
      </c>
      <c r="CO40" s="172">
        <v>0.55296999999999996</v>
      </c>
      <c r="CP40" s="172">
        <v>0.22756000000000001</v>
      </c>
      <c r="CQ40" s="172">
        <v>0.31952000000000003</v>
      </c>
      <c r="CR40" s="172">
        <v>7.2989999999999999E-2</v>
      </c>
      <c r="CS40" s="172">
        <v>0.35444999999999999</v>
      </c>
      <c r="CT40" s="172">
        <v>0.43719999999999998</v>
      </c>
      <c r="CU40" s="172">
        <v>8.48E-2</v>
      </c>
      <c r="CV40" s="172">
        <v>0.14727000000000001</v>
      </c>
      <c r="CW40" s="172">
        <v>0.1061</v>
      </c>
    </row>
    <row r="41" spans="1:101">
      <c r="A41" s="171">
        <f t="shared" si="1"/>
        <v>515</v>
      </c>
      <c r="B41" s="171">
        <v>1</v>
      </c>
      <c r="C41" s="172">
        <v>0.49170999999999998</v>
      </c>
      <c r="D41" s="172">
        <v>0.11769</v>
      </c>
      <c r="E41" s="172">
        <v>4.7620000000000003E-2</v>
      </c>
      <c r="F41" s="172">
        <v>0.15412000000000001</v>
      </c>
      <c r="G41" s="172">
        <v>4.8309999999999999E-2</v>
      </c>
      <c r="H41" s="172">
        <v>9.5630000000000007E-2</v>
      </c>
      <c r="I41" s="172">
        <v>4.8280000000000003E-2</v>
      </c>
      <c r="J41" s="172">
        <v>5.4949999999999999E-2</v>
      </c>
      <c r="K41" s="172">
        <v>5.602E-2</v>
      </c>
      <c r="L41" s="172">
        <v>0.16047</v>
      </c>
      <c r="M41" s="172">
        <v>4.1309999999999999E-2</v>
      </c>
      <c r="N41" s="172">
        <v>5.5649999999999998E-2</v>
      </c>
      <c r="O41" s="172">
        <v>8.8410000000000002E-2</v>
      </c>
      <c r="P41" s="172">
        <v>0.37624999999999997</v>
      </c>
      <c r="Q41" s="172">
        <v>0.34098000000000001</v>
      </c>
      <c r="R41" s="172">
        <v>9.289E-2</v>
      </c>
      <c r="S41" s="172">
        <v>7.8170000000000003E-2</v>
      </c>
      <c r="T41" s="172">
        <v>0.17166000000000001</v>
      </c>
      <c r="U41" s="172">
        <v>0.18711</v>
      </c>
      <c r="V41" s="172">
        <v>0.22122</v>
      </c>
      <c r="W41" s="172">
        <v>0.26173999999999997</v>
      </c>
      <c r="X41" s="172">
        <v>0.23039000000000001</v>
      </c>
      <c r="Y41" s="172">
        <v>0.65788999999999997</v>
      </c>
      <c r="Z41" s="172">
        <v>0.47037000000000001</v>
      </c>
      <c r="AA41" s="172">
        <v>0.10589</v>
      </c>
      <c r="AB41" s="172">
        <v>0.46716999999999997</v>
      </c>
      <c r="AC41" s="172">
        <v>0.36974000000000001</v>
      </c>
      <c r="AD41" s="172">
        <v>9.3160000000000007E-2</v>
      </c>
      <c r="AE41" s="172">
        <v>0.51378000000000001</v>
      </c>
      <c r="AF41" s="172">
        <v>0.27353</v>
      </c>
      <c r="AG41" s="172">
        <v>0.59785999999999995</v>
      </c>
      <c r="AH41" s="172">
        <v>0.32517000000000001</v>
      </c>
      <c r="AI41" s="172">
        <v>0.67101</v>
      </c>
      <c r="AJ41" s="172">
        <v>0.18726999999999999</v>
      </c>
      <c r="AK41" s="172">
        <v>9.2259999999999995E-2</v>
      </c>
      <c r="AL41" s="172">
        <v>0.53402000000000005</v>
      </c>
      <c r="AM41" s="172">
        <v>8.9940000000000006E-2</v>
      </c>
      <c r="AN41" s="172">
        <v>0.65171000000000001</v>
      </c>
      <c r="AO41" s="172">
        <v>9.2560000000000003E-2</v>
      </c>
      <c r="AP41" s="172">
        <v>0.22434999999999999</v>
      </c>
      <c r="AQ41" s="172">
        <v>0.73060999999999998</v>
      </c>
      <c r="AR41" s="172">
        <v>0.40351999999999999</v>
      </c>
      <c r="AS41" s="172">
        <v>0.53263000000000005</v>
      </c>
      <c r="AT41" s="172">
        <v>5.1220000000000002E-2</v>
      </c>
      <c r="AU41" s="172">
        <v>0.32536999999999999</v>
      </c>
      <c r="AV41" s="172">
        <v>0.39477000000000001</v>
      </c>
      <c r="AW41" s="172">
        <v>0.46401999999999999</v>
      </c>
      <c r="AX41" s="172">
        <v>0.57838000000000001</v>
      </c>
      <c r="AY41" s="172">
        <v>0.20541999999999999</v>
      </c>
      <c r="AZ41" s="172">
        <v>0.31476999999999999</v>
      </c>
      <c r="BA41" s="172">
        <v>0.36586000000000002</v>
      </c>
      <c r="BB41" s="172">
        <v>0.21853</v>
      </c>
      <c r="BC41" s="172">
        <v>0.36251</v>
      </c>
      <c r="BD41" s="172">
        <v>0.77163999999999999</v>
      </c>
      <c r="BE41" s="172">
        <v>0.75009999999999999</v>
      </c>
      <c r="BF41" s="172">
        <v>0.65332000000000001</v>
      </c>
      <c r="BG41" s="172">
        <v>0.44861000000000001</v>
      </c>
      <c r="BH41" s="172">
        <v>0.38483000000000001</v>
      </c>
      <c r="BI41" s="172">
        <v>0.82406999999999997</v>
      </c>
      <c r="BJ41" s="172">
        <v>0.76324000000000003</v>
      </c>
      <c r="BK41" s="172">
        <v>0.62183999999999995</v>
      </c>
      <c r="BL41" s="172">
        <v>0.37623000000000001</v>
      </c>
      <c r="BM41" s="172">
        <v>8.838E-2</v>
      </c>
      <c r="BN41" s="172">
        <v>0.47184999999999999</v>
      </c>
      <c r="BO41" s="172">
        <v>0.14313000000000001</v>
      </c>
      <c r="BP41" s="172">
        <v>0.27692</v>
      </c>
      <c r="BQ41" s="172">
        <v>0.31661</v>
      </c>
      <c r="BR41" s="172">
        <v>0.46378000000000003</v>
      </c>
      <c r="BS41" s="172">
        <v>0.27412999999999998</v>
      </c>
      <c r="BT41" s="172">
        <v>0.60795999999999994</v>
      </c>
      <c r="BU41" s="172">
        <v>0.12916</v>
      </c>
      <c r="BV41" s="172">
        <v>0.52808999999999995</v>
      </c>
      <c r="BW41" s="172">
        <v>0.40322999999999998</v>
      </c>
      <c r="BX41" s="172">
        <v>5.1639999999999998E-2</v>
      </c>
      <c r="BY41" s="172">
        <v>0.10054</v>
      </c>
      <c r="BZ41" s="172">
        <v>0.26502999999999999</v>
      </c>
      <c r="CA41" s="172">
        <v>0.18934000000000001</v>
      </c>
      <c r="CB41" s="172">
        <v>0.19420999999999999</v>
      </c>
      <c r="CC41" s="172">
        <v>0.50863000000000003</v>
      </c>
      <c r="CD41" s="172">
        <v>0.36126999999999998</v>
      </c>
      <c r="CE41" s="172">
        <v>0.15837999999999999</v>
      </c>
      <c r="CF41" s="172">
        <v>0.68833999999999995</v>
      </c>
      <c r="CG41" s="172">
        <v>0.41592000000000001</v>
      </c>
      <c r="CH41" s="172">
        <v>6.0269999999999997E-2</v>
      </c>
      <c r="CI41" s="172">
        <v>0.11599</v>
      </c>
      <c r="CJ41" s="172">
        <v>0.33549000000000001</v>
      </c>
      <c r="CK41" s="172">
        <v>0.10054</v>
      </c>
      <c r="CL41" s="172">
        <v>0.25597999999999999</v>
      </c>
      <c r="CM41" s="172">
        <v>6.7760000000000001E-2</v>
      </c>
      <c r="CN41" s="172">
        <v>9.3210000000000001E-2</v>
      </c>
      <c r="CO41" s="172">
        <v>0.54596999999999996</v>
      </c>
      <c r="CP41" s="172">
        <v>0.21695999999999999</v>
      </c>
      <c r="CQ41" s="172">
        <v>0.30897000000000002</v>
      </c>
      <c r="CR41" s="172">
        <v>6.8650000000000003E-2</v>
      </c>
      <c r="CS41" s="172">
        <v>0.34032000000000001</v>
      </c>
      <c r="CT41" s="172">
        <v>0.42459000000000002</v>
      </c>
      <c r="CU41" s="172">
        <v>8.2339999999999997E-2</v>
      </c>
      <c r="CV41" s="172">
        <v>0.14136000000000001</v>
      </c>
      <c r="CW41" s="172">
        <v>0.10032000000000001</v>
      </c>
    </row>
    <row r="42" spans="1:101">
      <c r="A42" s="171">
        <f t="shared" si="1"/>
        <v>520</v>
      </c>
      <c r="B42" s="171">
        <v>1</v>
      </c>
      <c r="C42" s="172">
        <v>0.4894</v>
      </c>
      <c r="D42" s="172">
        <v>0.11609999999999999</v>
      </c>
      <c r="E42" s="172">
        <v>4.6469999999999997E-2</v>
      </c>
      <c r="F42" s="172">
        <v>0.16036</v>
      </c>
      <c r="G42" s="172">
        <v>5.0110000000000002E-2</v>
      </c>
      <c r="H42" s="172">
        <v>9.6189999999999998E-2</v>
      </c>
      <c r="I42" s="172">
        <v>4.82E-2</v>
      </c>
      <c r="J42" s="172">
        <v>5.491E-2</v>
      </c>
      <c r="K42" s="172">
        <v>5.4199999999999998E-2</v>
      </c>
      <c r="L42" s="172">
        <v>0.16075</v>
      </c>
      <c r="M42" s="172">
        <v>4.1390000000000003E-2</v>
      </c>
      <c r="N42" s="172">
        <v>5.9799999999999999E-2</v>
      </c>
      <c r="O42" s="172">
        <v>8.9120000000000005E-2</v>
      </c>
      <c r="P42" s="172">
        <v>0.38080000000000003</v>
      </c>
      <c r="Q42" s="172">
        <v>0.33711999999999998</v>
      </c>
      <c r="R42" s="172">
        <v>9.5759999999999998E-2</v>
      </c>
      <c r="S42" s="172">
        <v>7.9240000000000005E-2</v>
      </c>
      <c r="T42" s="172">
        <v>0.17280000000000001</v>
      </c>
      <c r="U42" s="172">
        <v>0.20519999999999999</v>
      </c>
      <c r="V42" s="172">
        <v>0.21248</v>
      </c>
      <c r="W42" s="172">
        <v>0.29339999999999999</v>
      </c>
      <c r="X42" s="172">
        <v>0.24906</v>
      </c>
      <c r="Y42" s="172">
        <v>0.67035999999999996</v>
      </c>
      <c r="Z42" s="172">
        <v>0.50619999999999998</v>
      </c>
      <c r="AA42" s="172">
        <v>0.14388000000000001</v>
      </c>
      <c r="AB42" s="172">
        <v>0.50319999999999998</v>
      </c>
      <c r="AC42" s="172">
        <v>0.38422000000000001</v>
      </c>
      <c r="AD42" s="172">
        <v>0.10443</v>
      </c>
      <c r="AE42" s="172">
        <v>0.54473000000000005</v>
      </c>
      <c r="AF42" s="172">
        <v>0.27629999999999999</v>
      </c>
      <c r="AG42" s="172">
        <v>0.62260000000000004</v>
      </c>
      <c r="AH42" s="172">
        <v>0.35580000000000001</v>
      </c>
      <c r="AI42" s="172">
        <v>0.68047999999999997</v>
      </c>
      <c r="AJ42" s="172">
        <v>0.21931999999999999</v>
      </c>
      <c r="AK42" s="172">
        <v>9.7850000000000006E-2</v>
      </c>
      <c r="AL42" s="172">
        <v>0.53283000000000003</v>
      </c>
      <c r="AM42" s="172">
        <v>0.115</v>
      </c>
      <c r="AN42" s="172">
        <v>0.65373000000000003</v>
      </c>
      <c r="AO42" s="172">
        <v>9.2539999999999997E-2</v>
      </c>
      <c r="AP42" s="172">
        <v>0.22825000000000001</v>
      </c>
      <c r="AQ42" s="172">
        <v>0.72609999999999997</v>
      </c>
      <c r="AR42" s="172">
        <v>0.46745999999999999</v>
      </c>
      <c r="AS42" s="172">
        <v>0.55069999999999997</v>
      </c>
      <c r="AT42" s="172">
        <v>5.1200000000000002E-2</v>
      </c>
      <c r="AU42" s="172">
        <v>0.33756000000000003</v>
      </c>
      <c r="AV42" s="172">
        <v>0.39829999999999999</v>
      </c>
      <c r="AW42" s="172">
        <v>0.45219999999999999</v>
      </c>
      <c r="AX42" s="172">
        <v>0.58865999999999996</v>
      </c>
      <c r="AY42" s="172">
        <v>0.20552999999999999</v>
      </c>
      <c r="AZ42" s="172">
        <v>0.31448999999999999</v>
      </c>
      <c r="BA42" s="172">
        <v>0.36203000000000002</v>
      </c>
      <c r="BB42" s="172">
        <v>0.22051999999999999</v>
      </c>
      <c r="BC42" s="172">
        <v>0.35539999999999999</v>
      </c>
      <c r="BD42" s="172">
        <v>0.77090000000000003</v>
      </c>
      <c r="BE42" s="172">
        <v>0.74536999999999998</v>
      </c>
      <c r="BF42" s="172">
        <v>0.63836000000000004</v>
      </c>
      <c r="BG42" s="172">
        <v>0.43619999999999998</v>
      </c>
      <c r="BH42" s="172">
        <v>0.37179000000000001</v>
      </c>
      <c r="BI42" s="172">
        <v>0.8196</v>
      </c>
      <c r="BJ42" s="172">
        <v>0.75680000000000003</v>
      </c>
      <c r="BK42" s="172">
        <v>0.61965000000000003</v>
      </c>
      <c r="BL42" s="172">
        <v>0.36636000000000002</v>
      </c>
      <c r="BM42" s="172">
        <v>8.2320000000000004E-2</v>
      </c>
      <c r="BN42" s="172">
        <v>0.44761000000000001</v>
      </c>
      <c r="BO42" s="172">
        <v>0.13275000000000001</v>
      </c>
      <c r="BP42" s="172">
        <v>0.25269999999999998</v>
      </c>
      <c r="BQ42" s="172">
        <v>0.28889999999999999</v>
      </c>
      <c r="BR42" s="172">
        <v>0.44969999999999999</v>
      </c>
      <c r="BS42" s="172">
        <v>0.26801999999999998</v>
      </c>
      <c r="BT42" s="172">
        <v>0.58201000000000003</v>
      </c>
      <c r="BU42" s="172">
        <v>0.1153</v>
      </c>
      <c r="BV42" s="172">
        <v>0.52120999999999995</v>
      </c>
      <c r="BW42" s="172">
        <v>0.38078000000000001</v>
      </c>
      <c r="BX42" s="172">
        <v>5.083E-2</v>
      </c>
      <c r="BY42" s="172">
        <v>8.8599999999999998E-2</v>
      </c>
      <c r="BZ42" s="172">
        <v>0.2402</v>
      </c>
      <c r="CA42" s="172">
        <v>0.17749999999999999</v>
      </c>
      <c r="CB42" s="172">
        <v>0.17802999999999999</v>
      </c>
      <c r="CC42" s="172">
        <v>0.49145</v>
      </c>
      <c r="CD42" s="172">
        <v>0.34288999999999997</v>
      </c>
      <c r="CE42" s="172">
        <v>0.14046</v>
      </c>
      <c r="CF42" s="172">
        <v>0.67900000000000005</v>
      </c>
      <c r="CG42" s="172">
        <v>0.40639999999999998</v>
      </c>
      <c r="CH42" s="172">
        <v>5.806E-2</v>
      </c>
      <c r="CI42" s="172">
        <v>0.11004</v>
      </c>
      <c r="CJ42" s="172">
        <v>0.32078000000000001</v>
      </c>
      <c r="CK42" s="172">
        <v>9.085E-2</v>
      </c>
      <c r="CL42" s="172">
        <v>0.23869000000000001</v>
      </c>
      <c r="CM42" s="172">
        <v>6.4199999999999993E-2</v>
      </c>
      <c r="CN42" s="172">
        <v>8.5999999999999993E-2</v>
      </c>
      <c r="CO42" s="172">
        <v>0.53793000000000002</v>
      </c>
      <c r="CP42" s="172">
        <v>0.20634</v>
      </c>
      <c r="CQ42" s="172">
        <v>0.30003000000000002</v>
      </c>
      <c r="CR42" s="172">
        <v>6.4930000000000002E-2</v>
      </c>
      <c r="CS42" s="172">
        <v>0.32702999999999999</v>
      </c>
      <c r="CT42" s="172">
        <v>0.41354999999999997</v>
      </c>
      <c r="CU42" s="172">
        <v>8.0299999999999996E-2</v>
      </c>
      <c r="CV42" s="172">
        <v>0.13849</v>
      </c>
      <c r="CW42" s="172">
        <v>9.4399999999999998E-2</v>
      </c>
    </row>
    <row r="43" spans="1:101">
      <c r="A43" s="171">
        <f t="shared" si="1"/>
        <v>525</v>
      </c>
      <c r="B43" s="171">
        <v>1</v>
      </c>
      <c r="C43" s="172">
        <v>0.48884</v>
      </c>
      <c r="D43" s="172">
        <v>0.11569</v>
      </c>
      <c r="E43" s="172">
        <v>4.3979999999999998E-2</v>
      </c>
      <c r="F43" s="172">
        <v>0.17075000000000001</v>
      </c>
      <c r="G43" s="172">
        <v>5.3019999999999998E-2</v>
      </c>
      <c r="H43" s="172">
        <v>9.7769999999999996E-2</v>
      </c>
      <c r="I43" s="172">
        <v>4.8070000000000002E-2</v>
      </c>
      <c r="J43" s="172">
        <v>5.4769999999999999E-2</v>
      </c>
      <c r="K43" s="172">
        <v>5.2400000000000002E-2</v>
      </c>
      <c r="L43" s="172">
        <v>0.16356999999999999</v>
      </c>
      <c r="M43" s="172">
        <v>4.2070000000000003E-2</v>
      </c>
      <c r="N43" s="172">
        <v>6.3380000000000006E-2</v>
      </c>
      <c r="O43" s="172">
        <v>8.8359999999999994E-2</v>
      </c>
      <c r="P43" s="172">
        <v>0.38613999999999998</v>
      </c>
      <c r="Q43" s="172">
        <v>0.33040999999999998</v>
      </c>
      <c r="R43" s="172">
        <v>9.8239999999999994E-2</v>
      </c>
      <c r="S43" s="172">
        <v>8.0860000000000001E-2</v>
      </c>
      <c r="T43" s="172">
        <v>0.17246</v>
      </c>
      <c r="U43" s="172">
        <v>0.21662000000000001</v>
      </c>
      <c r="V43" s="172">
        <v>0.20455000000000001</v>
      </c>
      <c r="W43" s="172">
        <v>0.33352999999999999</v>
      </c>
      <c r="X43" s="172">
        <v>0.26934999999999998</v>
      </c>
      <c r="Y43" s="172">
        <v>0.68406</v>
      </c>
      <c r="Z43" s="172">
        <v>0.54625999999999997</v>
      </c>
      <c r="AA43" s="172">
        <v>0.19506000000000001</v>
      </c>
      <c r="AB43" s="172">
        <v>0.54088000000000003</v>
      </c>
      <c r="AC43" s="172">
        <v>0.39685999999999999</v>
      </c>
      <c r="AD43" s="172">
        <v>0.11237</v>
      </c>
      <c r="AE43" s="172">
        <v>0.57367000000000001</v>
      </c>
      <c r="AF43" s="172">
        <v>0.27818999999999999</v>
      </c>
      <c r="AG43" s="172">
        <v>0.64263999999999999</v>
      </c>
      <c r="AH43" s="172">
        <v>0.38644000000000001</v>
      </c>
      <c r="AI43" s="172">
        <v>0.68881000000000003</v>
      </c>
      <c r="AJ43" s="172">
        <v>0.25474000000000002</v>
      </c>
      <c r="AK43" s="172">
        <v>0.1057</v>
      </c>
      <c r="AL43" s="172">
        <v>0.53039000000000003</v>
      </c>
      <c r="AM43" s="172">
        <v>0.14308999999999999</v>
      </c>
      <c r="AN43" s="172">
        <v>0.65447</v>
      </c>
      <c r="AO43" s="172">
        <v>9.0859999999999996E-2</v>
      </c>
      <c r="AP43" s="172">
        <v>0.22392999999999999</v>
      </c>
      <c r="AQ43" s="172">
        <v>0.72101999999999999</v>
      </c>
      <c r="AR43" s="172">
        <v>0.51124000000000003</v>
      </c>
      <c r="AS43" s="172">
        <v>0.55722000000000005</v>
      </c>
      <c r="AT43" s="172">
        <v>5.1069999999999997E-2</v>
      </c>
      <c r="AU43" s="172">
        <v>0.34253</v>
      </c>
      <c r="AV43" s="172">
        <v>0.39931</v>
      </c>
      <c r="AW43" s="172">
        <v>0.43995000000000001</v>
      </c>
      <c r="AX43" s="172">
        <v>0.59648000000000001</v>
      </c>
      <c r="AY43" s="172">
        <v>0.20313000000000001</v>
      </c>
      <c r="AZ43" s="172">
        <v>0.30979000000000001</v>
      </c>
      <c r="BA43" s="172">
        <v>0.35400999999999999</v>
      </c>
      <c r="BB43" s="172">
        <v>0.21204000000000001</v>
      </c>
      <c r="BC43" s="172">
        <v>0.34057999999999999</v>
      </c>
      <c r="BD43" s="172">
        <v>0.76949999999999996</v>
      </c>
      <c r="BE43" s="172">
        <v>0.73809999999999998</v>
      </c>
      <c r="BF43" s="172">
        <v>0.62051999999999996</v>
      </c>
      <c r="BG43" s="172">
        <v>0.42087999999999998</v>
      </c>
      <c r="BH43" s="172">
        <v>0.35707</v>
      </c>
      <c r="BI43" s="172">
        <v>0.81159999999999999</v>
      </c>
      <c r="BJ43" s="172">
        <v>0.74895</v>
      </c>
      <c r="BK43" s="172">
        <v>0.60824</v>
      </c>
      <c r="BL43" s="172">
        <v>0.35908000000000001</v>
      </c>
      <c r="BM43" s="172">
        <v>7.6439999999999994E-2</v>
      </c>
      <c r="BN43" s="172">
        <v>0.42094999999999999</v>
      </c>
      <c r="BO43" s="172">
        <v>0.12537000000000001</v>
      </c>
      <c r="BP43" s="172">
        <v>0.22819999999999999</v>
      </c>
      <c r="BQ43" s="172">
        <v>0.26145000000000002</v>
      </c>
      <c r="BR43" s="172">
        <v>0.42856</v>
      </c>
      <c r="BS43" s="172">
        <v>0.25608999999999998</v>
      </c>
      <c r="BT43" s="172">
        <v>0.55342999999999998</v>
      </c>
      <c r="BU43" s="172">
        <v>0.10467</v>
      </c>
      <c r="BV43" s="172">
        <v>0.51297999999999999</v>
      </c>
      <c r="BW43" s="172">
        <v>0.35769000000000001</v>
      </c>
      <c r="BX43" s="172">
        <v>5.0130000000000001E-2</v>
      </c>
      <c r="BY43" s="172">
        <v>7.9729999999999995E-2</v>
      </c>
      <c r="BZ43" s="172">
        <v>0.21929000000000001</v>
      </c>
      <c r="CA43" s="172">
        <v>0.16597999999999999</v>
      </c>
      <c r="CB43" s="172">
        <v>0.16458</v>
      </c>
      <c r="CC43" s="172">
        <v>0.47370000000000001</v>
      </c>
      <c r="CD43" s="172">
        <v>0.32612000000000002</v>
      </c>
      <c r="CE43" s="172">
        <v>0.12315</v>
      </c>
      <c r="CF43" s="172">
        <v>0.66979999999999995</v>
      </c>
      <c r="CG43" s="172">
        <v>0.39768999999999999</v>
      </c>
      <c r="CH43" s="172">
        <v>5.5120000000000002E-2</v>
      </c>
      <c r="CI43" s="172">
        <v>0.104</v>
      </c>
      <c r="CJ43" s="172">
        <v>0.30890000000000001</v>
      </c>
      <c r="CK43" s="172">
        <v>8.2960000000000006E-2</v>
      </c>
      <c r="CL43" s="172">
        <v>0.22042</v>
      </c>
      <c r="CM43" s="172">
        <v>6.0780000000000001E-2</v>
      </c>
      <c r="CN43" s="172">
        <v>7.9450000000000007E-2</v>
      </c>
      <c r="CO43" s="172">
        <v>0.52942999999999996</v>
      </c>
      <c r="CP43" s="172">
        <v>0.19675999999999999</v>
      </c>
      <c r="CQ43" s="172">
        <v>0.29315999999999998</v>
      </c>
      <c r="CR43" s="172">
        <v>6.1850000000000002E-2</v>
      </c>
      <c r="CS43" s="172">
        <v>0.31562000000000001</v>
      </c>
      <c r="CT43" s="172">
        <v>0.40516999999999997</v>
      </c>
      <c r="CU43" s="172">
        <v>7.6590000000000005E-2</v>
      </c>
      <c r="CV43" s="172">
        <v>0.13788</v>
      </c>
      <c r="CW43" s="172">
        <v>8.8940000000000005E-2</v>
      </c>
    </row>
    <row r="44" spans="1:101">
      <c r="A44" s="171">
        <f t="shared" si="1"/>
        <v>530</v>
      </c>
      <c r="B44" s="171">
        <v>1</v>
      </c>
      <c r="C44" s="172">
        <v>0.4894</v>
      </c>
      <c r="D44" s="172">
        <v>0.11609999999999999</v>
      </c>
      <c r="E44" s="172">
        <v>4.1020000000000001E-2</v>
      </c>
      <c r="F44" s="172">
        <v>0.18586</v>
      </c>
      <c r="G44" s="172">
        <v>5.654E-2</v>
      </c>
      <c r="H44" s="172">
        <v>0.10033</v>
      </c>
      <c r="I44" s="172">
        <v>4.7899999999999998E-2</v>
      </c>
      <c r="J44" s="172">
        <v>5.459E-2</v>
      </c>
      <c r="K44" s="172">
        <v>5.0599999999999999E-2</v>
      </c>
      <c r="L44" s="172">
        <v>0.16904</v>
      </c>
      <c r="M44" s="172">
        <v>4.3659999999999997E-2</v>
      </c>
      <c r="N44" s="172">
        <v>7.1190000000000003E-2</v>
      </c>
      <c r="O44" s="172">
        <v>8.6540000000000006E-2</v>
      </c>
      <c r="P44" s="172">
        <v>0.3911</v>
      </c>
      <c r="Q44" s="172">
        <v>0.32312000000000002</v>
      </c>
      <c r="R44" s="172">
        <v>0.10056</v>
      </c>
      <c r="S44" s="172">
        <v>8.3580000000000002E-2</v>
      </c>
      <c r="T44" s="172">
        <v>0.1716</v>
      </c>
      <c r="U44" s="172">
        <v>0.2233</v>
      </c>
      <c r="V44" s="172">
        <v>0.19769</v>
      </c>
      <c r="W44" s="172">
        <v>0.38028000000000001</v>
      </c>
      <c r="X44" s="172">
        <v>0.29154000000000002</v>
      </c>
      <c r="Y44" s="172">
        <v>0.69996999999999998</v>
      </c>
      <c r="Z44" s="172">
        <v>0.58940000000000003</v>
      </c>
      <c r="AA44" s="172">
        <v>0.25331999999999999</v>
      </c>
      <c r="AB44" s="172">
        <v>0.57840000000000003</v>
      </c>
      <c r="AC44" s="172">
        <v>0.40592</v>
      </c>
      <c r="AD44" s="172">
        <v>0.11717</v>
      </c>
      <c r="AE44" s="172">
        <v>0.60006000000000004</v>
      </c>
      <c r="AF44" s="172">
        <v>0.27861999999999998</v>
      </c>
      <c r="AG44" s="172">
        <v>0.65920999999999996</v>
      </c>
      <c r="AH44" s="172">
        <v>0.41620000000000001</v>
      </c>
      <c r="AI44" s="172">
        <v>0.69672000000000001</v>
      </c>
      <c r="AJ44" s="172">
        <v>0.28642000000000001</v>
      </c>
      <c r="AK44" s="172">
        <v>0.11484999999999999</v>
      </c>
      <c r="AL44" s="172">
        <v>0.52859999999999996</v>
      </c>
      <c r="AM44" s="172">
        <v>0.16700000000000001</v>
      </c>
      <c r="AN44" s="172">
        <v>0.65537999999999996</v>
      </c>
      <c r="AO44" s="172">
        <v>8.7999999999999995E-2</v>
      </c>
      <c r="AP44" s="172">
        <v>0.21393000000000001</v>
      </c>
      <c r="AQ44" s="172">
        <v>0.71550000000000002</v>
      </c>
      <c r="AR44" s="172">
        <v>0.53408</v>
      </c>
      <c r="AS44" s="172">
        <v>0.55549999999999999</v>
      </c>
      <c r="AT44" s="172">
        <v>5.0900000000000001E-2</v>
      </c>
      <c r="AU44" s="172">
        <v>0.34239000000000003</v>
      </c>
      <c r="AV44" s="172">
        <v>0.39860000000000001</v>
      </c>
      <c r="AW44" s="172">
        <v>0.42770000000000002</v>
      </c>
      <c r="AX44" s="172">
        <v>0.60236000000000001</v>
      </c>
      <c r="AY44" s="172">
        <v>0.19894999999999999</v>
      </c>
      <c r="AZ44" s="172">
        <v>0.30148999999999998</v>
      </c>
      <c r="BA44" s="172">
        <v>0.34248000000000001</v>
      </c>
      <c r="BB44" s="172">
        <v>0.1963</v>
      </c>
      <c r="BC44" s="172">
        <v>0.32029999999999997</v>
      </c>
      <c r="BD44" s="172">
        <v>0.76729999999999998</v>
      </c>
      <c r="BE44" s="172">
        <v>0.72853000000000001</v>
      </c>
      <c r="BF44" s="172">
        <v>0.59994000000000003</v>
      </c>
      <c r="BG44" s="172">
        <v>0.40300000000000002</v>
      </c>
      <c r="BH44" s="172">
        <v>0.34094000000000002</v>
      </c>
      <c r="BI44" s="172">
        <v>0.80030000000000001</v>
      </c>
      <c r="BJ44" s="172">
        <v>0.74036000000000002</v>
      </c>
      <c r="BK44" s="172">
        <v>0.59038000000000002</v>
      </c>
      <c r="BL44" s="172">
        <v>0.35246</v>
      </c>
      <c r="BM44" s="172">
        <v>7.0900000000000005E-2</v>
      </c>
      <c r="BN44" s="172">
        <v>0.39280999999999999</v>
      </c>
      <c r="BO44" s="172">
        <v>0.12003999999999999</v>
      </c>
      <c r="BP44" s="172">
        <v>0.20430000000000001</v>
      </c>
      <c r="BQ44" s="172">
        <v>0.2351</v>
      </c>
      <c r="BR44" s="172">
        <v>0.40271000000000001</v>
      </c>
      <c r="BS44" s="172">
        <v>0.24031</v>
      </c>
      <c r="BT44" s="172">
        <v>0.52327000000000001</v>
      </c>
      <c r="BU44" s="172">
        <v>9.69E-2</v>
      </c>
      <c r="BV44" s="172">
        <v>0.50390000000000001</v>
      </c>
      <c r="BW44" s="172">
        <v>0.33450999999999997</v>
      </c>
      <c r="BX44" s="172">
        <v>4.9149999999999999E-2</v>
      </c>
      <c r="BY44" s="172">
        <v>7.3599999999999999E-2</v>
      </c>
      <c r="BZ44" s="172">
        <v>0.20150000000000001</v>
      </c>
      <c r="CA44" s="172">
        <v>0.15478</v>
      </c>
      <c r="CB44" s="172">
        <v>0.15329999999999999</v>
      </c>
      <c r="CC44" s="172">
        <v>0.45601000000000003</v>
      </c>
      <c r="CD44" s="172">
        <v>0.31137999999999999</v>
      </c>
      <c r="CE44" s="172">
        <v>0.11069</v>
      </c>
      <c r="CF44" s="172">
        <v>0.66149999999999998</v>
      </c>
      <c r="CG44" s="172">
        <v>0.39</v>
      </c>
      <c r="CH44" s="172">
        <v>5.1700000000000003E-2</v>
      </c>
      <c r="CI44" s="172">
        <v>9.7159999999999996E-2</v>
      </c>
      <c r="CJ44" s="172">
        <v>0.29883999999999999</v>
      </c>
      <c r="CK44" s="172">
        <v>7.7049999999999993E-2</v>
      </c>
      <c r="CL44" s="172">
        <v>0.20493</v>
      </c>
      <c r="CM44" s="172">
        <v>5.7680000000000002E-2</v>
      </c>
      <c r="CN44" s="172">
        <v>7.4300000000000005E-2</v>
      </c>
      <c r="CO44" s="172">
        <v>0.52207000000000003</v>
      </c>
      <c r="CP44" s="172">
        <v>0.18815999999999999</v>
      </c>
      <c r="CQ44" s="172">
        <v>0.28788000000000002</v>
      </c>
      <c r="CR44" s="172">
        <v>5.9520000000000003E-2</v>
      </c>
      <c r="CS44" s="172">
        <v>0.30624000000000001</v>
      </c>
      <c r="CT44" s="172">
        <v>0.39949000000000001</v>
      </c>
      <c r="CU44" s="172">
        <v>7.0999999999999994E-2</v>
      </c>
      <c r="CV44" s="172">
        <v>0.13780999999999999</v>
      </c>
      <c r="CW44" s="172">
        <v>8.4699999999999998E-2</v>
      </c>
    </row>
    <row r="45" spans="1:101">
      <c r="A45" s="171">
        <f t="shared" si="1"/>
        <v>535</v>
      </c>
      <c r="B45" s="171">
        <v>1</v>
      </c>
      <c r="C45" s="172">
        <v>0.49068000000000001</v>
      </c>
      <c r="D45" s="172">
        <v>0.1171</v>
      </c>
      <c r="E45" s="172">
        <v>4.0460000000000003E-2</v>
      </c>
      <c r="F45" s="172">
        <v>0.20558000000000001</v>
      </c>
      <c r="G45" s="172">
        <v>6.0080000000000001E-2</v>
      </c>
      <c r="H45" s="172">
        <v>0.10388</v>
      </c>
      <c r="I45" s="172">
        <v>4.7750000000000001E-2</v>
      </c>
      <c r="J45" s="172">
        <v>5.4460000000000001E-2</v>
      </c>
      <c r="K45" s="172">
        <v>4.8719999999999999E-2</v>
      </c>
      <c r="L45" s="172">
        <v>0.17688999999999999</v>
      </c>
      <c r="M45" s="172">
        <v>4.6789999999999998E-2</v>
      </c>
      <c r="N45" s="172">
        <v>8.2030000000000006E-2</v>
      </c>
      <c r="O45" s="172">
        <v>8.4140000000000006E-2</v>
      </c>
      <c r="P45" s="172">
        <v>0.39456999999999998</v>
      </c>
      <c r="Q45" s="172">
        <v>0.31756000000000001</v>
      </c>
      <c r="R45" s="172">
        <v>0.10292999999999999</v>
      </c>
      <c r="S45" s="172">
        <v>8.8109999999999994E-2</v>
      </c>
      <c r="T45" s="172">
        <v>0.17132</v>
      </c>
      <c r="U45" s="172">
        <v>0.22905</v>
      </c>
      <c r="V45" s="172">
        <v>0.19234000000000001</v>
      </c>
      <c r="W45" s="172">
        <v>0.43125999999999998</v>
      </c>
      <c r="X45" s="172">
        <v>0.31594</v>
      </c>
      <c r="Y45" s="172">
        <v>0.71855999999999998</v>
      </c>
      <c r="Z45" s="172">
        <v>0.6341</v>
      </c>
      <c r="AA45" s="172">
        <v>0.3075</v>
      </c>
      <c r="AB45" s="172">
        <v>0.61399999999999999</v>
      </c>
      <c r="AC45" s="172">
        <v>0.41044999999999998</v>
      </c>
      <c r="AD45" s="172">
        <v>0.11799</v>
      </c>
      <c r="AE45" s="172">
        <v>0.62365000000000004</v>
      </c>
      <c r="AF45" s="172">
        <v>0.27889000000000003</v>
      </c>
      <c r="AG45" s="172">
        <v>0.67373000000000005</v>
      </c>
      <c r="AH45" s="172">
        <v>0.44402000000000003</v>
      </c>
      <c r="AI45" s="172">
        <v>0.70489000000000002</v>
      </c>
      <c r="AJ45" s="172">
        <v>0.30780000000000002</v>
      </c>
      <c r="AK45" s="172">
        <v>0.12372</v>
      </c>
      <c r="AL45" s="172">
        <v>0.52847999999999995</v>
      </c>
      <c r="AM45" s="172">
        <v>0.18168000000000001</v>
      </c>
      <c r="AN45" s="172">
        <v>0.65739000000000003</v>
      </c>
      <c r="AO45" s="172">
        <v>8.4610000000000005E-2</v>
      </c>
      <c r="AP45" s="172">
        <v>0.20158000000000001</v>
      </c>
      <c r="AQ45" s="172">
        <v>0.70967000000000002</v>
      </c>
      <c r="AR45" s="172">
        <v>0.53861000000000003</v>
      </c>
      <c r="AS45" s="172">
        <v>0.54854000000000003</v>
      </c>
      <c r="AT45" s="172">
        <v>5.076E-2</v>
      </c>
      <c r="AU45" s="172">
        <v>0.33796999999999999</v>
      </c>
      <c r="AV45" s="172">
        <v>0.39682000000000001</v>
      </c>
      <c r="AW45" s="172">
        <v>0.41576999999999997</v>
      </c>
      <c r="AX45" s="172">
        <v>0.60682999999999998</v>
      </c>
      <c r="AY45" s="172">
        <v>0.19369</v>
      </c>
      <c r="AZ45" s="172">
        <v>0.29047000000000001</v>
      </c>
      <c r="BA45" s="172">
        <v>0.32800000000000001</v>
      </c>
      <c r="BB45" s="172">
        <v>0.1777</v>
      </c>
      <c r="BC45" s="172">
        <v>0.29646</v>
      </c>
      <c r="BD45" s="172">
        <v>0.76420999999999994</v>
      </c>
      <c r="BE45" s="172">
        <v>0.71689000000000003</v>
      </c>
      <c r="BF45" s="172">
        <v>0.57664000000000004</v>
      </c>
      <c r="BG45" s="172">
        <v>0.38263999999999998</v>
      </c>
      <c r="BH45" s="172">
        <v>0.32357000000000002</v>
      </c>
      <c r="BI45" s="172">
        <v>0.78591</v>
      </c>
      <c r="BJ45" s="172">
        <v>0.73158999999999996</v>
      </c>
      <c r="BK45" s="172">
        <v>0.56964999999999999</v>
      </c>
      <c r="BL45" s="172">
        <v>0.34450999999999998</v>
      </c>
      <c r="BM45" s="172">
        <v>6.5860000000000002E-2</v>
      </c>
      <c r="BN45" s="172">
        <v>0.36403000000000002</v>
      </c>
      <c r="BO45" s="172">
        <v>0.11552</v>
      </c>
      <c r="BP45" s="172">
        <v>0.18174000000000001</v>
      </c>
      <c r="BQ45" s="172">
        <v>0.21043000000000001</v>
      </c>
      <c r="BR45" s="172">
        <v>0.37519999999999998</v>
      </c>
      <c r="BS45" s="172">
        <v>0.22327</v>
      </c>
      <c r="BT45" s="172">
        <v>0.49282999999999999</v>
      </c>
      <c r="BU45" s="172">
        <v>9.0999999999999998E-2</v>
      </c>
      <c r="BV45" s="172">
        <v>0.49460999999999999</v>
      </c>
      <c r="BW45" s="172">
        <v>0.31157000000000001</v>
      </c>
      <c r="BX45" s="172">
        <v>4.7640000000000002E-2</v>
      </c>
      <c r="BY45" s="172">
        <v>6.9470000000000004E-2</v>
      </c>
      <c r="BZ45" s="172">
        <v>0.18521000000000001</v>
      </c>
      <c r="CA45" s="172">
        <v>0.14463999999999999</v>
      </c>
      <c r="CB45" s="172">
        <v>0.14323</v>
      </c>
      <c r="CC45" s="172">
        <v>0.43928</v>
      </c>
      <c r="CD45" s="172">
        <v>0.29903000000000002</v>
      </c>
      <c r="CE45" s="172">
        <v>0.10618</v>
      </c>
      <c r="CF45" s="172">
        <v>0.65483999999999998</v>
      </c>
      <c r="CG45" s="172">
        <v>0.38378000000000001</v>
      </c>
      <c r="CH45" s="172">
        <v>4.8140000000000002E-2</v>
      </c>
      <c r="CI45" s="172">
        <v>9.3590000000000007E-2</v>
      </c>
      <c r="CJ45" s="172">
        <v>0.28927000000000003</v>
      </c>
      <c r="CK45" s="172">
        <v>7.288E-2</v>
      </c>
      <c r="CL45" s="172">
        <v>0.1958</v>
      </c>
      <c r="CM45" s="172">
        <v>5.5259999999999997E-2</v>
      </c>
      <c r="CN45" s="172">
        <v>7.1139999999999995E-2</v>
      </c>
      <c r="CO45" s="172">
        <v>0.51668999999999998</v>
      </c>
      <c r="CP45" s="172">
        <v>0.18045</v>
      </c>
      <c r="CQ45" s="172">
        <v>0.28365000000000001</v>
      </c>
      <c r="CR45" s="172">
        <v>5.8000000000000003E-2</v>
      </c>
      <c r="CS45" s="172">
        <v>0.29880000000000001</v>
      </c>
      <c r="CT45" s="172">
        <v>0.39624999999999999</v>
      </c>
      <c r="CU45" s="172">
        <v>6.4140000000000003E-2</v>
      </c>
      <c r="CV45" s="172">
        <v>0.13678999999999999</v>
      </c>
      <c r="CW45" s="172">
        <v>8.2269999999999996E-2</v>
      </c>
    </row>
    <row r="46" spans="1:101">
      <c r="A46" s="171">
        <f t="shared" si="1"/>
        <v>540</v>
      </c>
      <c r="B46" s="171">
        <v>1</v>
      </c>
      <c r="C46" s="172">
        <v>0.49380000000000002</v>
      </c>
      <c r="D46" s="172">
        <v>0.1187</v>
      </c>
      <c r="E46" s="172">
        <v>4.1869999999999997E-2</v>
      </c>
      <c r="F46" s="172">
        <v>0.22892000000000001</v>
      </c>
      <c r="G46" s="172">
        <v>6.3350000000000004E-2</v>
      </c>
      <c r="H46" s="172">
        <v>0.10861</v>
      </c>
      <c r="I46" s="172">
        <v>4.7699999999999999E-2</v>
      </c>
      <c r="J46" s="172">
        <v>5.441E-2</v>
      </c>
      <c r="K46" s="172">
        <v>4.6679999999999999E-2</v>
      </c>
      <c r="L46" s="172">
        <v>0.18673000000000001</v>
      </c>
      <c r="M46" s="172">
        <v>5.3019999999999998E-2</v>
      </c>
      <c r="N46" s="172">
        <v>9.6579999999999999E-2</v>
      </c>
      <c r="O46" s="172">
        <v>8.1180000000000002E-2</v>
      </c>
      <c r="P46" s="172">
        <v>0.39660000000000001</v>
      </c>
      <c r="Q46" s="172">
        <v>0.31475999999999998</v>
      </c>
      <c r="R46" s="172">
        <v>0.10535</v>
      </c>
      <c r="S46" s="172">
        <v>9.5310000000000006E-2</v>
      </c>
      <c r="T46" s="172">
        <v>0.17249999999999999</v>
      </c>
      <c r="U46" s="172">
        <v>0.23930000000000001</v>
      </c>
      <c r="V46" s="172">
        <v>0.18925</v>
      </c>
      <c r="W46" s="172">
        <v>0.48393999999999998</v>
      </c>
      <c r="X46" s="172">
        <v>0.34258</v>
      </c>
      <c r="Y46" s="172">
        <v>0.73784000000000005</v>
      </c>
      <c r="Z46" s="172">
        <v>0.67879999999999996</v>
      </c>
      <c r="AA46" s="172">
        <v>0.35271000000000002</v>
      </c>
      <c r="AB46" s="172">
        <v>0.64770000000000005</v>
      </c>
      <c r="AC46" s="172">
        <v>0.41237000000000001</v>
      </c>
      <c r="AD46" s="172">
        <v>0.11842999999999999</v>
      </c>
      <c r="AE46" s="172">
        <v>0.64365000000000006</v>
      </c>
      <c r="AF46" s="172">
        <v>0.27955000000000002</v>
      </c>
      <c r="AG46" s="172">
        <v>0.68657000000000001</v>
      </c>
      <c r="AH46" s="172">
        <v>0.46829999999999999</v>
      </c>
      <c r="AI46" s="172">
        <v>0.71287</v>
      </c>
      <c r="AJ46" s="172">
        <v>0.31974999999999998</v>
      </c>
      <c r="AK46" s="172">
        <v>0.13045000000000001</v>
      </c>
      <c r="AL46" s="172">
        <v>0.52890000000000004</v>
      </c>
      <c r="AM46" s="172">
        <v>0.192</v>
      </c>
      <c r="AN46" s="172">
        <v>0.65954000000000002</v>
      </c>
      <c r="AO46" s="172">
        <v>8.1100000000000005E-2</v>
      </c>
      <c r="AP46" s="172">
        <v>0.18858</v>
      </c>
      <c r="AQ46" s="172">
        <v>0.70389999999999997</v>
      </c>
      <c r="AR46" s="172">
        <v>0.52990999999999999</v>
      </c>
      <c r="AS46" s="172">
        <v>0.53800000000000003</v>
      </c>
      <c r="AT46" s="172">
        <v>5.0599999999999999E-2</v>
      </c>
      <c r="AU46" s="172">
        <v>0.33044000000000001</v>
      </c>
      <c r="AV46" s="172">
        <v>0.39400000000000002</v>
      </c>
      <c r="AW46" s="172">
        <v>0.40450000000000003</v>
      </c>
      <c r="AX46" s="172">
        <v>0.60921000000000003</v>
      </c>
      <c r="AY46" s="172">
        <v>0.18754000000000001</v>
      </c>
      <c r="AZ46" s="172">
        <v>0.27638000000000001</v>
      </c>
      <c r="BA46" s="172">
        <v>0.30982999999999999</v>
      </c>
      <c r="BB46" s="172">
        <v>0.159</v>
      </c>
      <c r="BC46" s="172">
        <v>0.27060000000000001</v>
      </c>
      <c r="BD46" s="172">
        <v>0.76</v>
      </c>
      <c r="BE46" s="172">
        <v>0.70284000000000002</v>
      </c>
      <c r="BF46" s="172">
        <v>0.55071000000000003</v>
      </c>
      <c r="BG46" s="172">
        <v>0.3594</v>
      </c>
      <c r="BH46" s="172">
        <v>0.3049</v>
      </c>
      <c r="BI46" s="172">
        <v>0.76890000000000003</v>
      </c>
      <c r="BJ46" s="172">
        <v>0.72236999999999996</v>
      </c>
      <c r="BK46" s="172">
        <v>0.54730999999999996</v>
      </c>
      <c r="BL46" s="172">
        <v>0.33557999999999999</v>
      </c>
      <c r="BM46" s="172">
        <v>6.1690000000000002E-2</v>
      </c>
      <c r="BN46" s="172">
        <v>0.33487</v>
      </c>
      <c r="BO46" s="172">
        <v>0.11101</v>
      </c>
      <c r="BP46" s="172">
        <v>0.16089999999999999</v>
      </c>
      <c r="BQ46" s="172">
        <v>0.18759999999999999</v>
      </c>
      <c r="BR46" s="172">
        <v>0.34809000000000001</v>
      </c>
      <c r="BS46" s="172">
        <v>0.2064</v>
      </c>
      <c r="BT46" s="172">
        <v>0.4632</v>
      </c>
      <c r="BU46" s="172">
        <v>8.5000000000000006E-2</v>
      </c>
      <c r="BV46" s="172">
        <v>0.48565999999999998</v>
      </c>
      <c r="BW46" s="172">
        <v>0.28793999999999997</v>
      </c>
      <c r="BX46" s="172">
        <v>4.5969999999999997E-2</v>
      </c>
      <c r="BY46" s="172">
        <v>6.6000000000000003E-2</v>
      </c>
      <c r="BZ46" s="172">
        <v>0.16839999999999999</v>
      </c>
      <c r="CA46" s="172">
        <v>0.13533999999999999</v>
      </c>
      <c r="CB46" s="172">
        <v>0.13285</v>
      </c>
      <c r="CC46" s="172">
        <v>0.42403999999999997</v>
      </c>
      <c r="CD46" s="172">
        <v>0.28877000000000003</v>
      </c>
      <c r="CE46" s="172">
        <v>0.1031</v>
      </c>
      <c r="CF46" s="172">
        <v>0.64970000000000006</v>
      </c>
      <c r="CG46" s="172">
        <v>0.37969999999999998</v>
      </c>
      <c r="CH46" s="172">
        <v>4.4560000000000002E-2</v>
      </c>
      <c r="CI46" s="172">
        <v>9.2130000000000004E-2</v>
      </c>
      <c r="CJ46" s="172">
        <v>0.27878999999999998</v>
      </c>
      <c r="CK46" s="172">
        <v>6.9209999999999994E-2</v>
      </c>
      <c r="CL46" s="172">
        <v>0.19252</v>
      </c>
      <c r="CM46" s="172">
        <v>5.3809999999999997E-2</v>
      </c>
      <c r="CN46" s="172">
        <v>6.9900000000000004E-2</v>
      </c>
      <c r="CO46" s="172">
        <v>0.51244000000000001</v>
      </c>
      <c r="CP46" s="172">
        <v>0.1734</v>
      </c>
      <c r="CQ46" s="172">
        <v>0.28066000000000002</v>
      </c>
      <c r="CR46" s="172">
        <v>5.7270000000000001E-2</v>
      </c>
      <c r="CS46" s="172">
        <v>0.29298999999999997</v>
      </c>
      <c r="CT46" s="172">
        <v>0.39511000000000002</v>
      </c>
      <c r="CU46" s="172">
        <v>5.8200000000000002E-2</v>
      </c>
      <c r="CV46" s="172">
        <v>0.13517999999999999</v>
      </c>
      <c r="CW46" s="172">
        <v>8.1500000000000003E-2</v>
      </c>
    </row>
    <row r="47" spans="1:101">
      <c r="A47" s="171">
        <f t="shared" si="1"/>
        <v>545</v>
      </c>
      <c r="B47" s="171">
        <v>1</v>
      </c>
      <c r="C47" s="172">
        <v>0.50011000000000005</v>
      </c>
      <c r="D47" s="172">
        <v>0.12114</v>
      </c>
      <c r="E47" s="172">
        <v>4.197E-2</v>
      </c>
      <c r="F47" s="172">
        <v>0.25477</v>
      </c>
      <c r="G47" s="172">
        <v>6.6280000000000006E-2</v>
      </c>
      <c r="H47" s="172">
        <v>0.11472</v>
      </c>
      <c r="I47" s="172">
        <v>4.7800000000000002E-2</v>
      </c>
      <c r="J47" s="172">
        <v>5.4420000000000003E-2</v>
      </c>
      <c r="K47" s="172">
        <v>4.446E-2</v>
      </c>
      <c r="L47" s="172">
        <v>0.19850000000000001</v>
      </c>
      <c r="M47" s="172">
        <v>6.4189999999999997E-2</v>
      </c>
      <c r="N47" s="172">
        <v>0.11373999999999999</v>
      </c>
      <c r="O47" s="172">
        <v>7.7670000000000003E-2</v>
      </c>
      <c r="P47" s="172">
        <v>0.39752999999999999</v>
      </c>
      <c r="Q47" s="172">
        <v>0.31513000000000002</v>
      </c>
      <c r="R47" s="172">
        <v>0.10777</v>
      </c>
      <c r="S47" s="172">
        <v>0.10580000000000001</v>
      </c>
      <c r="T47" s="172">
        <v>0.17559</v>
      </c>
      <c r="U47" s="172">
        <v>0.25935999999999998</v>
      </c>
      <c r="V47" s="172">
        <v>0.18912999999999999</v>
      </c>
      <c r="W47" s="172">
        <v>0.53576999999999997</v>
      </c>
      <c r="X47" s="172">
        <v>0.37130999999999997</v>
      </c>
      <c r="Y47" s="172">
        <v>0.75548000000000004</v>
      </c>
      <c r="Z47" s="172">
        <v>0.72175999999999996</v>
      </c>
      <c r="AA47" s="172">
        <v>0.38845000000000002</v>
      </c>
      <c r="AB47" s="172">
        <v>0.67979000000000001</v>
      </c>
      <c r="AC47" s="172">
        <v>0.41646</v>
      </c>
      <c r="AD47" s="172">
        <v>0.11869</v>
      </c>
      <c r="AE47" s="172">
        <v>0.65956000000000004</v>
      </c>
      <c r="AF47" s="172">
        <v>0.28172999999999998</v>
      </c>
      <c r="AG47" s="172">
        <v>0.69789999999999996</v>
      </c>
      <c r="AH47" s="172">
        <v>0.48755999999999999</v>
      </c>
      <c r="AI47" s="172">
        <v>0.72001000000000004</v>
      </c>
      <c r="AJ47" s="172">
        <v>0.32496999999999998</v>
      </c>
      <c r="AK47" s="172">
        <v>0.13367999999999999</v>
      </c>
      <c r="AL47" s="172">
        <v>0.52837000000000001</v>
      </c>
      <c r="AM47" s="172">
        <v>0.20293</v>
      </c>
      <c r="AN47" s="172">
        <v>0.66027000000000002</v>
      </c>
      <c r="AO47" s="172">
        <v>7.7770000000000006E-2</v>
      </c>
      <c r="AP47" s="172">
        <v>0.17596000000000001</v>
      </c>
      <c r="AQ47" s="172">
        <v>0.6986</v>
      </c>
      <c r="AR47" s="172">
        <v>0.51304000000000005</v>
      </c>
      <c r="AS47" s="172">
        <v>0.52505999999999997</v>
      </c>
      <c r="AT47" s="172">
        <v>5.0360000000000002E-2</v>
      </c>
      <c r="AU47" s="172">
        <v>0.32146999999999998</v>
      </c>
      <c r="AV47" s="172">
        <v>0.39002999999999999</v>
      </c>
      <c r="AW47" s="172">
        <v>0.39412000000000003</v>
      </c>
      <c r="AX47" s="172">
        <v>0.60857000000000006</v>
      </c>
      <c r="AY47" s="172">
        <v>0.18056</v>
      </c>
      <c r="AZ47" s="172">
        <v>0.25896000000000002</v>
      </c>
      <c r="BA47" s="172">
        <v>0.28742000000000001</v>
      </c>
      <c r="BB47" s="172">
        <v>0.14199999999999999</v>
      </c>
      <c r="BC47" s="172">
        <v>0.24412</v>
      </c>
      <c r="BD47" s="172">
        <v>0.75436999999999999</v>
      </c>
      <c r="BE47" s="172">
        <v>0.68608000000000002</v>
      </c>
      <c r="BF47" s="172">
        <v>0.52241000000000004</v>
      </c>
      <c r="BG47" s="172">
        <v>0.33312999999999998</v>
      </c>
      <c r="BH47" s="172">
        <v>0.28488000000000002</v>
      </c>
      <c r="BI47" s="172">
        <v>0.74963000000000002</v>
      </c>
      <c r="BJ47" s="172">
        <v>0.71240999999999999</v>
      </c>
      <c r="BK47" s="172">
        <v>0.52398999999999996</v>
      </c>
      <c r="BL47" s="172">
        <v>0.3266</v>
      </c>
      <c r="BM47" s="172">
        <v>5.8779999999999999E-2</v>
      </c>
      <c r="BN47" s="172">
        <v>0.30556</v>
      </c>
      <c r="BO47" s="172">
        <v>0.10609</v>
      </c>
      <c r="BP47" s="172">
        <v>0.14202000000000001</v>
      </c>
      <c r="BQ47" s="172">
        <v>0.16666</v>
      </c>
      <c r="BR47" s="172">
        <v>0.32279000000000002</v>
      </c>
      <c r="BS47" s="172">
        <v>0.19064</v>
      </c>
      <c r="BT47" s="172">
        <v>0.43523000000000001</v>
      </c>
      <c r="BU47" s="172">
        <v>7.7179999999999999E-2</v>
      </c>
      <c r="BV47" s="172">
        <v>0.47742000000000001</v>
      </c>
      <c r="BW47" s="172">
        <v>0.26280999999999999</v>
      </c>
      <c r="BX47" s="172">
        <v>4.4630000000000003E-2</v>
      </c>
      <c r="BY47" s="172">
        <v>6.1969999999999997E-2</v>
      </c>
      <c r="BZ47" s="172">
        <v>0.14935000000000001</v>
      </c>
      <c r="CA47" s="172">
        <v>0.12631999999999999</v>
      </c>
      <c r="CB47" s="172">
        <v>0.12098</v>
      </c>
      <c r="CC47" s="172">
        <v>0.41066000000000003</v>
      </c>
      <c r="CD47" s="172">
        <v>0.28021000000000001</v>
      </c>
      <c r="CE47" s="172">
        <v>9.9970000000000003E-2</v>
      </c>
      <c r="CF47" s="172">
        <v>0.64587000000000006</v>
      </c>
      <c r="CG47" s="172">
        <v>0.37817000000000001</v>
      </c>
      <c r="CH47" s="172">
        <v>4.1070000000000002E-2</v>
      </c>
      <c r="CI47" s="172">
        <v>9.2609999999999998E-2</v>
      </c>
      <c r="CJ47" s="172">
        <v>0.26663999999999999</v>
      </c>
      <c r="CK47" s="172">
        <v>6.4820000000000003E-2</v>
      </c>
      <c r="CL47" s="172">
        <v>0.19314999999999999</v>
      </c>
      <c r="CM47" s="172">
        <v>5.3580000000000003E-2</v>
      </c>
      <c r="CN47" s="172">
        <v>7.0190000000000002E-2</v>
      </c>
      <c r="CO47" s="172">
        <v>0.50807000000000002</v>
      </c>
      <c r="CP47" s="172">
        <v>0.16725000000000001</v>
      </c>
      <c r="CQ47" s="172">
        <v>0.27914</v>
      </c>
      <c r="CR47" s="172">
        <v>5.7270000000000001E-2</v>
      </c>
      <c r="CS47" s="172">
        <v>0.28848000000000001</v>
      </c>
      <c r="CT47" s="172">
        <v>0.39574999999999999</v>
      </c>
      <c r="CU47" s="172">
        <v>5.6230000000000002E-2</v>
      </c>
      <c r="CV47" s="172">
        <v>0.13405</v>
      </c>
      <c r="CW47" s="172">
        <v>8.1930000000000003E-2</v>
      </c>
    </row>
    <row r="48" spans="1:101">
      <c r="A48" s="171">
        <f t="shared" si="1"/>
        <v>550</v>
      </c>
      <c r="B48" s="171">
        <v>1</v>
      </c>
      <c r="C48" s="172">
        <v>0.51029999999999998</v>
      </c>
      <c r="D48" s="172">
        <v>0.12520000000000001</v>
      </c>
      <c r="E48" s="172">
        <v>4.1230000000000003E-2</v>
      </c>
      <c r="F48" s="172">
        <v>0.28272000000000003</v>
      </c>
      <c r="G48" s="172">
        <v>6.9459999999999994E-2</v>
      </c>
      <c r="H48" s="172">
        <v>0.12221</v>
      </c>
      <c r="I48" s="172">
        <v>4.8000000000000001E-2</v>
      </c>
      <c r="J48" s="172">
        <v>5.4440000000000002E-2</v>
      </c>
      <c r="K48" s="172">
        <v>4.2250000000000003E-2</v>
      </c>
      <c r="L48" s="172">
        <v>0.21354999999999999</v>
      </c>
      <c r="M48" s="172">
        <v>8.2199999999999995E-2</v>
      </c>
      <c r="N48" s="172">
        <v>0.13250000000000001</v>
      </c>
      <c r="O48" s="172">
        <v>7.4230000000000004E-2</v>
      </c>
      <c r="P48" s="172">
        <v>0.39760000000000001</v>
      </c>
      <c r="Q48" s="172">
        <v>0.31809999999999999</v>
      </c>
      <c r="R48" s="172">
        <v>0.11015</v>
      </c>
      <c r="S48" s="172">
        <v>0.11916</v>
      </c>
      <c r="T48" s="172">
        <v>0.17960000000000001</v>
      </c>
      <c r="U48" s="172">
        <v>0.29249999999999998</v>
      </c>
      <c r="V48" s="172">
        <v>0.19252</v>
      </c>
      <c r="W48" s="172">
        <v>0.58431999999999995</v>
      </c>
      <c r="X48" s="172">
        <v>0.40142</v>
      </c>
      <c r="Y48" s="172">
        <v>0.77019000000000004</v>
      </c>
      <c r="Z48" s="172">
        <v>0.76060000000000005</v>
      </c>
      <c r="AA48" s="172">
        <v>0.41659000000000002</v>
      </c>
      <c r="AB48" s="172">
        <v>0.7097</v>
      </c>
      <c r="AC48" s="172">
        <v>0.42207</v>
      </c>
      <c r="AD48" s="172">
        <v>0.11877</v>
      </c>
      <c r="AE48" s="172">
        <v>0.67223999999999995</v>
      </c>
      <c r="AF48" s="172">
        <v>0.28523999999999999</v>
      </c>
      <c r="AG48" s="172">
        <v>0.70804</v>
      </c>
      <c r="AH48" s="172">
        <v>0.50129999999999997</v>
      </c>
      <c r="AI48" s="172">
        <v>0.72587999999999997</v>
      </c>
      <c r="AJ48" s="172">
        <v>0.32621</v>
      </c>
      <c r="AK48" s="172">
        <v>0.13428000000000001</v>
      </c>
      <c r="AL48" s="172">
        <v>0.52700000000000002</v>
      </c>
      <c r="AM48" s="172">
        <v>0.21</v>
      </c>
      <c r="AN48" s="172">
        <v>0.65922999999999998</v>
      </c>
      <c r="AO48" s="172">
        <v>7.4609999999999996E-2</v>
      </c>
      <c r="AP48" s="172">
        <v>0.16384000000000001</v>
      </c>
      <c r="AQ48" s="172">
        <v>0.69410000000000005</v>
      </c>
      <c r="AR48" s="172">
        <v>0.49059000000000003</v>
      </c>
      <c r="AS48" s="172">
        <v>0.51019999999999999</v>
      </c>
      <c r="AT48" s="172">
        <v>5.0099999999999999E-2</v>
      </c>
      <c r="AU48" s="172">
        <v>0.31229000000000001</v>
      </c>
      <c r="AV48" s="172">
        <v>0.38490000000000002</v>
      </c>
      <c r="AW48" s="172">
        <v>0.38450000000000001</v>
      </c>
      <c r="AX48" s="172">
        <v>0.60426999999999997</v>
      </c>
      <c r="AY48" s="172">
        <v>0.17279</v>
      </c>
      <c r="AZ48" s="172">
        <v>0.23937</v>
      </c>
      <c r="BA48" s="172">
        <v>0.26249</v>
      </c>
      <c r="BB48" s="172">
        <v>0.12623000000000001</v>
      </c>
      <c r="BC48" s="172">
        <v>0.21820000000000001</v>
      </c>
      <c r="BD48" s="172">
        <v>0.74680000000000002</v>
      </c>
      <c r="BE48" s="172">
        <v>0.66693999999999998</v>
      </c>
      <c r="BF48" s="172">
        <v>0.49258999999999997</v>
      </c>
      <c r="BG48" s="172">
        <v>0.30509999999999998</v>
      </c>
      <c r="BH48" s="172">
        <v>0.26379999999999998</v>
      </c>
      <c r="BI48" s="172">
        <v>0.72789999999999999</v>
      </c>
      <c r="BJ48" s="172">
        <v>0.70206000000000002</v>
      </c>
      <c r="BK48" s="172">
        <v>0.50026999999999999</v>
      </c>
      <c r="BL48" s="172">
        <v>0.31869999999999998</v>
      </c>
      <c r="BM48" s="172">
        <v>5.7279999999999998E-2</v>
      </c>
      <c r="BN48" s="172">
        <v>0.27667000000000003</v>
      </c>
      <c r="BO48" s="172">
        <v>0.10156999999999999</v>
      </c>
      <c r="BP48" s="172">
        <v>0.12520000000000001</v>
      </c>
      <c r="BQ48" s="172">
        <v>0.1477</v>
      </c>
      <c r="BR48" s="172">
        <v>0.29914000000000002</v>
      </c>
      <c r="BS48" s="172">
        <v>0.17599999999999999</v>
      </c>
      <c r="BT48" s="172">
        <v>0.40899000000000002</v>
      </c>
      <c r="BU48" s="172">
        <v>6.7699999999999996E-2</v>
      </c>
      <c r="BV48" s="172">
        <v>0.46978999999999999</v>
      </c>
      <c r="BW48" s="172">
        <v>0.23701</v>
      </c>
      <c r="BX48" s="172">
        <v>4.3979999999999998E-2</v>
      </c>
      <c r="BY48" s="172">
        <v>5.7200000000000001E-2</v>
      </c>
      <c r="BZ48" s="172">
        <v>0.128</v>
      </c>
      <c r="CA48" s="172">
        <v>0.11734</v>
      </c>
      <c r="CB48" s="172">
        <v>0.10823000000000001</v>
      </c>
      <c r="CC48" s="172">
        <v>0.39922000000000002</v>
      </c>
      <c r="CD48" s="172">
        <v>0.27333000000000002</v>
      </c>
      <c r="CE48" s="172">
        <v>9.7489999999999993E-2</v>
      </c>
      <c r="CF48" s="172">
        <v>0.64380000000000004</v>
      </c>
      <c r="CG48" s="172">
        <v>0.37830000000000003</v>
      </c>
      <c r="CH48" s="172">
        <v>3.7810000000000003E-2</v>
      </c>
      <c r="CI48" s="172">
        <v>9.0660000000000004E-2</v>
      </c>
      <c r="CJ48" s="172">
        <v>0.25456000000000001</v>
      </c>
      <c r="CK48" s="172">
        <v>5.9569999999999998E-2</v>
      </c>
      <c r="CL48" s="172">
        <v>0.19400999999999999</v>
      </c>
      <c r="CM48" s="172">
        <v>5.4829999999999997E-2</v>
      </c>
      <c r="CN48" s="172">
        <v>7.0900000000000005E-2</v>
      </c>
      <c r="CO48" s="172">
        <v>0.50370999999999999</v>
      </c>
      <c r="CP48" s="172">
        <v>0.16263</v>
      </c>
      <c r="CQ48" s="172">
        <v>0.27879999999999999</v>
      </c>
      <c r="CR48" s="172">
        <v>5.7880000000000001E-2</v>
      </c>
      <c r="CS48" s="172">
        <v>0.28494000000000003</v>
      </c>
      <c r="CT48" s="172">
        <v>0.39816000000000001</v>
      </c>
      <c r="CU48" s="172">
        <v>6.3299999999999995E-2</v>
      </c>
      <c r="CV48" s="172">
        <v>0.13542999999999999</v>
      </c>
      <c r="CW48" s="172">
        <v>8.2699999999999996E-2</v>
      </c>
    </row>
    <row r="49" spans="1:101">
      <c r="A49" s="171">
        <f t="shared" si="1"/>
        <v>555</v>
      </c>
      <c r="B49" s="171">
        <v>1</v>
      </c>
      <c r="C49" s="172">
        <v>0.52488000000000001</v>
      </c>
      <c r="D49" s="172">
        <v>0.13197999999999999</v>
      </c>
      <c r="E49" s="172">
        <v>4.1849999999999998E-2</v>
      </c>
      <c r="F49" s="172">
        <v>0.31202000000000002</v>
      </c>
      <c r="G49" s="172">
        <v>7.3760000000000006E-2</v>
      </c>
      <c r="H49" s="172">
        <v>0.13103999999999999</v>
      </c>
      <c r="I49" s="172">
        <v>4.829E-2</v>
      </c>
      <c r="J49" s="172">
        <v>5.4440000000000002E-2</v>
      </c>
      <c r="K49" s="172">
        <v>4.0379999999999999E-2</v>
      </c>
      <c r="L49" s="172">
        <v>0.23344999999999999</v>
      </c>
      <c r="M49" s="172">
        <v>0.10861</v>
      </c>
      <c r="N49" s="172">
        <v>0.15515999999999999</v>
      </c>
      <c r="O49" s="172">
        <v>7.1489999999999998E-2</v>
      </c>
      <c r="P49" s="172">
        <v>0.39728000000000002</v>
      </c>
      <c r="Q49" s="172">
        <v>0.32240999999999997</v>
      </c>
      <c r="R49" s="172">
        <v>0.1125</v>
      </c>
      <c r="S49" s="172">
        <v>0.13450000000000001</v>
      </c>
      <c r="T49" s="172">
        <v>0.18329000000000001</v>
      </c>
      <c r="U49" s="172">
        <v>0.33928000000000003</v>
      </c>
      <c r="V49" s="172">
        <v>0.19974</v>
      </c>
      <c r="W49" s="172">
        <v>0.62790999999999997</v>
      </c>
      <c r="X49" s="172">
        <v>0.43235000000000001</v>
      </c>
      <c r="Y49" s="172">
        <v>0.78134999999999999</v>
      </c>
      <c r="Z49" s="172">
        <v>0.79313999999999996</v>
      </c>
      <c r="AA49" s="172">
        <v>0.43752999999999997</v>
      </c>
      <c r="AB49" s="172">
        <v>0.73677000000000004</v>
      </c>
      <c r="AC49" s="172">
        <v>0.42657</v>
      </c>
      <c r="AD49" s="172">
        <v>0.1174</v>
      </c>
      <c r="AE49" s="172">
        <v>0.68279999999999996</v>
      </c>
      <c r="AF49" s="172">
        <v>0.28832999999999998</v>
      </c>
      <c r="AG49" s="172">
        <v>0.71733999999999998</v>
      </c>
      <c r="AH49" s="172">
        <v>0.50941000000000003</v>
      </c>
      <c r="AI49" s="172">
        <v>0.73048000000000002</v>
      </c>
      <c r="AJ49" s="172">
        <v>0.32579000000000002</v>
      </c>
      <c r="AK49" s="172">
        <v>0.13355</v>
      </c>
      <c r="AL49" s="172">
        <v>0.52649000000000001</v>
      </c>
      <c r="AM49" s="172">
        <v>0.20810999999999999</v>
      </c>
      <c r="AN49" s="172">
        <v>0.65778999999999999</v>
      </c>
      <c r="AO49" s="172">
        <v>7.1650000000000005E-2</v>
      </c>
      <c r="AP49" s="172">
        <v>0.15243999999999999</v>
      </c>
      <c r="AQ49" s="172">
        <v>0.69062000000000001</v>
      </c>
      <c r="AR49" s="172">
        <v>0.46466000000000002</v>
      </c>
      <c r="AS49" s="172">
        <v>0.49381999999999998</v>
      </c>
      <c r="AT49" s="172">
        <v>4.9869999999999998E-2</v>
      </c>
      <c r="AU49" s="172">
        <v>0.29914000000000002</v>
      </c>
      <c r="AV49" s="172">
        <v>0.37869999999999998</v>
      </c>
      <c r="AW49" s="172">
        <v>0.37542999999999999</v>
      </c>
      <c r="AX49" s="172">
        <v>0.59606999999999999</v>
      </c>
      <c r="AY49" s="172">
        <v>0.16436000000000001</v>
      </c>
      <c r="AZ49" s="172">
        <v>0.21933</v>
      </c>
      <c r="BA49" s="172">
        <v>0.23757</v>
      </c>
      <c r="BB49" s="172">
        <v>0.11115</v>
      </c>
      <c r="BC49" s="172">
        <v>0.19386999999999999</v>
      </c>
      <c r="BD49" s="172">
        <v>0.73690999999999995</v>
      </c>
      <c r="BE49" s="172">
        <v>0.64607000000000003</v>
      </c>
      <c r="BF49" s="172">
        <v>0.46217999999999998</v>
      </c>
      <c r="BG49" s="172">
        <v>0.27694000000000002</v>
      </c>
      <c r="BH49" s="172">
        <v>0.24215</v>
      </c>
      <c r="BI49" s="172">
        <v>0.70379999999999998</v>
      </c>
      <c r="BJ49" s="172">
        <v>0.69189000000000001</v>
      </c>
      <c r="BK49" s="172">
        <v>0.47704000000000002</v>
      </c>
      <c r="BL49" s="172">
        <v>0.31302999999999997</v>
      </c>
      <c r="BM49" s="172">
        <v>5.7320000000000003E-2</v>
      </c>
      <c r="BN49" s="172">
        <v>0.24893000000000001</v>
      </c>
      <c r="BO49" s="172">
        <v>9.8570000000000005E-2</v>
      </c>
      <c r="BP49" s="172">
        <v>0.11054</v>
      </c>
      <c r="BQ49" s="172">
        <v>0.13089999999999999</v>
      </c>
      <c r="BR49" s="172">
        <v>0.27704000000000001</v>
      </c>
      <c r="BS49" s="172">
        <v>0.16259999999999999</v>
      </c>
      <c r="BT49" s="172">
        <v>0.38457999999999998</v>
      </c>
      <c r="BU49" s="172">
        <v>5.7340000000000002E-2</v>
      </c>
      <c r="BV49" s="172">
        <v>0.46262999999999999</v>
      </c>
      <c r="BW49" s="172">
        <v>0.21187</v>
      </c>
      <c r="BX49" s="172">
        <v>4.4290000000000003E-2</v>
      </c>
      <c r="BY49" s="172">
        <v>5.1880000000000003E-2</v>
      </c>
      <c r="BZ49" s="172">
        <v>0.10516</v>
      </c>
      <c r="CA49" s="172">
        <v>0.1087</v>
      </c>
      <c r="CB49" s="172">
        <v>9.5699999999999993E-2</v>
      </c>
      <c r="CC49" s="172">
        <v>0.38961000000000001</v>
      </c>
      <c r="CD49" s="172">
        <v>0.26819999999999999</v>
      </c>
      <c r="CE49" s="172">
        <v>9.1209999999999999E-2</v>
      </c>
      <c r="CF49" s="172">
        <v>0.64380999999999999</v>
      </c>
      <c r="CG49" s="172">
        <v>0.37928000000000001</v>
      </c>
      <c r="CH49" s="172">
        <v>3.4959999999999998E-2</v>
      </c>
      <c r="CI49" s="172">
        <v>8.9020000000000002E-2</v>
      </c>
      <c r="CJ49" s="172">
        <v>0.24482999999999999</v>
      </c>
      <c r="CK49" s="172">
        <v>5.3749999999999999E-2</v>
      </c>
      <c r="CL49" s="172">
        <v>0.19189999999999999</v>
      </c>
      <c r="CM49" s="172">
        <v>5.7630000000000001E-2</v>
      </c>
      <c r="CN49" s="172">
        <v>7.109E-2</v>
      </c>
      <c r="CO49" s="172">
        <v>0.50097000000000003</v>
      </c>
      <c r="CP49" s="172">
        <v>0.16</v>
      </c>
      <c r="CQ49" s="172">
        <v>0.27934999999999999</v>
      </c>
      <c r="CR49" s="172">
        <v>5.8959999999999999E-2</v>
      </c>
      <c r="CS49" s="172">
        <v>0.28227000000000002</v>
      </c>
      <c r="CT49" s="172">
        <v>0.40244000000000002</v>
      </c>
      <c r="CU49" s="172">
        <v>8.3960000000000007E-2</v>
      </c>
      <c r="CV49" s="172">
        <v>0.14163000000000001</v>
      </c>
      <c r="CW49" s="172">
        <v>8.3089999999999997E-2</v>
      </c>
    </row>
    <row r="50" spans="1:101">
      <c r="A50" s="171">
        <f t="shared" si="1"/>
        <v>560</v>
      </c>
      <c r="B50" s="171">
        <v>1</v>
      </c>
      <c r="C50" s="172">
        <v>0.54420000000000002</v>
      </c>
      <c r="D50" s="172">
        <v>0.14330000000000001</v>
      </c>
      <c r="E50" s="172">
        <v>4.3049999999999998E-2</v>
      </c>
      <c r="F50" s="172">
        <v>0.34200000000000003</v>
      </c>
      <c r="G50" s="172">
        <v>8.0589999999999995E-2</v>
      </c>
      <c r="H50" s="172">
        <v>0.14122999999999999</v>
      </c>
      <c r="I50" s="172">
        <v>4.8800000000000003E-2</v>
      </c>
      <c r="J50" s="172">
        <v>5.4579999999999997E-2</v>
      </c>
      <c r="K50" s="172">
        <v>3.9359999999999999E-2</v>
      </c>
      <c r="L50" s="172">
        <v>0.25938</v>
      </c>
      <c r="M50" s="172">
        <v>0.1434</v>
      </c>
      <c r="N50" s="172">
        <v>0.18331</v>
      </c>
      <c r="O50" s="172">
        <v>6.9470000000000004E-2</v>
      </c>
      <c r="P50" s="172">
        <v>0.39789999999999998</v>
      </c>
      <c r="Q50" s="172">
        <v>0.3251</v>
      </c>
      <c r="R50" s="172">
        <v>0.11484999999999999</v>
      </c>
      <c r="S50" s="172">
        <v>0.15040000000000001</v>
      </c>
      <c r="T50" s="172">
        <v>0.18579999999999999</v>
      </c>
      <c r="U50" s="172">
        <v>0.39140000000000003</v>
      </c>
      <c r="V50" s="172">
        <v>0.21059</v>
      </c>
      <c r="W50" s="172">
        <v>0.66762999999999995</v>
      </c>
      <c r="X50" s="172">
        <v>0.46450000000000002</v>
      </c>
      <c r="Y50" s="172">
        <v>0.78986000000000001</v>
      </c>
      <c r="Z50" s="172">
        <v>0.81869999999999998</v>
      </c>
      <c r="AA50" s="172">
        <v>0.45206000000000002</v>
      </c>
      <c r="AB50" s="172">
        <v>0.76070000000000004</v>
      </c>
      <c r="AC50" s="172">
        <v>0.42941000000000001</v>
      </c>
      <c r="AD50" s="172">
        <v>0.11502999999999999</v>
      </c>
      <c r="AE50" s="172">
        <v>0.69184000000000001</v>
      </c>
      <c r="AF50" s="172">
        <v>0.29176999999999997</v>
      </c>
      <c r="AG50" s="172">
        <v>0.72614999999999996</v>
      </c>
      <c r="AH50" s="172">
        <v>0.51239999999999997</v>
      </c>
      <c r="AI50" s="172">
        <v>0.73521999999999998</v>
      </c>
      <c r="AJ50" s="172">
        <v>0.32446000000000003</v>
      </c>
      <c r="AK50" s="172">
        <v>0.13216</v>
      </c>
      <c r="AL50" s="172">
        <v>0.52842999999999996</v>
      </c>
      <c r="AM50" s="172">
        <v>0.19900000000000001</v>
      </c>
      <c r="AN50" s="172">
        <v>0.65798999999999996</v>
      </c>
      <c r="AO50" s="172">
        <v>6.9349999999999995E-2</v>
      </c>
      <c r="AP50" s="172">
        <v>0.14313000000000001</v>
      </c>
      <c r="AQ50" s="172">
        <v>0.68810000000000004</v>
      </c>
      <c r="AR50" s="172">
        <v>0.43776999999999999</v>
      </c>
      <c r="AS50" s="172">
        <v>0.4768</v>
      </c>
      <c r="AT50" s="172">
        <v>4.9599999999999998E-2</v>
      </c>
      <c r="AU50" s="172">
        <v>0.28478999999999999</v>
      </c>
      <c r="AV50" s="172">
        <v>0.37190000000000001</v>
      </c>
      <c r="AW50" s="172">
        <v>0.3669</v>
      </c>
      <c r="AX50" s="172">
        <v>0.58489999999999998</v>
      </c>
      <c r="AY50" s="172">
        <v>0.15573999999999999</v>
      </c>
      <c r="AZ50" s="172">
        <v>0.20136000000000001</v>
      </c>
      <c r="BA50" s="172">
        <v>0.21634</v>
      </c>
      <c r="BB50" s="172">
        <v>9.8100000000000007E-2</v>
      </c>
      <c r="BC50" s="172">
        <v>0.17169999999999999</v>
      </c>
      <c r="BD50" s="172">
        <v>0.72519999999999996</v>
      </c>
      <c r="BE50" s="172">
        <v>0.62480000000000002</v>
      </c>
      <c r="BF50" s="172">
        <v>0.43191000000000002</v>
      </c>
      <c r="BG50" s="172">
        <v>0.25030000000000002</v>
      </c>
      <c r="BH50" s="172">
        <v>0.22076999999999999</v>
      </c>
      <c r="BI50" s="172">
        <v>0.67930000000000001</v>
      </c>
      <c r="BJ50" s="172">
        <v>0.68267999999999995</v>
      </c>
      <c r="BK50" s="172">
        <v>0.45660000000000001</v>
      </c>
      <c r="BL50" s="172">
        <v>0.31075999999999998</v>
      </c>
      <c r="BM50" s="172">
        <v>5.8990000000000001E-2</v>
      </c>
      <c r="BN50" s="172">
        <v>0.22344</v>
      </c>
      <c r="BO50" s="172">
        <v>9.8100000000000007E-2</v>
      </c>
      <c r="BP50" s="172">
        <v>9.8299999999999998E-2</v>
      </c>
      <c r="BQ50" s="172">
        <v>0.1167</v>
      </c>
      <c r="BR50" s="172">
        <v>0.25792999999999999</v>
      </c>
      <c r="BS50" s="172">
        <v>0.15168000000000001</v>
      </c>
      <c r="BT50" s="172">
        <v>0.36303000000000002</v>
      </c>
      <c r="BU50" s="172">
        <v>4.7300000000000002E-2</v>
      </c>
      <c r="BV50" s="172">
        <v>0.45609</v>
      </c>
      <c r="BW50" s="172">
        <v>0.18905</v>
      </c>
      <c r="BX50" s="172">
        <v>4.5469999999999997E-2</v>
      </c>
      <c r="BY50" s="172">
        <v>4.6699999999999998E-2</v>
      </c>
      <c r="BZ50" s="172">
        <v>8.3400000000000002E-2</v>
      </c>
      <c r="CA50" s="172">
        <v>0.10113</v>
      </c>
      <c r="CB50" s="172">
        <v>8.4690000000000001E-2</v>
      </c>
      <c r="CC50" s="172">
        <v>0.38145000000000001</v>
      </c>
      <c r="CD50" s="172">
        <v>0.26479000000000003</v>
      </c>
      <c r="CE50" s="172">
        <v>8.2110000000000002E-2</v>
      </c>
      <c r="CF50" s="172">
        <v>0.64510000000000001</v>
      </c>
      <c r="CG50" s="172">
        <v>0.38179999999999997</v>
      </c>
      <c r="CH50" s="172">
        <v>3.2849999999999997E-2</v>
      </c>
      <c r="CI50" s="172">
        <v>8.9069999999999996E-2</v>
      </c>
      <c r="CJ50" s="172">
        <v>0.23946999999999999</v>
      </c>
      <c r="CK50" s="172">
        <v>4.8259999999999997E-2</v>
      </c>
      <c r="CL50" s="172">
        <v>0.18706</v>
      </c>
      <c r="CM50" s="172">
        <v>6.1449999999999998E-2</v>
      </c>
      <c r="CN50" s="172">
        <v>7.1099999999999997E-2</v>
      </c>
      <c r="CO50" s="172">
        <v>0.50109000000000004</v>
      </c>
      <c r="CP50" s="172">
        <v>0.15892999999999999</v>
      </c>
      <c r="CQ50" s="172">
        <v>0.28106999999999999</v>
      </c>
      <c r="CR50" s="172">
        <v>6.0330000000000002E-2</v>
      </c>
      <c r="CS50" s="172">
        <v>0.28116999999999998</v>
      </c>
      <c r="CT50" s="172">
        <v>0.40897</v>
      </c>
      <c r="CU50" s="172">
        <v>0.1187</v>
      </c>
      <c r="CV50" s="172">
        <v>0.15518999999999999</v>
      </c>
      <c r="CW50" s="172">
        <v>8.3400000000000002E-2</v>
      </c>
    </row>
    <row r="51" spans="1:101">
      <c r="A51" s="171">
        <f t="shared" si="1"/>
        <v>565</v>
      </c>
      <c r="B51" s="171">
        <v>1</v>
      </c>
      <c r="C51" s="172">
        <v>0.56832000000000005</v>
      </c>
      <c r="D51" s="172">
        <v>0.16092000000000001</v>
      </c>
      <c r="E51" s="172">
        <v>4.4839999999999998E-2</v>
      </c>
      <c r="F51" s="172">
        <v>0.37115999999999999</v>
      </c>
      <c r="G51" s="172">
        <v>9.1149999999999995E-2</v>
      </c>
      <c r="H51" s="172">
        <v>0.15275</v>
      </c>
      <c r="I51" s="172">
        <v>4.9730000000000003E-2</v>
      </c>
      <c r="J51" s="172">
        <v>5.5010000000000003E-2</v>
      </c>
      <c r="K51" s="172">
        <v>3.9600000000000003E-2</v>
      </c>
      <c r="L51" s="172">
        <v>0.29341</v>
      </c>
      <c r="M51" s="172">
        <v>0.18551999999999999</v>
      </c>
      <c r="N51" s="172">
        <v>0.21657999999999999</v>
      </c>
      <c r="O51" s="172">
        <v>6.8190000000000001E-2</v>
      </c>
      <c r="P51" s="172">
        <v>0.40103</v>
      </c>
      <c r="Q51" s="172">
        <v>0.32407000000000002</v>
      </c>
      <c r="R51" s="172">
        <v>0.1173</v>
      </c>
      <c r="S51" s="172">
        <v>0.16541</v>
      </c>
      <c r="T51" s="172">
        <v>0.18684999999999999</v>
      </c>
      <c r="U51" s="172">
        <v>0.43924999999999997</v>
      </c>
      <c r="V51" s="172">
        <v>0.22470000000000001</v>
      </c>
      <c r="W51" s="172">
        <v>0.70476000000000005</v>
      </c>
      <c r="X51" s="172">
        <v>0.49808000000000002</v>
      </c>
      <c r="Y51" s="172">
        <v>0.79688999999999999</v>
      </c>
      <c r="Z51" s="172">
        <v>0.83726999999999996</v>
      </c>
      <c r="AA51" s="172">
        <v>0.46315000000000001</v>
      </c>
      <c r="AB51" s="172">
        <v>0.78141000000000005</v>
      </c>
      <c r="AC51" s="172">
        <v>0.43090000000000001</v>
      </c>
      <c r="AD51" s="172">
        <v>0.12031</v>
      </c>
      <c r="AE51" s="172">
        <v>0.69974999999999998</v>
      </c>
      <c r="AF51" s="172">
        <v>0.29664000000000001</v>
      </c>
      <c r="AG51" s="172">
        <v>0.73467000000000005</v>
      </c>
      <c r="AH51" s="172">
        <v>0.51112999999999997</v>
      </c>
      <c r="AI51" s="172">
        <v>0.74123000000000006</v>
      </c>
      <c r="AJ51" s="172">
        <v>0.32252999999999998</v>
      </c>
      <c r="AK51" s="172">
        <v>0.13053999999999999</v>
      </c>
      <c r="AL51" s="172">
        <v>0.53210000000000002</v>
      </c>
      <c r="AM51" s="172">
        <v>0.18615000000000001</v>
      </c>
      <c r="AN51" s="172">
        <v>0.65939999999999999</v>
      </c>
      <c r="AO51" s="172">
        <v>6.8110000000000004E-2</v>
      </c>
      <c r="AP51" s="172">
        <v>0.13716</v>
      </c>
      <c r="AQ51" s="172">
        <v>0.68630000000000002</v>
      </c>
      <c r="AR51" s="172">
        <v>0.41210999999999998</v>
      </c>
      <c r="AS51" s="172">
        <v>0.46001999999999998</v>
      </c>
      <c r="AT51" s="172">
        <v>4.922E-2</v>
      </c>
      <c r="AU51" s="172">
        <v>0.27639000000000002</v>
      </c>
      <c r="AV51" s="172">
        <v>0.3649</v>
      </c>
      <c r="AW51" s="172">
        <v>0.35894999999999999</v>
      </c>
      <c r="AX51" s="172">
        <v>0.57159000000000004</v>
      </c>
      <c r="AY51" s="172">
        <v>0.14741000000000001</v>
      </c>
      <c r="AZ51" s="172">
        <v>0.18742</v>
      </c>
      <c r="BA51" s="172">
        <v>0.20166999999999999</v>
      </c>
      <c r="BB51" s="172">
        <v>8.8410000000000002E-2</v>
      </c>
      <c r="BC51" s="172">
        <v>0.15204000000000001</v>
      </c>
      <c r="BD51" s="172">
        <v>0.71226</v>
      </c>
      <c r="BE51" s="172">
        <v>0.60443999999999998</v>
      </c>
      <c r="BF51" s="172">
        <v>0.40231</v>
      </c>
      <c r="BG51" s="172">
        <v>0.22650999999999999</v>
      </c>
      <c r="BH51" s="172">
        <v>0.20033000000000001</v>
      </c>
      <c r="BI51" s="172">
        <v>0.65656999999999999</v>
      </c>
      <c r="BJ51" s="172">
        <v>0.67515000000000003</v>
      </c>
      <c r="BK51" s="172">
        <v>0.44087999999999999</v>
      </c>
      <c r="BL51" s="172">
        <v>0.31237999999999999</v>
      </c>
      <c r="BM51" s="172">
        <v>6.2269999999999999E-2</v>
      </c>
      <c r="BN51" s="172">
        <v>0.20115</v>
      </c>
      <c r="BO51" s="172">
        <v>0.10068000000000001</v>
      </c>
      <c r="BP51" s="172">
        <v>8.8660000000000003E-2</v>
      </c>
      <c r="BQ51" s="172">
        <v>0.10545</v>
      </c>
      <c r="BR51" s="172">
        <v>0.24313000000000001</v>
      </c>
      <c r="BS51" s="172">
        <v>0.14438000000000001</v>
      </c>
      <c r="BT51" s="172">
        <v>0.34527999999999998</v>
      </c>
      <c r="BU51" s="172">
        <v>3.9010000000000003E-2</v>
      </c>
      <c r="BV51" s="172">
        <v>0.45034000000000002</v>
      </c>
      <c r="BW51" s="172">
        <v>0.16994000000000001</v>
      </c>
      <c r="BX51" s="172">
        <v>4.7239999999999997E-2</v>
      </c>
      <c r="BY51" s="172">
        <v>4.2549999999999998E-2</v>
      </c>
      <c r="BZ51" s="172">
        <v>6.5629999999999994E-2</v>
      </c>
      <c r="CA51" s="172">
        <v>9.4909999999999994E-2</v>
      </c>
      <c r="CB51" s="172">
        <v>7.6329999999999995E-2</v>
      </c>
      <c r="CC51" s="172">
        <v>0.37419999999999998</v>
      </c>
      <c r="CD51" s="172">
        <v>0.26307000000000003</v>
      </c>
      <c r="CE51" s="172">
        <v>7.4399999999999994E-2</v>
      </c>
      <c r="CF51" s="172">
        <v>0.64673999999999998</v>
      </c>
      <c r="CG51" s="172">
        <v>0.38643</v>
      </c>
      <c r="CH51" s="172">
        <v>3.177E-2</v>
      </c>
      <c r="CI51" s="172">
        <v>8.7919999999999998E-2</v>
      </c>
      <c r="CJ51" s="172">
        <v>0.23968999999999999</v>
      </c>
      <c r="CK51" s="172">
        <v>4.403E-2</v>
      </c>
      <c r="CL51" s="172">
        <v>0.18151</v>
      </c>
      <c r="CM51" s="172">
        <v>6.5640000000000004E-2</v>
      </c>
      <c r="CN51" s="172">
        <v>7.1749999999999994E-2</v>
      </c>
      <c r="CO51" s="172">
        <v>0.50341999999999998</v>
      </c>
      <c r="CP51" s="172">
        <v>0.15867999999999999</v>
      </c>
      <c r="CQ51" s="172">
        <v>0.28419</v>
      </c>
      <c r="CR51" s="172">
        <v>6.1870000000000001E-2</v>
      </c>
      <c r="CS51" s="172">
        <v>0.28238000000000002</v>
      </c>
      <c r="CT51" s="172">
        <v>0.41799999999999998</v>
      </c>
      <c r="CU51" s="172">
        <v>0.16497999999999999</v>
      </c>
      <c r="CV51" s="172">
        <v>0.17835000000000001</v>
      </c>
      <c r="CW51" s="172">
        <v>8.4409999999999999E-2</v>
      </c>
    </row>
    <row r="52" spans="1:101">
      <c r="A52" s="171">
        <f t="shared" si="1"/>
        <v>570</v>
      </c>
      <c r="B52" s="171">
        <v>1</v>
      </c>
      <c r="C52" s="172">
        <v>0.59630000000000005</v>
      </c>
      <c r="D52" s="172">
        <v>0.1855</v>
      </c>
      <c r="E52" s="172">
        <v>4.4290000000000003E-2</v>
      </c>
      <c r="F52" s="172">
        <v>0.39782000000000001</v>
      </c>
      <c r="G52" s="172">
        <v>0.10539</v>
      </c>
      <c r="H52" s="172">
        <v>0.16517999999999999</v>
      </c>
      <c r="I52" s="172">
        <v>5.1299999999999998E-2</v>
      </c>
      <c r="J52" s="172">
        <v>5.5710000000000003E-2</v>
      </c>
      <c r="K52" s="172">
        <v>4.0809999999999999E-2</v>
      </c>
      <c r="L52" s="172">
        <v>0.34156999999999998</v>
      </c>
      <c r="M52" s="172">
        <v>0.23130999999999999</v>
      </c>
      <c r="N52" s="172">
        <v>0.25334000000000001</v>
      </c>
      <c r="O52" s="172">
        <v>6.8180000000000004E-2</v>
      </c>
      <c r="P52" s="172">
        <v>0.4083</v>
      </c>
      <c r="Q52" s="172">
        <v>0.32228000000000001</v>
      </c>
      <c r="R52" s="172">
        <v>0.12026000000000001</v>
      </c>
      <c r="S52" s="172">
        <v>0.17859</v>
      </c>
      <c r="T52" s="172">
        <v>0.18809999999999999</v>
      </c>
      <c r="U52" s="172">
        <v>0.47689999999999999</v>
      </c>
      <c r="V52" s="172">
        <v>0.24146999999999999</v>
      </c>
      <c r="W52" s="172">
        <v>0.73851999999999995</v>
      </c>
      <c r="X52" s="172">
        <v>0.53141000000000005</v>
      </c>
      <c r="Y52" s="172">
        <v>0.80310000000000004</v>
      </c>
      <c r="Z52" s="172">
        <v>0.85</v>
      </c>
      <c r="AA52" s="172">
        <v>0.47193000000000002</v>
      </c>
      <c r="AB52" s="172">
        <v>0.7994</v>
      </c>
      <c r="AC52" s="172">
        <v>0.43186000000000002</v>
      </c>
      <c r="AD52" s="172">
        <v>0.12027</v>
      </c>
      <c r="AE52" s="172">
        <v>0.70674000000000003</v>
      </c>
      <c r="AF52" s="172">
        <v>0.30153999999999997</v>
      </c>
      <c r="AG52" s="172">
        <v>0.74241000000000001</v>
      </c>
      <c r="AH52" s="172">
        <v>0.50719999999999998</v>
      </c>
      <c r="AI52" s="172">
        <v>0.74699000000000004</v>
      </c>
      <c r="AJ52" s="172">
        <v>0.32019999999999998</v>
      </c>
      <c r="AK52" s="172">
        <v>0.12886</v>
      </c>
      <c r="AL52" s="172">
        <v>0.53515999999999997</v>
      </c>
      <c r="AM52" s="172">
        <v>0.17299999999999999</v>
      </c>
      <c r="AN52" s="172">
        <v>0.66049000000000002</v>
      </c>
      <c r="AO52" s="172">
        <v>6.7699999999999996E-2</v>
      </c>
      <c r="AP52" s="172">
        <v>0.13396</v>
      </c>
      <c r="AQ52" s="172">
        <v>0.68459999999999999</v>
      </c>
      <c r="AR52" s="172">
        <v>0.38793</v>
      </c>
      <c r="AS52" s="172">
        <v>0.44390000000000002</v>
      </c>
      <c r="AT52" s="172">
        <v>4.8899999999999999E-2</v>
      </c>
      <c r="AU52" s="172">
        <v>0.26307000000000003</v>
      </c>
      <c r="AV52" s="172">
        <v>0.35749999999999998</v>
      </c>
      <c r="AW52" s="172">
        <v>0.3518</v>
      </c>
      <c r="AX52" s="172">
        <v>0.55520999999999998</v>
      </c>
      <c r="AY52" s="172">
        <v>0.13947000000000001</v>
      </c>
      <c r="AZ52" s="172">
        <v>0.17665</v>
      </c>
      <c r="BA52" s="172">
        <v>0.19213</v>
      </c>
      <c r="BB52" s="172">
        <v>8.1509999999999999E-2</v>
      </c>
      <c r="BC52" s="172">
        <v>0.13469999999999999</v>
      </c>
      <c r="BD52" s="172">
        <v>0.69820000000000004</v>
      </c>
      <c r="BE52" s="172">
        <v>0.58562000000000003</v>
      </c>
      <c r="BF52" s="172">
        <v>0.37328</v>
      </c>
      <c r="BG52" s="172">
        <v>0.20549999999999999</v>
      </c>
      <c r="BH52" s="172">
        <v>0.18040999999999999</v>
      </c>
      <c r="BI52" s="172">
        <v>0.63660000000000005</v>
      </c>
      <c r="BJ52" s="172">
        <v>0.66956000000000004</v>
      </c>
      <c r="BK52" s="172">
        <v>0.42892000000000002</v>
      </c>
      <c r="BL52" s="172">
        <v>0.31572</v>
      </c>
      <c r="BM52" s="172">
        <v>6.6699999999999995E-2</v>
      </c>
      <c r="BN52" s="172">
        <v>0.18221000000000001</v>
      </c>
      <c r="BO52" s="172">
        <v>0.10475</v>
      </c>
      <c r="BP52" s="172">
        <v>8.1299999999999997E-2</v>
      </c>
      <c r="BQ52" s="172">
        <v>9.6799999999999997E-2</v>
      </c>
      <c r="BR52" s="172">
        <v>0.23196</v>
      </c>
      <c r="BS52" s="172">
        <v>0.14004</v>
      </c>
      <c r="BT52" s="172">
        <v>0.33078000000000002</v>
      </c>
      <c r="BU52" s="172">
        <v>3.4299999999999997E-2</v>
      </c>
      <c r="BV52" s="172">
        <v>0.44536999999999999</v>
      </c>
      <c r="BW52" s="172">
        <v>0.15459000000000001</v>
      </c>
      <c r="BX52" s="172">
        <v>4.8849999999999998E-2</v>
      </c>
      <c r="BY52" s="172">
        <v>4.0500000000000001E-2</v>
      </c>
      <c r="BZ52" s="172">
        <v>5.4199999999999998E-2</v>
      </c>
      <c r="CA52" s="172">
        <v>8.967E-2</v>
      </c>
      <c r="CB52" s="172">
        <v>7.0690000000000003E-2</v>
      </c>
      <c r="CC52" s="172">
        <v>0.36714999999999998</v>
      </c>
      <c r="CD52" s="172">
        <v>0.26304</v>
      </c>
      <c r="CE52" s="172">
        <v>6.7989999999999995E-2</v>
      </c>
      <c r="CF52" s="172">
        <v>0.64829999999999999</v>
      </c>
      <c r="CG52" s="172">
        <v>0.39179999999999998</v>
      </c>
      <c r="CH52" s="172">
        <v>3.1559999999999998E-2</v>
      </c>
      <c r="CI52" s="172">
        <v>8.7940000000000004E-2</v>
      </c>
      <c r="CJ52" s="172">
        <v>0.24364</v>
      </c>
      <c r="CK52" s="172">
        <v>4.1399999999999999E-2</v>
      </c>
      <c r="CL52" s="172">
        <v>0.18071000000000001</v>
      </c>
      <c r="CM52" s="172">
        <v>6.9610000000000005E-2</v>
      </c>
      <c r="CN52" s="172">
        <v>7.4499999999999997E-2</v>
      </c>
      <c r="CO52" s="172">
        <v>0.50600999999999996</v>
      </c>
      <c r="CP52" s="172">
        <v>0.15917999999999999</v>
      </c>
      <c r="CQ52" s="172">
        <v>0.28827000000000003</v>
      </c>
      <c r="CR52" s="172">
        <v>6.3700000000000007E-2</v>
      </c>
      <c r="CS52" s="172">
        <v>0.28595999999999999</v>
      </c>
      <c r="CT52" s="172">
        <v>0.42914999999999998</v>
      </c>
      <c r="CU52" s="172">
        <v>0.21210000000000001</v>
      </c>
      <c r="CV52" s="172">
        <v>0.21210000000000001</v>
      </c>
      <c r="CW52" s="172">
        <v>8.77E-2</v>
      </c>
    </row>
    <row r="53" spans="1:101">
      <c r="A53" s="171">
        <f t="shared" si="1"/>
        <v>575</v>
      </c>
      <c r="B53" s="171">
        <v>1</v>
      </c>
      <c r="C53" s="172">
        <v>0.62678999999999996</v>
      </c>
      <c r="D53" s="172">
        <v>0.21707000000000001</v>
      </c>
      <c r="E53" s="172">
        <v>4.632E-2</v>
      </c>
      <c r="F53" s="172">
        <v>0.42122999999999999</v>
      </c>
      <c r="G53" s="172">
        <v>0.12247</v>
      </c>
      <c r="H53" s="172">
        <v>0.17796000000000001</v>
      </c>
      <c r="I53" s="172">
        <v>5.3900000000000003E-2</v>
      </c>
      <c r="J53" s="172">
        <v>5.6820000000000002E-2</v>
      </c>
      <c r="K53" s="172">
        <v>4.258E-2</v>
      </c>
      <c r="L53" s="172">
        <v>0.4083</v>
      </c>
      <c r="M53" s="172">
        <v>0.27650999999999998</v>
      </c>
      <c r="N53" s="172">
        <v>0.29135</v>
      </c>
      <c r="O53" s="172">
        <v>7.0690000000000003E-2</v>
      </c>
      <c r="P53" s="172">
        <v>0.42058000000000001</v>
      </c>
      <c r="Q53" s="172">
        <v>0.32449</v>
      </c>
      <c r="R53" s="172">
        <v>0.12415</v>
      </c>
      <c r="S53" s="172">
        <v>0.18928</v>
      </c>
      <c r="T53" s="172">
        <v>0.19170000000000001</v>
      </c>
      <c r="U53" s="172">
        <v>0.50097000000000003</v>
      </c>
      <c r="V53" s="172">
        <v>0.26062000000000002</v>
      </c>
      <c r="W53" s="172">
        <v>0.76792000000000005</v>
      </c>
      <c r="X53" s="172">
        <v>0.56281000000000003</v>
      </c>
      <c r="Y53" s="172">
        <v>0.80879000000000001</v>
      </c>
      <c r="Z53" s="172">
        <v>0.85829999999999995</v>
      </c>
      <c r="AA53" s="172">
        <v>0.47899999999999998</v>
      </c>
      <c r="AB53" s="172">
        <v>0.81523000000000001</v>
      </c>
      <c r="AC53" s="172">
        <v>0.43417</v>
      </c>
      <c r="AD53" s="172">
        <v>0.12087000000000001</v>
      </c>
      <c r="AE53" s="172">
        <v>0.71304999999999996</v>
      </c>
      <c r="AF53" s="172">
        <v>0.30507000000000001</v>
      </c>
      <c r="AG53" s="172">
        <v>0.74895</v>
      </c>
      <c r="AH53" s="172">
        <v>0.50234999999999996</v>
      </c>
      <c r="AI53" s="172">
        <v>0.75090999999999997</v>
      </c>
      <c r="AJ53" s="172">
        <v>0.31762000000000001</v>
      </c>
      <c r="AK53" s="172">
        <v>0.12720000000000001</v>
      </c>
      <c r="AL53" s="172">
        <v>0.53669999999999995</v>
      </c>
      <c r="AM53" s="172">
        <v>0.16242000000000001</v>
      </c>
      <c r="AN53" s="172">
        <v>0.66093999999999997</v>
      </c>
      <c r="AO53" s="172">
        <v>6.7839999999999998E-2</v>
      </c>
      <c r="AP53" s="172">
        <v>0.13286000000000001</v>
      </c>
      <c r="AQ53" s="172">
        <v>0.68242999999999998</v>
      </c>
      <c r="AR53" s="172">
        <v>0.36526999999999998</v>
      </c>
      <c r="AS53" s="172">
        <v>0.42860999999999999</v>
      </c>
      <c r="AT53" s="172">
        <v>4.879E-2</v>
      </c>
      <c r="AU53" s="172">
        <v>0.24861</v>
      </c>
      <c r="AV53" s="172">
        <v>0.34938000000000002</v>
      </c>
      <c r="AW53" s="172">
        <v>0.34575</v>
      </c>
      <c r="AX53" s="172">
        <v>0.53495000000000004</v>
      </c>
      <c r="AY53" s="172">
        <v>0.13197</v>
      </c>
      <c r="AZ53" s="172">
        <v>0.1678</v>
      </c>
      <c r="BA53" s="172">
        <v>0.18575</v>
      </c>
      <c r="BB53" s="172">
        <v>7.6499999999999999E-2</v>
      </c>
      <c r="BC53" s="172">
        <v>0.11940000000000001</v>
      </c>
      <c r="BD53" s="172">
        <v>0.68279999999999996</v>
      </c>
      <c r="BE53" s="172">
        <v>0.56855999999999995</v>
      </c>
      <c r="BF53" s="172">
        <v>0.34465000000000001</v>
      </c>
      <c r="BG53" s="172">
        <v>0.18673999999999999</v>
      </c>
      <c r="BH53" s="172">
        <v>0.16051000000000001</v>
      </c>
      <c r="BI53" s="172">
        <v>0.61990000000000001</v>
      </c>
      <c r="BJ53" s="172">
        <v>0.66588999999999998</v>
      </c>
      <c r="BK53" s="172">
        <v>0.41930000000000001</v>
      </c>
      <c r="BL53" s="172">
        <v>0.31824999999999998</v>
      </c>
      <c r="BM53" s="172">
        <v>7.1679999999999994E-2</v>
      </c>
      <c r="BN53" s="172">
        <v>0.16642999999999999</v>
      </c>
      <c r="BO53" s="172">
        <v>0.10827000000000001</v>
      </c>
      <c r="BP53" s="172">
        <v>7.5749999999999998E-2</v>
      </c>
      <c r="BQ53" s="172">
        <v>9.0209999999999999E-2</v>
      </c>
      <c r="BR53" s="172">
        <v>0.22348999999999999</v>
      </c>
      <c r="BS53" s="172">
        <v>0.13802</v>
      </c>
      <c r="BT53" s="172">
        <v>0.31879999999999997</v>
      </c>
      <c r="BU53" s="172">
        <v>3.4779999999999998E-2</v>
      </c>
      <c r="BV53" s="172">
        <v>0.44114999999999999</v>
      </c>
      <c r="BW53" s="172">
        <v>0.14279</v>
      </c>
      <c r="BX53" s="172">
        <v>4.9579999999999999E-2</v>
      </c>
      <c r="BY53" s="172">
        <v>4.1450000000000001E-2</v>
      </c>
      <c r="BZ53" s="172">
        <v>5.1040000000000002E-2</v>
      </c>
      <c r="CA53" s="172">
        <v>8.5260000000000002E-2</v>
      </c>
      <c r="CB53" s="172">
        <v>6.7659999999999998E-2</v>
      </c>
      <c r="CC53" s="172">
        <v>0.35994999999999999</v>
      </c>
      <c r="CD53" s="172">
        <v>0.26462000000000002</v>
      </c>
      <c r="CE53" s="172">
        <v>6.7379999999999995E-2</v>
      </c>
      <c r="CF53" s="172">
        <v>0.64956000000000003</v>
      </c>
      <c r="CG53" s="172">
        <v>0.39639000000000002</v>
      </c>
      <c r="CH53" s="172">
        <v>3.2120000000000003E-2</v>
      </c>
      <c r="CI53" s="172">
        <v>8.5879999999999998E-2</v>
      </c>
      <c r="CJ53" s="172">
        <v>0.24875</v>
      </c>
      <c r="CK53" s="172">
        <v>4.1110000000000001E-2</v>
      </c>
      <c r="CL53" s="172">
        <v>0.18983</v>
      </c>
      <c r="CM53" s="172">
        <v>7.3039999999999994E-2</v>
      </c>
      <c r="CN53" s="172">
        <v>8.0839999999999995E-2</v>
      </c>
      <c r="CO53" s="172">
        <v>0.50809000000000004</v>
      </c>
      <c r="CP53" s="172">
        <v>0.16048000000000001</v>
      </c>
      <c r="CQ53" s="172">
        <v>0.29294999999999999</v>
      </c>
      <c r="CR53" s="172">
        <v>6.5989999999999993E-2</v>
      </c>
      <c r="CS53" s="172">
        <v>0.29205999999999999</v>
      </c>
      <c r="CT53" s="172">
        <v>0.44206000000000001</v>
      </c>
      <c r="CU53" s="172">
        <v>0.24926999999999999</v>
      </c>
      <c r="CV53" s="172">
        <v>0.25629000000000002</v>
      </c>
      <c r="CW53" s="172">
        <v>9.5079999999999998E-2</v>
      </c>
    </row>
    <row r="54" spans="1:101">
      <c r="A54" s="171">
        <f t="shared" si="1"/>
        <v>580</v>
      </c>
      <c r="B54" s="171">
        <v>1</v>
      </c>
      <c r="C54" s="172">
        <v>0.65780000000000005</v>
      </c>
      <c r="D54" s="172">
        <v>0.25419999999999998</v>
      </c>
      <c r="E54" s="172">
        <v>4.9140000000000003E-2</v>
      </c>
      <c r="F54" s="172">
        <v>0.44135999999999997</v>
      </c>
      <c r="G54" s="172">
        <v>0.13976</v>
      </c>
      <c r="H54" s="172">
        <v>0.19031000000000001</v>
      </c>
      <c r="I54" s="172">
        <v>5.8500000000000003E-2</v>
      </c>
      <c r="J54" s="172">
        <v>5.9150000000000001E-2</v>
      </c>
      <c r="K54" s="172">
        <v>4.4830000000000002E-2</v>
      </c>
      <c r="L54" s="172">
        <v>0.48748999999999998</v>
      </c>
      <c r="M54" s="172">
        <v>0.31696000000000002</v>
      </c>
      <c r="N54" s="172">
        <v>0.33391999999999999</v>
      </c>
      <c r="O54" s="172">
        <v>7.9490000000000005E-2</v>
      </c>
      <c r="P54" s="172">
        <v>0.4355</v>
      </c>
      <c r="Q54" s="172">
        <v>0.33774999999999999</v>
      </c>
      <c r="R54" s="172">
        <v>0.12934000000000001</v>
      </c>
      <c r="S54" s="172">
        <v>0.19761000000000001</v>
      </c>
      <c r="T54" s="172">
        <v>0.19989999999999999</v>
      </c>
      <c r="U54" s="172">
        <v>0.51459999999999995</v>
      </c>
      <c r="V54" s="172">
        <v>0.28316999999999998</v>
      </c>
      <c r="W54" s="172">
        <v>0.79342999999999997</v>
      </c>
      <c r="X54" s="172">
        <v>0.59236</v>
      </c>
      <c r="Y54" s="172">
        <v>0.81340999999999997</v>
      </c>
      <c r="Z54" s="172">
        <v>0.86339999999999995</v>
      </c>
      <c r="AA54" s="172">
        <v>0.48643999999999998</v>
      </c>
      <c r="AB54" s="172">
        <v>0.82920000000000005</v>
      </c>
      <c r="AC54" s="172">
        <v>0.43798999999999999</v>
      </c>
      <c r="AD54" s="172">
        <v>0.12009</v>
      </c>
      <c r="AE54" s="172">
        <v>0.71909999999999996</v>
      </c>
      <c r="AF54" s="172">
        <v>0.30870999999999998</v>
      </c>
      <c r="AG54" s="172">
        <v>0.75483999999999996</v>
      </c>
      <c r="AH54" s="172">
        <v>0.498</v>
      </c>
      <c r="AI54" s="172">
        <v>0.75383</v>
      </c>
      <c r="AJ54" s="172">
        <v>0.31485999999999997</v>
      </c>
      <c r="AK54" s="172">
        <v>0.12554000000000001</v>
      </c>
      <c r="AL54" s="172">
        <v>0.53798000000000001</v>
      </c>
      <c r="AM54" s="172">
        <v>0.155</v>
      </c>
      <c r="AN54" s="172">
        <v>0.66122000000000003</v>
      </c>
      <c r="AO54" s="172">
        <v>6.8629999999999997E-2</v>
      </c>
      <c r="AP54" s="172">
        <v>0.13458000000000001</v>
      </c>
      <c r="AQ54" s="172">
        <v>0.67989999999999995</v>
      </c>
      <c r="AR54" s="172">
        <v>0.34522999999999998</v>
      </c>
      <c r="AS54" s="172">
        <v>0.41389999999999999</v>
      </c>
      <c r="AT54" s="172">
        <v>4.8800000000000003E-2</v>
      </c>
      <c r="AU54" s="172">
        <v>0.23426</v>
      </c>
      <c r="AV54" s="172">
        <v>0.34029999999999999</v>
      </c>
      <c r="AW54" s="172">
        <v>0.34129999999999999</v>
      </c>
      <c r="AX54" s="172">
        <v>0.51210999999999995</v>
      </c>
      <c r="AY54" s="172">
        <v>0.12523000000000001</v>
      </c>
      <c r="AZ54" s="172">
        <v>0.16106999999999999</v>
      </c>
      <c r="BA54" s="172">
        <v>0.18279999999999999</v>
      </c>
      <c r="BB54" s="172">
        <v>7.2959999999999997E-2</v>
      </c>
      <c r="BC54" s="172">
        <v>0.10589999999999999</v>
      </c>
      <c r="BD54" s="172">
        <v>0.66490000000000005</v>
      </c>
      <c r="BE54" s="172">
        <v>0.55242000000000002</v>
      </c>
      <c r="BF54" s="172">
        <v>0.31651000000000001</v>
      </c>
      <c r="BG54" s="172">
        <v>0.1694</v>
      </c>
      <c r="BH54" s="172">
        <v>0.14091000000000001</v>
      </c>
      <c r="BI54" s="172">
        <v>0.60609999999999997</v>
      </c>
      <c r="BJ54" s="172">
        <v>0.66335999999999995</v>
      </c>
      <c r="BK54" s="172">
        <v>0.41175</v>
      </c>
      <c r="BL54" s="172">
        <v>0.31869999999999998</v>
      </c>
      <c r="BM54" s="172">
        <v>7.6509999999999995E-2</v>
      </c>
      <c r="BN54" s="172">
        <v>0.15310000000000001</v>
      </c>
      <c r="BO54" s="172">
        <v>0.10922</v>
      </c>
      <c r="BP54" s="172">
        <v>7.1499999999999994E-2</v>
      </c>
      <c r="BQ54" s="172">
        <v>8.5099999999999995E-2</v>
      </c>
      <c r="BR54" s="172">
        <v>0.21784000000000001</v>
      </c>
      <c r="BS54" s="172">
        <v>0.13932</v>
      </c>
      <c r="BT54" s="172">
        <v>0.30924000000000001</v>
      </c>
      <c r="BU54" s="172">
        <v>4.0800000000000003E-2</v>
      </c>
      <c r="BV54" s="172">
        <v>0.43795000000000001</v>
      </c>
      <c r="BW54" s="172">
        <v>0.13464000000000001</v>
      </c>
      <c r="BX54" s="172">
        <v>4.9340000000000002E-2</v>
      </c>
      <c r="BY54" s="172">
        <v>4.5400000000000003E-2</v>
      </c>
      <c r="BZ54" s="172">
        <v>5.6800000000000003E-2</v>
      </c>
      <c r="CA54" s="172">
        <v>8.1689999999999999E-2</v>
      </c>
      <c r="CB54" s="172">
        <v>6.7220000000000002E-2</v>
      </c>
      <c r="CC54" s="172">
        <v>0.35393999999999998</v>
      </c>
      <c r="CD54" s="172">
        <v>0.26728000000000002</v>
      </c>
      <c r="CE54" s="172">
        <v>7.1709999999999996E-2</v>
      </c>
      <c r="CF54" s="172">
        <v>0.65069999999999995</v>
      </c>
      <c r="CG54" s="172">
        <v>0.40010000000000001</v>
      </c>
      <c r="CH54" s="172">
        <v>3.3939999999999998E-2</v>
      </c>
      <c r="CI54" s="172">
        <v>8.4629999999999997E-2</v>
      </c>
      <c r="CJ54" s="172">
        <v>0.25258000000000003</v>
      </c>
      <c r="CK54" s="172">
        <v>4.6170000000000003E-2</v>
      </c>
      <c r="CL54" s="172">
        <v>0.2094</v>
      </c>
      <c r="CM54" s="172">
        <v>7.664E-2</v>
      </c>
      <c r="CN54" s="172">
        <v>9.1899999999999996E-2</v>
      </c>
      <c r="CO54" s="172">
        <v>0.51071999999999995</v>
      </c>
      <c r="CP54" s="172">
        <v>0.16283</v>
      </c>
      <c r="CQ54" s="172">
        <v>0.29888999999999999</v>
      </c>
      <c r="CR54" s="172">
        <v>6.8909999999999999E-2</v>
      </c>
      <c r="CS54" s="172">
        <v>0.30186000000000002</v>
      </c>
      <c r="CT54" s="172">
        <v>0.45737</v>
      </c>
      <c r="CU54" s="172">
        <v>0.27350000000000002</v>
      </c>
      <c r="CV54" s="172">
        <v>0.30764999999999998</v>
      </c>
      <c r="CW54" s="172">
        <v>0.10829999999999999</v>
      </c>
    </row>
    <row r="55" spans="1:101">
      <c r="A55" s="171">
        <f t="shared" si="1"/>
        <v>585</v>
      </c>
      <c r="B55" s="171">
        <v>1</v>
      </c>
      <c r="C55" s="172">
        <v>0.68742999999999999</v>
      </c>
      <c r="D55" s="172">
        <v>0.29504999999999998</v>
      </c>
      <c r="E55" s="172">
        <v>5.151E-2</v>
      </c>
      <c r="F55" s="172">
        <v>0.45795000000000002</v>
      </c>
      <c r="G55" s="172">
        <v>0.15470999999999999</v>
      </c>
      <c r="H55" s="172">
        <v>0.20157</v>
      </c>
      <c r="I55" s="172">
        <v>6.6360000000000002E-2</v>
      </c>
      <c r="J55" s="172">
        <v>6.3789999999999999E-2</v>
      </c>
      <c r="K55" s="172">
        <v>4.7500000000000001E-2</v>
      </c>
      <c r="L55" s="172">
        <v>0.57052999999999998</v>
      </c>
      <c r="M55" s="172">
        <v>0.34932999999999997</v>
      </c>
      <c r="N55" s="172">
        <v>0.37966</v>
      </c>
      <c r="O55" s="172">
        <v>9.7540000000000002E-2</v>
      </c>
      <c r="P55" s="172">
        <v>0.45008999999999999</v>
      </c>
      <c r="Q55" s="172">
        <v>0.36681999999999998</v>
      </c>
      <c r="R55" s="172">
        <v>0.13622000000000001</v>
      </c>
      <c r="S55" s="172">
        <v>0.20396</v>
      </c>
      <c r="T55" s="172">
        <v>0.21409</v>
      </c>
      <c r="U55" s="172">
        <v>0.52210000000000001</v>
      </c>
      <c r="V55" s="172">
        <v>0.31075000000000003</v>
      </c>
      <c r="W55" s="172">
        <v>0.81552999999999998</v>
      </c>
      <c r="X55" s="172">
        <v>0.62034</v>
      </c>
      <c r="Y55" s="172">
        <v>0.81640000000000001</v>
      </c>
      <c r="Z55" s="172">
        <v>0.86636999999999997</v>
      </c>
      <c r="AA55" s="172">
        <v>0.49281999999999998</v>
      </c>
      <c r="AB55" s="172">
        <v>0.84155000000000002</v>
      </c>
      <c r="AC55" s="172">
        <v>0.44134000000000001</v>
      </c>
      <c r="AD55" s="172">
        <v>0.12214</v>
      </c>
      <c r="AE55" s="172">
        <v>0.72521000000000002</v>
      </c>
      <c r="AF55" s="172">
        <v>0.31340000000000001</v>
      </c>
      <c r="AG55" s="172">
        <v>0.76070000000000004</v>
      </c>
      <c r="AH55" s="172">
        <v>0.49512</v>
      </c>
      <c r="AI55" s="172">
        <v>0.75692000000000004</v>
      </c>
      <c r="AJ55" s="172">
        <v>0.31189</v>
      </c>
      <c r="AK55" s="172">
        <v>0.12381</v>
      </c>
      <c r="AL55" s="172">
        <v>0.54007000000000005</v>
      </c>
      <c r="AM55" s="172">
        <v>0.15106</v>
      </c>
      <c r="AN55" s="172">
        <v>0.66190000000000004</v>
      </c>
      <c r="AO55" s="172">
        <v>7.0180000000000006E-2</v>
      </c>
      <c r="AP55" s="172">
        <v>0.13977999999999999</v>
      </c>
      <c r="AQ55" s="172">
        <v>0.67728999999999995</v>
      </c>
      <c r="AR55" s="172">
        <v>0.32877000000000001</v>
      </c>
      <c r="AS55" s="172">
        <v>0.39905000000000002</v>
      </c>
      <c r="AT55" s="172">
        <v>4.8800000000000003E-2</v>
      </c>
      <c r="AU55" s="172">
        <v>0.21942999999999999</v>
      </c>
      <c r="AV55" s="172">
        <v>0.33</v>
      </c>
      <c r="AW55" s="172">
        <v>0.3387</v>
      </c>
      <c r="AX55" s="172">
        <v>0.48820999999999998</v>
      </c>
      <c r="AY55" s="172">
        <v>0.11951000000000001</v>
      </c>
      <c r="AZ55" s="172">
        <v>0.15676000000000001</v>
      </c>
      <c r="BA55" s="172">
        <v>0.18373</v>
      </c>
      <c r="BB55" s="172">
        <v>7.0629999999999998E-2</v>
      </c>
      <c r="BC55" s="172">
        <v>9.4030000000000002E-2</v>
      </c>
      <c r="BD55" s="172">
        <v>0.64336000000000004</v>
      </c>
      <c r="BE55" s="172">
        <v>0.53610999999999998</v>
      </c>
      <c r="BF55" s="172">
        <v>0.28904000000000002</v>
      </c>
      <c r="BG55" s="172">
        <v>0.15246999999999999</v>
      </c>
      <c r="BH55" s="172">
        <v>0.12209</v>
      </c>
      <c r="BI55" s="172">
        <v>0.59450999999999998</v>
      </c>
      <c r="BJ55" s="172">
        <v>0.66107000000000005</v>
      </c>
      <c r="BK55" s="172">
        <v>0.40621000000000002</v>
      </c>
      <c r="BL55" s="172">
        <v>0.31651000000000001</v>
      </c>
      <c r="BM55" s="172">
        <v>8.0490000000000006E-2</v>
      </c>
      <c r="BN55" s="172">
        <v>0.14144999999999999</v>
      </c>
      <c r="BO55" s="172">
        <v>0.10612000000000001</v>
      </c>
      <c r="BP55" s="172">
        <v>6.8110000000000004E-2</v>
      </c>
      <c r="BQ55" s="172">
        <v>8.0949999999999994E-2</v>
      </c>
      <c r="BR55" s="172">
        <v>0.21518999999999999</v>
      </c>
      <c r="BS55" s="172">
        <v>0.14480999999999999</v>
      </c>
      <c r="BT55" s="172">
        <v>0.30208000000000002</v>
      </c>
      <c r="BU55" s="172">
        <v>5.1339999999999997E-2</v>
      </c>
      <c r="BV55" s="172">
        <v>0.43597999999999998</v>
      </c>
      <c r="BW55" s="172">
        <v>0.13012000000000001</v>
      </c>
      <c r="BX55" s="172">
        <v>4.829E-2</v>
      </c>
      <c r="BY55" s="172">
        <v>5.1560000000000002E-2</v>
      </c>
      <c r="BZ55" s="172">
        <v>7.0680000000000007E-2</v>
      </c>
      <c r="CA55" s="172">
        <v>7.9140000000000002E-2</v>
      </c>
      <c r="CB55" s="172">
        <v>6.9320000000000007E-2</v>
      </c>
      <c r="CC55" s="172">
        <v>0.35060000000000002</v>
      </c>
      <c r="CD55" s="172">
        <v>0.27051999999999998</v>
      </c>
      <c r="CE55" s="172">
        <v>8.1240000000000007E-2</v>
      </c>
      <c r="CF55" s="172">
        <v>0.65200000000000002</v>
      </c>
      <c r="CG55" s="172">
        <v>0.40309</v>
      </c>
      <c r="CH55" s="172">
        <v>3.7420000000000002E-2</v>
      </c>
      <c r="CI55" s="172">
        <v>8.7249999999999994E-2</v>
      </c>
      <c r="CJ55" s="172">
        <v>0.25330999999999998</v>
      </c>
      <c r="CK55" s="172">
        <v>5.9270000000000003E-2</v>
      </c>
      <c r="CL55" s="172">
        <v>0.23794999999999999</v>
      </c>
      <c r="CM55" s="172">
        <v>8.1199999999999994E-2</v>
      </c>
      <c r="CN55" s="172">
        <v>0.10811</v>
      </c>
      <c r="CO55" s="172">
        <v>0.51512999999999998</v>
      </c>
      <c r="CP55" s="172">
        <v>0.16661000000000001</v>
      </c>
      <c r="CQ55" s="172">
        <v>0.30682999999999999</v>
      </c>
      <c r="CR55" s="172">
        <v>7.2639999999999996E-2</v>
      </c>
      <c r="CS55" s="172">
        <v>0.31662000000000001</v>
      </c>
      <c r="CT55" s="172">
        <v>0.47574</v>
      </c>
      <c r="CU55" s="172">
        <v>0.28466000000000002</v>
      </c>
      <c r="CV55" s="172">
        <v>0.36204999999999998</v>
      </c>
      <c r="CW55" s="172">
        <v>0.12914</v>
      </c>
    </row>
    <row r="56" spans="1:101">
      <c r="A56" s="171">
        <f t="shared" si="1"/>
        <v>590</v>
      </c>
      <c r="B56" s="171">
        <v>1</v>
      </c>
      <c r="C56" s="172">
        <v>0.71489999999999998</v>
      </c>
      <c r="D56" s="172">
        <v>0.33760000000000001</v>
      </c>
      <c r="E56" s="172">
        <v>5.305E-2</v>
      </c>
      <c r="F56" s="172">
        <v>0.47105000000000002</v>
      </c>
      <c r="G56" s="172">
        <v>0.16697999999999999</v>
      </c>
      <c r="H56" s="172">
        <v>0.21160000000000001</v>
      </c>
      <c r="I56" s="172">
        <v>7.9200000000000007E-2</v>
      </c>
      <c r="J56" s="172">
        <v>7.2160000000000002E-2</v>
      </c>
      <c r="K56" s="172">
        <v>5.0389999999999997E-2</v>
      </c>
      <c r="L56" s="172">
        <v>0.64907999999999999</v>
      </c>
      <c r="M56" s="172">
        <v>0.37352999999999997</v>
      </c>
      <c r="N56" s="172">
        <v>0.42691000000000001</v>
      </c>
      <c r="O56" s="172">
        <v>0.12216</v>
      </c>
      <c r="P56" s="172">
        <v>0.4622</v>
      </c>
      <c r="Q56" s="172">
        <v>0.40525</v>
      </c>
      <c r="R56" s="172">
        <v>0.14527000000000001</v>
      </c>
      <c r="S56" s="172">
        <v>0.20913999999999999</v>
      </c>
      <c r="T56" s="172">
        <v>0.23219999999999999</v>
      </c>
      <c r="U56" s="172">
        <v>0.52600000000000002</v>
      </c>
      <c r="V56" s="172">
        <v>0.34583000000000003</v>
      </c>
      <c r="W56" s="172">
        <v>0.83333999999999997</v>
      </c>
      <c r="X56" s="172">
        <v>0.6462</v>
      </c>
      <c r="Y56" s="172">
        <v>0.81801000000000001</v>
      </c>
      <c r="Z56" s="172">
        <v>0.86780000000000002</v>
      </c>
      <c r="AA56" s="172">
        <v>0.49629000000000001</v>
      </c>
      <c r="AB56" s="172">
        <v>0.85240000000000005</v>
      </c>
      <c r="AC56" s="172">
        <v>0.44275999999999999</v>
      </c>
      <c r="AD56" s="172">
        <v>0.12237000000000001</v>
      </c>
      <c r="AE56" s="172">
        <v>0.73114000000000001</v>
      </c>
      <c r="AF56" s="172">
        <v>0.31902999999999998</v>
      </c>
      <c r="AG56" s="172">
        <v>0.76648000000000005</v>
      </c>
      <c r="AH56" s="172">
        <v>0.49309999999999998</v>
      </c>
      <c r="AI56" s="172">
        <v>0.76021000000000005</v>
      </c>
      <c r="AJ56" s="172">
        <v>0.30848999999999999</v>
      </c>
      <c r="AK56" s="172">
        <v>0.12196</v>
      </c>
      <c r="AL56" s="172">
        <v>0.54310000000000003</v>
      </c>
      <c r="AM56" s="172">
        <v>0.152</v>
      </c>
      <c r="AN56" s="172">
        <v>0.66315000000000002</v>
      </c>
      <c r="AO56" s="172">
        <v>7.2239999999999999E-2</v>
      </c>
      <c r="AP56" s="172">
        <v>0.14735999999999999</v>
      </c>
      <c r="AQ56" s="172">
        <v>0.67490000000000006</v>
      </c>
      <c r="AR56" s="172">
        <v>0.31534000000000001</v>
      </c>
      <c r="AS56" s="172">
        <v>0.38200000000000001</v>
      </c>
      <c r="AT56" s="172">
        <v>4.8800000000000003E-2</v>
      </c>
      <c r="AU56" s="172">
        <v>0.20576</v>
      </c>
      <c r="AV56" s="172">
        <v>0.31809999999999999</v>
      </c>
      <c r="AW56" s="172">
        <v>0.33700000000000002</v>
      </c>
      <c r="AX56" s="172">
        <v>0.46354000000000001</v>
      </c>
      <c r="AY56" s="172">
        <v>0.11448999999999999</v>
      </c>
      <c r="AZ56" s="172">
        <v>0.15442</v>
      </c>
      <c r="BA56" s="172">
        <v>0.18765999999999999</v>
      </c>
      <c r="BB56" s="172">
        <v>6.9349999999999995E-2</v>
      </c>
      <c r="BC56" s="172">
        <v>8.3900000000000002E-2</v>
      </c>
      <c r="BD56" s="172">
        <v>0.61799999999999999</v>
      </c>
      <c r="BE56" s="172">
        <v>0.51865000000000006</v>
      </c>
      <c r="BF56" s="172">
        <v>0.26262999999999997</v>
      </c>
      <c r="BG56" s="172">
        <v>0.13469999999999999</v>
      </c>
      <c r="BH56" s="172">
        <v>0.10463</v>
      </c>
      <c r="BI56" s="172">
        <v>0.58409999999999995</v>
      </c>
      <c r="BJ56" s="172">
        <v>0.65854000000000001</v>
      </c>
      <c r="BK56" s="172">
        <v>0.40242</v>
      </c>
      <c r="BL56" s="172">
        <v>0.31274000000000002</v>
      </c>
      <c r="BM56" s="172">
        <v>8.3019999999999997E-2</v>
      </c>
      <c r="BN56" s="172">
        <v>0.13099</v>
      </c>
      <c r="BO56" s="172">
        <v>9.9489999999999995E-2</v>
      </c>
      <c r="BP56" s="172">
        <v>6.5299999999999997E-2</v>
      </c>
      <c r="BQ56" s="172">
        <v>7.7399999999999997E-2</v>
      </c>
      <c r="BR56" s="172">
        <v>0.21485000000000001</v>
      </c>
      <c r="BS56" s="172">
        <v>0.15312999999999999</v>
      </c>
      <c r="BT56" s="172">
        <v>0.29698000000000002</v>
      </c>
      <c r="BU56" s="172">
        <v>6.1199999999999997E-2</v>
      </c>
      <c r="BV56" s="172">
        <v>0.43496000000000001</v>
      </c>
      <c r="BW56" s="172">
        <v>0.12858</v>
      </c>
      <c r="BX56" s="172">
        <v>4.6859999999999999E-2</v>
      </c>
      <c r="BY56" s="172">
        <v>5.6800000000000003E-2</v>
      </c>
      <c r="BZ56" s="172">
        <v>8.72E-2</v>
      </c>
      <c r="CA56" s="172">
        <v>7.7640000000000001E-2</v>
      </c>
      <c r="CB56" s="172">
        <v>7.3480000000000004E-2</v>
      </c>
      <c r="CC56" s="172">
        <v>0.35016999999999998</v>
      </c>
      <c r="CD56" s="172">
        <v>0.27437</v>
      </c>
      <c r="CE56" s="172">
        <v>9.0240000000000001E-2</v>
      </c>
      <c r="CF56" s="172">
        <v>0.65380000000000005</v>
      </c>
      <c r="CG56" s="172">
        <v>0.4052</v>
      </c>
      <c r="CH56" s="172">
        <v>4.2079999999999999E-2</v>
      </c>
      <c r="CI56" s="172">
        <v>9.0880000000000002E-2</v>
      </c>
      <c r="CJ56" s="172">
        <v>0.25139</v>
      </c>
      <c r="CK56" s="172">
        <v>7.9329999999999998E-2</v>
      </c>
      <c r="CL56" s="172">
        <v>0.27076</v>
      </c>
      <c r="CM56" s="172">
        <v>8.6929999999999993E-2</v>
      </c>
      <c r="CN56" s="172">
        <v>0.12759999999999999</v>
      </c>
      <c r="CO56" s="172">
        <v>0.52154</v>
      </c>
      <c r="CP56" s="172">
        <v>0.17222000000000001</v>
      </c>
      <c r="CQ56" s="172">
        <v>0.31669999999999998</v>
      </c>
      <c r="CR56" s="172">
        <v>7.7479999999999993E-2</v>
      </c>
      <c r="CS56" s="172">
        <v>0.33692</v>
      </c>
      <c r="CT56" s="172">
        <v>0.49691999999999997</v>
      </c>
      <c r="CU56" s="172">
        <v>0.28610000000000002</v>
      </c>
      <c r="CV56" s="172">
        <v>0.41520000000000001</v>
      </c>
      <c r="CW56" s="172">
        <v>0.1595</v>
      </c>
    </row>
    <row r="57" spans="1:101">
      <c r="A57" s="171">
        <f t="shared" si="1"/>
        <v>595</v>
      </c>
      <c r="B57" s="171">
        <v>1</v>
      </c>
      <c r="C57" s="172">
        <v>0.73973999999999995</v>
      </c>
      <c r="D57" s="172">
        <v>0.37991000000000003</v>
      </c>
      <c r="E57" s="172">
        <v>5.4629999999999998E-2</v>
      </c>
      <c r="F57" s="172">
        <v>0.48107</v>
      </c>
      <c r="G57" s="172">
        <v>0.17763000000000001</v>
      </c>
      <c r="H57" s="172">
        <v>0.2203</v>
      </c>
      <c r="I57" s="172">
        <v>9.894E-2</v>
      </c>
      <c r="J57" s="172">
        <v>8.5769999999999999E-2</v>
      </c>
      <c r="K57" s="172">
        <v>5.323E-2</v>
      </c>
      <c r="L57" s="172">
        <v>0.71596000000000004</v>
      </c>
      <c r="M57" s="172">
        <v>0.39051000000000002</v>
      </c>
      <c r="N57" s="172">
        <v>0.47137000000000001</v>
      </c>
      <c r="O57" s="172">
        <v>0.14932999999999999</v>
      </c>
      <c r="P57" s="172">
        <v>0.47043000000000001</v>
      </c>
      <c r="Q57" s="172">
        <v>0.44457000000000002</v>
      </c>
      <c r="R57" s="172">
        <v>0.15695999999999999</v>
      </c>
      <c r="S57" s="172">
        <v>0.21381</v>
      </c>
      <c r="T57" s="172">
        <v>0.25140000000000001</v>
      </c>
      <c r="U57" s="172">
        <v>0.52810000000000001</v>
      </c>
      <c r="V57" s="172">
        <v>0.39045000000000002</v>
      </c>
      <c r="W57" s="172">
        <v>0.84628000000000003</v>
      </c>
      <c r="X57" s="172">
        <v>0.66927999999999999</v>
      </c>
      <c r="Y57" s="172">
        <v>0.81876000000000004</v>
      </c>
      <c r="Z57" s="172">
        <v>0.86812</v>
      </c>
      <c r="AA57" s="172">
        <v>0.50019999999999998</v>
      </c>
      <c r="AB57" s="172">
        <v>0.86185</v>
      </c>
      <c r="AC57" s="172">
        <v>0.44409999999999999</v>
      </c>
      <c r="AD57" s="172">
        <v>0.12116</v>
      </c>
      <c r="AE57" s="172">
        <v>0.73663000000000001</v>
      </c>
      <c r="AF57" s="172">
        <v>0.32508999999999999</v>
      </c>
      <c r="AG57" s="172">
        <v>0.77190000000000003</v>
      </c>
      <c r="AH57" s="172">
        <v>0.49092999999999998</v>
      </c>
      <c r="AI57" s="172">
        <v>0.76361000000000001</v>
      </c>
      <c r="AJ57" s="172">
        <v>0.30442999999999998</v>
      </c>
      <c r="AK57" s="172">
        <v>0.11992</v>
      </c>
      <c r="AL57" s="172">
        <v>0.54623999999999995</v>
      </c>
      <c r="AM57" s="172">
        <v>0.15770999999999999</v>
      </c>
      <c r="AN57" s="172">
        <v>0.66457999999999995</v>
      </c>
      <c r="AO57" s="172">
        <v>7.4440000000000006E-2</v>
      </c>
      <c r="AP57" s="172">
        <v>0.15579000000000001</v>
      </c>
      <c r="AQ57" s="172">
        <v>0.67300000000000004</v>
      </c>
      <c r="AR57" s="172">
        <v>0.30403999999999998</v>
      </c>
      <c r="AS57" s="172">
        <v>0.36163000000000001</v>
      </c>
      <c r="AT57" s="172">
        <v>4.8820000000000002E-2</v>
      </c>
      <c r="AU57" s="172">
        <v>0.19114</v>
      </c>
      <c r="AV57" s="172">
        <v>0.30447000000000002</v>
      </c>
      <c r="AW57" s="172">
        <v>0.33506000000000002</v>
      </c>
      <c r="AX57" s="172">
        <v>0.43824000000000002</v>
      </c>
      <c r="AY57" s="172">
        <v>0.10977000000000001</v>
      </c>
      <c r="AZ57" s="172">
        <v>0.15328</v>
      </c>
      <c r="BA57" s="172">
        <v>0.19303999999999999</v>
      </c>
      <c r="BB57" s="172">
        <v>6.8909999999999999E-2</v>
      </c>
      <c r="BC57" s="172">
        <v>7.5670000000000001E-2</v>
      </c>
      <c r="BD57" s="172">
        <v>0.58958999999999995</v>
      </c>
      <c r="BE57" s="172">
        <v>0.49975000000000003</v>
      </c>
      <c r="BF57" s="172">
        <v>0.23787</v>
      </c>
      <c r="BG57" s="172">
        <v>0.11572</v>
      </c>
      <c r="BH57" s="172">
        <v>8.9139999999999997E-2</v>
      </c>
      <c r="BI57" s="172">
        <v>0.57394000000000001</v>
      </c>
      <c r="BJ57" s="172">
        <v>0.65552999999999995</v>
      </c>
      <c r="BK57" s="172">
        <v>0.39998</v>
      </c>
      <c r="BL57" s="172">
        <v>0.30880999999999997</v>
      </c>
      <c r="BM57" s="172">
        <v>8.3659999999999998E-2</v>
      </c>
      <c r="BN57" s="172">
        <v>0.12146999999999999</v>
      </c>
      <c r="BO57" s="172">
        <v>9.0469999999999995E-2</v>
      </c>
      <c r="BP57" s="172">
        <v>6.2899999999999998E-2</v>
      </c>
      <c r="BQ57" s="172">
        <v>7.4209999999999998E-2</v>
      </c>
      <c r="BR57" s="172">
        <v>0.21593000000000001</v>
      </c>
      <c r="BS57" s="172">
        <v>0.16242000000000001</v>
      </c>
      <c r="BT57" s="172">
        <v>0.29354999999999998</v>
      </c>
      <c r="BU57" s="172">
        <v>6.54E-2</v>
      </c>
      <c r="BV57" s="172">
        <v>0.43459999999999999</v>
      </c>
      <c r="BW57" s="172">
        <v>0.12914</v>
      </c>
      <c r="BX57" s="172">
        <v>4.5510000000000002E-2</v>
      </c>
      <c r="BY57" s="172">
        <v>5.8229999999999997E-2</v>
      </c>
      <c r="BZ57" s="172">
        <v>0.10057000000000001</v>
      </c>
      <c r="CA57" s="172">
        <v>7.707E-2</v>
      </c>
      <c r="CB57" s="172">
        <v>7.9000000000000001E-2</v>
      </c>
      <c r="CC57" s="172">
        <v>0.35247000000000001</v>
      </c>
      <c r="CD57" s="172">
        <v>0.27889999999999998</v>
      </c>
      <c r="CE57" s="172">
        <v>9.6299999999999997E-2</v>
      </c>
      <c r="CF57" s="172">
        <v>0.65629000000000004</v>
      </c>
      <c r="CG57" s="172">
        <v>0.40629999999999999</v>
      </c>
      <c r="CH57" s="172">
        <v>4.7160000000000001E-2</v>
      </c>
      <c r="CI57" s="172">
        <v>9.758E-2</v>
      </c>
      <c r="CJ57" s="172">
        <v>0.24833</v>
      </c>
      <c r="CK57" s="172">
        <v>0.10352</v>
      </c>
      <c r="CL57" s="172">
        <v>0.30302000000000001</v>
      </c>
      <c r="CM57" s="172">
        <v>9.3859999999999999E-2</v>
      </c>
      <c r="CN57" s="172">
        <v>0.14791000000000001</v>
      </c>
      <c r="CO57" s="172">
        <v>0.52925</v>
      </c>
      <c r="CP57" s="172">
        <v>0.18040999999999999</v>
      </c>
      <c r="CQ57" s="172">
        <v>0.32832</v>
      </c>
      <c r="CR57" s="172">
        <v>8.3809999999999996E-2</v>
      </c>
      <c r="CS57" s="172">
        <v>0.36292999999999997</v>
      </c>
      <c r="CT57" s="172">
        <v>0.52053000000000005</v>
      </c>
      <c r="CU57" s="172">
        <v>0.28181</v>
      </c>
      <c r="CV57" s="172">
        <v>0.46276</v>
      </c>
      <c r="CW57" s="172">
        <v>0.20019999999999999</v>
      </c>
    </row>
    <row r="58" spans="1:101">
      <c r="A58" s="171">
        <f t="shared" si="1"/>
        <v>600</v>
      </c>
      <c r="B58" s="171">
        <v>1</v>
      </c>
      <c r="C58" s="172">
        <v>0.76170000000000004</v>
      </c>
      <c r="D58" s="172">
        <v>0.42049999999999998</v>
      </c>
      <c r="E58" s="172">
        <v>5.8630000000000002E-2</v>
      </c>
      <c r="F58" s="172">
        <v>0.48842000000000002</v>
      </c>
      <c r="G58" s="172">
        <v>0.19117999999999999</v>
      </c>
      <c r="H58" s="172">
        <v>0.22708</v>
      </c>
      <c r="I58" s="172">
        <v>0.12770000000000001</v>
      </c>
      <c r="J58" s="172">
        <v>0.10607999999999999</v>
      </c>
      <c r="K58" s="172">
        <v>5.5539999999999999E-2</v>
      </c>
      <c r="L58" s="172">
        <v>0.76829999999999998</v>
      </c>
      <c r="M58" s="172">
        <v>0.40200999999999998</v>
      </c>
      <c r="N58" s="172">
        <v>0.51259999999999994</v>
      </c>
      <c r="O58" s="172">
        <v>0.17516000000000001</v>
      </c>
      <c r="P58" s="172">
        <v>0.47560000000000002</v>
      </c>
      <c r="Q58" s="172">
        <v>0.47933999999999999</v>
      </c>
      <c r="R58" s="172">
        <v>0.1714</v>
      </c>
      <c r="S58" s="172">
        <v>0.21770999999999999</v>
      </c>
      <c r="T58" s="172">
        <v>0.26939999999999997</v>
      </c>
      <c r="U58" s="172">
        <v>0.52900000000000003</v>
      </c>
      <c r="V58" s="172">
        <v>0.44412000000000001</v>
      </c>
      <c r="W58" s="172">
        <v>0.85638000000000003</v>
      </c>
      <c r="X58" s="172">
        <v>0.68945000000000001</v>
      </c>
      <c r="Y58" s="172">
        <v>0.81933999999999996</v>
      </c>
      <c r="Z58" s="172">
        <v>0.86770000000000003</v>
      </c>
      <c r="AA58" s="172">
        <v>0.50456000000000001</v>
      </c>
      <c r="AB58" s="172">
        <v>0.86990000000000001</v>
      </c>
      <c r="AC58" s="172">
        <v>0.44574000000000003</v>
      </c>
      <c r="AD58" s="172">
        <v>0.11951000000000001</v>
      </c>
      <c r="AE58" s="172">
        <v>0.74195999999999995</v>
      </c>
      <c r="AF58" s="172">
        <v>0.32973999999999998</v>
      </c>
      <c r="AG58" s="172">
        <v>0.77654999999999996</v>
      </c>
      <c r="AH58" s="172">
        <v>0.48759999999999998</v>
      </c>
      <c r="AI58" s="172">
        <v>0.76763000000000003</v>
      </c>
      <c r="AJ58" s="172">
        <v>0.29970999999999998</v>
      </c>
      <c r="AK58" s="172">
        <v>0.11767</v>
      </c>
      <c r="AL58" s="172">
        <v>0.54817000000000005</v>
      </c>
      <c r="AM58" s="172">
        <v>0.161</v>
      </c>
      <c r="AN58" s="172">
        <v>0.66544000000000003</v>
      </c>
      <c r="AO58" s="172">
        <v>7.646E-2</v>
      </c>
      <c r="AP58" s="172">
        <v>0.16364000000000001</v>
      </c>
      <c r="AQ58" s="172">
        <v>0.67179999999999995</v>
      </c>
      <c r="AR58" s="172">
        <v>0.29409999999999997</v>
      </c>
      <c r="AS58" s="172">
        <v>0.34189999999999998</v>
      </c>
      <c r="AT58" s="172">
        <v>4.8800000000000003E-2</v>
      </c>
      <c r="AU58" s="172">
        <v>0.1799</v>
      </c>
      <c r="AV58" s="172">
        <v>0.29020000000000001</v>
      </c>
      <c r="AW58" s="172">
        <v>0.3322</v>
      </c>
      <c r="AX58" s="172">
        <v>0.41298000000000001</v>
      </c>
      <c r="AY58" s="172">
        <v>0.10532</v>
      </c>
      <c r="AZ58" s="172">
        <v>0.15223</v>
      </c>
      <c r="BA58" s="172">
        <v>0.19699</v>
      </c>
      <c r="BB58" s="172">
        <v>6.8830000000000002E-2</v>
      </c>
      <c r="BC58" s="172">
        <v>6.9400000000000003E-2</v>
      </c>
      <c r="BD58" s="172">
        <v>0.56169999999999998</v>
      </c>
      <c r="BE58" s="172">
        <v>0.48196</v>
      </c>
      <c r="BF58" s="172">
        <v>0.21609</v>
      </c>
      <c r="BG58" s="172">
        <v>9.9000000000000005E-2</v>
      </c>
      <c r="BH58" s="172">
        <v>7.639E-2</v>
      </c>
      <c r="BI58" s="172">
        <v>0.56399999999999995</v>
      </c>
      <c r="BJ58" s="172">
        <v>0.65249000000000001</v>
      </c>
      <c r="BK58" s="172">
        <v>0.39815</v>
      </c>
      <c r="BL58" s="172">
        <v>0.30579000000000001</v>
      </c>
      <c r="BM58" s="172">
        <v>8.2619999999999999E-2</v>
      </c>
      <c r="BN58" s="172">
        <v>0.1132</v>
      </c>
      <c r="BO58" s="172">
        <v>8.072E-2</v>
      </c>
      <c r="BP58" s="172">
        <v>6.0900000000000003E-2</v>
      </c>
      <c r="BQ58" s="172">
        <v>7.1400000000000005E-2</v>
      </c>
      <c r="BR58" s="172">
        <v>0.21762999999999999</v>
      </c>
      <c r="BS58" s="172">
        <v>0.17116000000000001</v>
      </c>
      <c r="BT58" s="172">
        <v>0.29142000000000001</v>
      </c>
      <c r="BU58" s="172">
        <v>6.4100000000000004E-2</v>
      </c>
      <c r="BV58" s="172">
        <v>0.43496000000000001</v>
      </c>
      <c r="BW58" s="172">
        <v>0.13086</v>
      </c>
      <c r="BX58" s="172">
        <v>4.4479999999999999E-2</v>
      </c>
      <c r="BY58" s="172">
        <v>5.62E-2</v>
      </c>
      <c r="BZ58" s="172">
        <v>0.1085</v>
      </c>
      <c r="CA58" s="172">
        <v>7.7299999999999994E-2</v>
      </c>
      <c r="CB58" s="172">
        <v>8.4790000000000004E-2</v>
      </c>
      <c r="CC58" s="172">
        <v>0.35671999999999998</v>
      </c>
      <c r="CD58" s="172">
        <v>0.28389999999999999</v>
      </c>
      <c r="CE58" s="172">
        <v>0.10233</v>
      </c>
      <c r="CF58" s="172">
        <v>0.65910000000000002</v>
      </c>
      <c r="CG58" s="172">
        <v>0.40670000000000001</v>
      </c>
      <c r="CH58" s="172">
        <v>5.1700000000000003E-2</v>
      </c>
      <c r="CI58" s="172">
        <v>0.10274</v>
      </c>
      <c r="CJ58" s="172">
        <v>0.24771000000000001</v>
      </c>
      <c r="CK58" s="172">
        <v>0.1255</v>
      </c>
      <c r="CL58" s="172">
        <v>0.33272000000000002</v>
      </c>
      <c r="CM58" s="172">
        <v>0.10181</v>
      </c>
      <c r="CN58" s="172">
        <v>0.16650000000000001</v>
      </c>
      <c r="CO58" s="172">
        <v>0.53705000000000003</v>
      </c>
      <c r="CP58" s="172">
        <v>0.19233</v>
      </c>
      <c r="CQ58" s="172">
        <v>0.34189000000000003</v>
      </c>
      <c r="CR58" s="172">
        <v>9.2179999999999998E-2</v>
      </c>
      <c r="CS58" s="172">
        <v>0.39399000000000001</v>
      </c>
      <c r="CT58" s="172">
        <v>0.54654999999999998</v>
      </c>
      <c r="CU58" s="172">
        <v>0.2747</v>
      </c>
      <c r="CV58" s="172">
        <v>0.50046999999999997</v>
      </c>
      <c r="CW58" s="172">
        <v>0.2475</v>
      </c>
    </row>
    <row r="59" spans="1:101">
      <c r="A59" s="171">
        <f t="shared" si="1"/>
        <v>605</v>
      </c>
      <c r="B59" s="171">
        <v>1</v>
      </c>
      <c r="C59" s="172">
        <v>0.78071999999999997</v>
      </c>
      <c r="D59" s="172">
        <v>0.45828000000000002</v>
      </c>
      <c r="E59" s="172">
        <v>6.6040000000000001E-2</v>
      </c>
      <c r="F59" s="172">
        <v>0.49386000000000002</v>
      </c>
      <c r="G59" s="172">
        <v>0.21263000000000001</v>
      </c>
      <c r="H59" s="172">
        <v>0.23139000000000001</v>
      </c>
      <c r="I59" s="172">
        <v>0.16683000000000001</v>
      </c>
      <c r="J59" s="172">
        <v>0.13417000000000001</v>
      </c>
      <c r="K59" s="172">
        <v>5.6959999999999997E-2</v>
      </c>
      <c r="L59" s="172">
        <v>0.80508000000000002</v>
      </c>
      <c r="M59" s="172">
        <v>0.40995999999999999</v>
      </c>
      <c r="N59" s="172">
        <v>0.54874000000000001</v>
      </c>
      <c r="O59" s="172">
        <v>0.19672000000000001</v>
      </c>
      <c r="P59" s="172">
        <v>0.47894999999999999</v>
      </c>
      <c r="Q59" s="172">
        <v>0.50614000000000003</v>
      </c>
      <c r="R59" s="172">
        <v>0.18851999999999999</v>
      </c>
      <c r="S59" s="172">
        <v>0.22040999999999999</v>
      </c>
      <c r="T59" s="172">
        <v>0.28449999999999998</v>
      </c>
      <c r="U59" s="172">
        <v>0.52902000000000005</v>
      </c>
      <c r="V59" s="172">
        <v>0.50458000000000003</v>
      </c>
      <c r="W59" s="172">
        <v>0.86565000000000003</v>
      </c>
      <c r="X59" s="172">
        <v>0.70682</v>
      </c>
      <c r="Y59" s="172">
        <v>0.82030999999999998</v>
      </c>
      <c r="Z59" s="172">
        <v>0.86687999999999998</v>
      </c>
      <c r="AA59" s="172">
        <v>0.50626000000000004</v>
      </c>
      <c r="AB59" s="172">
        <v>0.87658999999999998</v>
      </c>
      <c r="AC59" s="172">
        <v>0.44656000000000001</v>
      </c>
      <c r="AD59" s="172">
        <v>0.11896</v>
      </c>
      <c r="AE59" s="172">
        <v>0.74751000000000001</v>
      </c>
      <c r="AF59" s="172">
        <v>0.33388000000000001</v>
      </c>
      <c r="AG59" s="172">
        <v>0.78017000000000003</v>
      </c>
      <c r="AH59" s="172">
        <v>0.48248000000000002</v>
      </c>
      <c r="AI59" s="172">
        <v>0.77264999999999995</v>
      </c>
      <c r="AJ59" s="172">
        <v>0.29443000000000003</v>
      </c>
      <c r="AK59" s="172">
        <v>0.11522</v>
      </c>
      <c r="AL59" s="172">
        <v>0.54898999999999998</v>
      </c>
      <c r="AM59" s="172">
        <v>0.15559000000000001</v>
      </c>
      <c r="AN59" s="172">
        <v>0.66585000000000005</v>
      </c>
      <c r="AO59" s="172">
        <v>7.8049999999999994E-2</v>
      </c>
      <c r="AP59" s="172">
        <v>0.16980000000000001</v>
      </c>
      <c r="AQ59" s="172">
        <v>0.67137000000000002</v>
      </c>
      <c r="AR59" s="172">
        <v>0.2848</v>
      </c>
      <c r="AS59" s="172">
        <v>0.32717000000000002</v>
      </c>
      <c r="AT59" s="172">
        <v>4.8680000000000001E-2</v>
      </c>
      <c r="AU59" s="172">
        <v>0.17158999999999999</v>
      </c>
      <c r="AV59" s="172">
        <v>0.27655999999999997</v>
      </c>
      <c r="AW59" s="172">
        <v>0.32807999999999998</v>
      </c>
      <c r="AX59" s="172">
        <v>0.38846000000000003</v>
      </c>
      <c r="AY59" s="172">
        <v>0.1012</v>
      </c>
      <c r="AZ59" s="172">
        <v>0.15040000000000001</v>
      </c>
      <c r="BA59" s="172">
        <v>0.19725000000000001</v>
      </c>
      <c r="BB59" s="172">
        <v>6.8720000000000003E-2</v>
      </c>
      <c r="BC59" s="172">
        <v>6.5040000000000001E-2</v>
      </c>
      <c r="BD59" s="172">
        <v>0.53802000000000005</v>
      </c>
      <c r="BE59" s="172">
        <v>0.46790999999999999</v>
      </c>
      <c r="BF59" s="172">
        <v>0.19855999999999999</v>
      </c>
      <c r="BG59" s="172">
        <v>8.7900000000000006E-2</v>
      </c>
      <c r="BH59" s="172">
        <v>6.6960000000000006E-2</v>
      </c>
      <c r="BI59" s="172">
        <v>0.55461000000000005</v>
      </c>
      <c r="BJ59" s="172">
        <v>0.65002000000000004</v>
      </c>
      <c r="BK59" s="172">
        <v>0.39634000000000003</v>
      </c>
      <c r="BL59" s="172">
        <v>0.30448999999999998</v>
      </c>
      <c r="BM59" s="172">
        <v>8.0280000000000004E-2</v>
      </c>
      <c r="BN59" s="172">
        <v>0.10657</v>
      </c>
      <c r="BO59" s="172">
        <v>7.1690000000000004E-2</v>
      </c>
      <c r="BP59" s="172">
        <v>5.9330000000000001E-2</v>
      </c>
      <c r="BQ59" s="172">
        <v>6.9070000000000006E-2</v>
      </c>
      <c r="BR59" s="172">
        <v>0.21934000000000001</v>
      </c>
      <c r="BS59" s="172">
        <v>0.1782</v>
      </c>
      <c r="BT59" s="172">
        <v>0.29026999999999997</v>
      </c>
      <c r="BU59" s="172">
        <v>5.901E-2</v>
      </c>
      <c r="BV59" s="172">
        <v>0.43609999999999999</v>
      </c>
      <c r="BW59" s="172">
        <v>0.13275000000000001</v>
      </c>
      <c r="BX59" s="172">
        <v>4.3929999999999997E-2</v>
      </c>
      <c r="BY59" s="172">
        <v>5.1979999999999998E-2</v>
      </c>
      <c r="BZ59" s="172">
        <v>0.11045000000000001</v>
      </c>
      <c r="CA59" s="172">
        <v>7.825E-2</v>
      </c>
      <c r="CB59" s="172">
        <v>8.9660000000000004E-2</v>
      </c>
      <c r="CC59" s="172">
        <v>0.36207</v>
      </c>
      <c r="CD59" s="172">
        <v>0.28921000000000002</v>
      </c>
      <c r="CE59" s="172">
        <v>0.10517</v>
      </c>
      <c r="CF59" s="172">
        <v>0.66176999999999997</v>
      </c>
      <c r="CG59" s="172">
        <v>0.40672000000000003</v>
      </c>
      <c r="CH59" s="172">
        <v>5.4960000000000002E-2</v>
      </c>
      <c r="CI59" s="172">
        <v>0.10874</v>
      </c>
      <c r="CJ59" s="172">
        <v>0.25339</v>
      </c>
      <c r="CK59" s="172">
        <v>0.13983999999999999</v>
      </c>
      <c r="CL59" s="172">
        <v>0.35882999999999998</v>
      </c>
      <c r="CM59" s="172">
        <v>0.11045000000000001</v>
      </c>
      <c r="CN59" s="172">
        <v>0.18129999999999999</v>
      </c>
      <c r="CO59" s="172">
        <v>0.54510999999999998</v>
      </c>
      <c r="CP59" s="172">
        <v>0.20952999999999999</v>
      </c>
      <c r="CQ59" s="172">
        <v>0.35764000000000001</v>
      </c>
      <c r="CR59" s="172">
        <v>0.10310999999999999</v>
      </c>
      <c r="CS59" s="172">
        <v>0.42914999999999998</v>
      </c>
      <c r="CT59" s="172">
        <v>0.57499999999999996</v>
      </c>
      <c r="CU59" s="172">
        <v>0.26721</v>
      </c>
      <c r="CV59" s="172">
        <v>0.52541000000000004</v>
      </c>
      <c r="CW59" s="172">
        <v>0.29719000000000001</v>
      </c>
    </row>
    <row r="60" spans="1:101">
      <c r="A60" s="171">
        <f t="shared" si="1"/>
        <v>610</v>
      </c>
      <c r="B60" s="171">
        <v>1</v>
      </c>
      <c r="C60" s="172">
        <v>0.79720000000000002</v>
      </c>
      <c r="D60" s="172">
        <v>0.49320000000000003</v>
      </c>
      <c r="E60" s="172">
        <v>7.4270000000000003E-2</v>
      </c>
      <c r="F60" s="172">
        <v>0.49824000000000002</v>
      </c>
      <c r="G60" s="172">
        <v>0.24557000000000001</v>
      </c>
      <c r="H60" s="172">
        <v>0.23327999999999999</v>
      </c>
      <c r="I60" s="172">
        <v>0.21429999999999999</v>
      </c>
      <c r="J60" s="172">
        <v>0.16961999999999999</v>
      </c>
      <c r="K60" s="172">
        <v>5.7709999999999997E-2</v>
      </c>
      <c r="L60" s="172">
        <v>0.82848999999999995</v>
      </c>
      <c r="M60" s="172">
        <v>0.41600999999999999</v>
      </c>
      <c r="N60" s="172">
        <v>0.5796</v>
      </c>
      <c r="O60" s="172">
        <v>0.21476000000000001</v>
      </c>
      <c r="P60" s="172">
        <v>0.48120000000000002</v>
      </c>
      <c r="Q60" s="172">
        <v>0.52637</v>
      </c>
      <c r="R60" s="172">
        <v>0.20763999999999999</v>
      </c>
      <c r="S60" s="172">
        <v>0.22166</v>
      </c>
      <c r="T60" s="172">
        <v>0.2969</v>
      </c>
      <c r="U60" s="172">
        <v>0.52859999999999996</v>
      </c>
      <c r="V60" s="172">
        <v>0.56506000000000001</v>
      </c>
      <c r="W60" s="172">
        <v>0.87355000000000005</v>
      </c>
      <c r="X60" s="172">
        <v>0.72194000000000003</v>
      </c>
      <c r="Y60" s="172">
        <v>0.82162999999999997</v>
      </c>
      <c r="Z60" s="172">
        <v>0.8659</v>
      </c>
      <c r="AA60" s="172">
        <v>0.50778999999999996</v>
      </c>
      <c r="AB60" s="172">
        <v>0.88229999999999997</v>
      </c>
      <c r="AC60" s="172">
        <v>0.44617000000000001</v>
      </c>
      <c r="AD60" s="172">
        <v>0.11864</v>
      </c>
      <c r="AE60" s="172">
        <v>0.75349999999999995</v>
      </c>
      <c r="AF60" s="172">
        <v>0.33894000000000002</v>
      </c>
      <c r="AG60" s="172">
        <v>0.78325999999999996</v>
      </c>
      <c r="AH60" s="172">
        <v>0.4763</v>
      </c>
      <c r="AI60" s="172">
        <v>0.77797000000000005</v>
      </c>
      <c r="AJ60" s="172">
        <v>0.28916999999999998</v>
      </c>
      <c r="AK60" s="172">
        <v>0.11283</v>
      </c>
      <c r="AL60" s="172">
        <v>0.55035000000000001</v>
      </c>
      <c r="AM60" s="172">
        <v>0.14599999999999999</v>
      </c>
      <c r="AN60" s="172">
        <v>0.66683999999999999</v>
      </c>
      <c r="AO60" s="172">
        <v>7.9240000000000005E-2</v>
      </c>
      <c r="AP60" s="172">
        <v>0.17455999999999999</v>
      </c>
      <c r="AQ60" s="172">
        <v>0.6714</v>
      </c>
      <c r="AR60" s="172">
        <v>0.27562999999999999</v>
      </c>
      <c r="AS60" s="172">
        <v>0.31840000000000002</v>
      </c>
      <c r="AT60" s="172">
        <v>4.8599999999999997E-2</v>
      </c>
      <c r="AU60" s="172">
        <v>0.16571</v>
      </c>
      <c r="AV60" s="172">
        <v>0.26440000000000002</v>
      </c>
      <c r="AW60" s="172">
        <v>0.32319999999999999</v>
      </c>
      <c r="AX60" s="172">
        <v>0.36486000000000002</v>
      </c>
      <c r="AY60" s="172">
        <v>9.7500000000000003E-2</v>
      </c>
      <c r="AZ60" s="172">
        <v>0.14826</v>
      </c>
      <c r="BA60" s="172">
        <v>0.19520999999999999</v>
      </c>
      <c r="BB60" s="172">
        <v>6.8629999999999997E-2</v>
      </c>
      <c r="BC60" s="172">
        <v>6.2199999999999998E-2</v>
      </c>
      <c r="BD60" s="172">
        <v>0.51990000000000003</v>
      </c>
      <c r="BE60" s="172">
        <v>0.45788000000000001</v>
      </c>
      <c r="BF60" s="172">
        <v>0.18547</v>
      </c>
      <c r="BG60" s="172">
        <v>8.1600000000000006E-2</v>
      </c>
      <c r="BH60" s="172">
        <v>6.0479999999999999E-2</v>
      </c>
      <c r="BI60" s="172">
        <v>0.54679999999999995</v>
      </c>
      <c r="BJ60" s="172">
        <v>0.64873999999999998</v>
      </c>
      <c r="BK60" s="172">
        <v>0.39478000000000002</v>
      </c>
      <c r="BL60" s="172">
        <v>0.30480000000000002</v>
      </c>
      <c r="BM60" s="172">
        <v>7.7210000000000001E-2</v>
      </c>
      <c r="BN60" s="172">
        <v>0.10170999999999999</v>
      </c>
      <c r="BO60" s="172">
        <v>6.3549999999999995E-2</v>
      </c>
      <c r="BP60" s="172">
        <v>5.8200000000000002E-2</v>
      </c>
      <c r="BQ60" s="172">
        <v>6.7400000000000002E-2</v>
      </c>
      <c r="BR60" s="172">
        <v>0.22103999999999999</v>
      </c>
      <c r="BS60" s="172">
        <v>0.18373</v>
      </c>
      <c r="BT60" s="172">
        <v>0.28997000000000001</v>
      </c>
      <c r="BU60" s="172">
        <v>5.2999999999999999E-2</v>
      </c>
      <c r="BV60" s="172">
        <v>0.43774000000000002</v>
      </c>
      <c r="BW60" s="172">
        <v>0.13364000000000001</v>
      </c>
      <c r="BX60" s="172">
        <v>4.3779999999999999E-2</v>
      </c>
      <c r="BY60" s="172">
        <v>4.7300000000000002E-2</v>
      </c>
      <c r="BZ60" s="172">
        <v>0.1094</v>
      </c>
      <c r="CA60" s="172">
        <v>8.0229999999999996E-2</v>
      </c>
      <c r="CB60" s="172">
        <v>9.2539999999999997E-2</v>
      </c>
      <c r="CC60" s="172">
        <v>0.36793999999999999</v>
      </c>
      <c r="CD60" s="172">
        <v>0.29508000000000001</v>
      </c>
      <c r="CE60" s="172">
        <v>0.10009999999999999</v>
      </c>
      <c r="CF60" s="172">
        <v>0.66390000000000005</v>
      </c>
      <c r="CG60" s="172">
        <v>0.40620000000000001</v>
      </c>
      <c r="CH60" s="172">
        <v>5.7259999999999998E-2</v>
      </c>
      <c r="CI60" s="172">
        <v>0.10959000000000001</v>
      </c>
      <c r="CJ60" s="172">
        <v>0.26835999999999999</v>
      </c>
      <c r="CK60" s="172">
        <v>0.14804</v>
      </c>
      <c r="CL60" s="172">
        <v>0.38146999999999998</v>
      </c>
      <c r="CM60" s="172">
        <v>0.11913</v>
      </c>
      <c r="CN60" s="172">
        <v>0.1923</v>
      </c>
      <c r="CO60" s="172">
        <v>0.55457999999999996</v>
      </c>
      <c r="CP60" s="172">
        <v>0.23350000000000001</v>
      </c>
      <c r="CQ60" s="172">
        <v>0.37558000000000002</v>
      </c>
      <c r="CR60" s="172">
        <v>0.11679</v>
      </c>
      <c r="CS60" s="172">
        <v>0.46745999999999999</v>
      </c>
      <c r="CT60" s="172">
        <v>0.60596000000000005</v>
      </c>
      <c r="CU60" s="172">
        <v>0.26090000000000002</v>
      </c>
      <c r="CV60" s="172">
        <v>0.54005999999999998</v>
      </c>
      <c r="CW60" s="172">
        <v>0.34770000000000001</v>
      </c>
    </row>
    <row r="61" spans="1:101">
      <c r="A61" s="171">
        <f t="shared" si="1"/>
        <v>615</v>
      </c>
      <c r="B61" s="171">
        <v>1</v>
      </c>
      <c r="C61" s="172">
        <v>0.81155999999999995</v>
      </c>
      <c r="D61" s="172">
        <v>0.52532999999999996</v>
      </c>
      <c r="E61" s="172">
        <v>8.516E-2</v>
      </c>
      <c r="F61" s="172">
        <v>0.50229000000000001</v>
      </c>
      <c r="G61" s="172">
        <v>0.29221000000000003</v>
      </c>
      <c r="H61" s="172">
        <v>0.23318</v>
      </c>
      <c r="I61" s="172">
        <v>0.26677000000000001</v>
      </c>
      <c r="J61" s="172">
        <v>0.21129999999999999</v>
      </c>
      <c r="K61" s="172">
        <v>5.8130000000000001E-2</v>
      </c>
      <c r="L61" s="172">
        <v>0.84184999999999999</v>
      </c>
      <c r="M61" s="172">
        <v>0.42171999999999998</v>
      </c>
      <c r="N61" s="172">
        <v>0.60302</v>
      </c>
      <c r="O61" s="172">
        <v>0.23036999999999999</v>
      </c>
      <c r="P61" s="172">
        <v>0.48286000000000001</v>
      </c>
      <c r="Q61" s="172">
        <v>0.54227000000000003</v>
      </c>
      <c r="R61" s="172">
        <v>0.2281</v>
      </c>
      <c r="S61" s="172">
        <v>0.22145999999999999</v>
      </c>
      <c r="T61" s="172">
        <v>0.30719999999999997</v>
      </c>
      <c r="U61" s="172">
        <v>0.52810000000000001</v>
      </c>
      <c r="V61" s="172">
        <v>0.61851999999999996</v>
      </c>
      <c r="W61" s="172">
        <v>0.87931999999999999</v>
      </c>
      <c r="X61" s="172">
        <v>0.73531000000000002</v>
      </c>
      <c r="Y61" s="172">
        <v>0.82311000000000001</v>
      </c>
      <c r="Z61" s="172">
        <v>0.86494000000000004</v>
      </c>
      <c r="AA61" s="172">
        <v>0.51041999999999998</v>
      </c>
      <c r="AB61" s="172">
        <v>0.88734999999999997</v>
      </c>
      <c r="AC61" s="172">
        <v>0.44794</v>
      </c>
      <c r="AD61" s="172">
        <v>0.11826</v>
      </c>
      <c r="AE61" s="172">
        <v>0.75999000000000005</v>
      </c>
      <c r="AF61" s="172">
        <v>0.3422</v>
      </c>
      <c r="AG61" s="172">
        <v>0.78641000000000005</v>
      </c>
      <c r="AH61" s="172">
        <v>0.4703</v>
      </c>
      <c r="AI61" s="172">
        <v>0.78271000000000002</v>
      </c>
      <c r="AJ61" s="172">
        <v>0.28445999999999999</v>
      </c>
      <c r="AK61" s="172">
        <v>0.11074000000000001</v>
      </c>
      <c r="AL61" s="172">
        <v>0.55266000000000004</v>
      </c>
      <c r="AM61" s="172">
        <v>0.13791999999999999</v>
      </c>
      <c r="AN61" s="172">
        <v>0.66881000000000002</v>
      </c>
      <c r="AO61" s="172">
        <v>8.0170000000000005E-2</v>
      </c>
      <c r="AP61" s="172">
        <v>0.17846000000000001</v>
      </c>
      <c r="AQ61" s="172">
        <v>0.67164000000000001</v>
      </c>
      <c r="AR61" s="172">
        <v>0.26624999999999999</v>
      </c>
      <c r="AS61" s="172">
        <v>0.31512000000000001</v>
      </c>
      <c r="AT61" s="172">
        <v>4.8680000000000001E-2</v>
      </c>
      <c r="AU61" s="172">
        <v>0.16047</v>
      </c>
      <c r="AV61" s="172">
        <v>0.25433</v>
      </c>
      <c r="AW61" s="172">
        <v>0.31847999999999999</v>
      </c>
      <c r="AX61" s="172">
        <v>0.34231</v>
      </c>
      <c r="AY61" s="172">
        <v>9.4359999999999999E-2</v>
      </c>
      <c r="AZ61" s="172">
        <v>0.14662</v>
      </c>
      <c r="BA61" s="172">
        <v>0.19302</v>
      </c>
      <c r="BB61" s="172">
        <v>6.8720000000000003E-2</v>
      </c>
      <c r="BC61" s="172">
        <v>6.0440000000000001E-2</v>
      </c>
      <c r="BD61" s="172">
        <v>0.50780000000000003</v>
      </c>
      <c r="BE61" s="172">
        <v>0.45145999999999997</v>
      </c>
      <c r="BF61" s="172">
        <v>0.17652999999999999</v>
      </c>
      <c r="BG61" s="172">
        <v>7.8270000000000006E-2</v>
      </c>
      <c r="BH61" s="172">
        <v>5.6320000000000002E-2</v>
      </c>
      <c r="BI61" s="172">
        <v>0.54139999999999999</v>
      </c>
      <c r="BJ61" s="172">
        <v>0.64903</v>
      </c>
      <c r="BK61" s="172">
        <v>0.39387</v>
      </c>
      <c r="BL61" s="172">
        <v>0.30626999999999999</v>
      </c>
      <c r="BM61" s="172">
        <v>7.3969999999999994E-2</v>
      </c>
      <c r="BN61" s="172">
        <v>9.8589999999999997E-2</v>
      </c>
      <c r="BO61" s="172">
        <v>5.6160000000000002E-2</v>
      </c>
      <c r="BP61" s="172">
        <v>5.7509999999999999E-2</v>
      </c>
      <c r="BQ61" s="172">
        <v>6.6500000000000004E-2</v>
      </c>
      <c r="BR61" s="172">
        <v>0.22281000000000001</v>
      </c>
      <c r="BS61" s="172">
        <v>0.18815999999999999</v>
      </c>
      <c r="BT61" s="172">
        <v>0.29041</v>
      </c>
      <c r="BU61" s="172">
        <v>4.8590000000000001E-2</v>
      </c>
      <c r="BV61" s="172">
        <v>0.43955</v>
      </c>
      <c r="BW61" s="172">
        <v>0.13270999999999999</v>
      </c>
      <c r="BX61" s="172">
        <v>4.3900000000000002E-2</v>
      </c>
      <c r="BY61" s="172">
        <v>4.369E-2</v>
      </c>
      <c r="BZ61" s="172">
        <v>0.10857</v>
      </c>
      <c r="CA61" s="172">
        <v>8.3570000000000005E-2</v>
      </c>
      <c r="CB61" s="172">
        <v>9.2740000000000003E-2</v>
      </c>
      <c r="CC61" s="172">
        <v>0.37408000000000002</v>
      </c>
      <c r="CD61" s="172">
        <v>0.30177999999999999</v>
      </c>
      <c r="CE61" s="172">
        <v>9.536E-2</v>
      </c>
      <c r="CF61" s="172">
        <v>0.66527999999999998</v>
      </c>
      <c r="CG61" s="172">
        <v>0.40499000000000002</v>
      </c>
      <c r="CH61" s="172">
        <v>5.9069999999999998E-2</v>
      </c>
      <c r="CI61" s="172">
        <v>0.11171</v>
      </c>
      <c r="CJ61" s="172">
        <v>0.29491000000000001</v>
      </c>
      <c r="CK61" s="172">
        <v>0.15301000000000001</v>
      </c>
      <c r="CL61" s="172">
        <v>0.40076000000000001</v>
      </c>
      <c r="CM61" s="172">
        <v>0.12714</v>
      </c>
      <c r="CN61" s="172">
        <v>0.20011000000000001</v>
      </c>
      <c r="CO61" s="172">
        <v>0.56537000000000004</v>
      </c>
      <c r="CP61" s="172">
        <v>0.26384000000000002</v>
      </c>
      <c r="CQ61" s="172">
        <v>0.39567000000000002</v>
      </c>
      <c r="CR61" s="172">
        <v>0.13341</v>
      </c>
      <c r="CS61" s="172">
        <v>0.50749999999999995</v>
      </c>
      <c r="CT61" s="172">
        <v>0.63909000000000005</v>
      </c>
      <c r="CU61" s="172">
        <v>0.25685000000000002</v>
      </c>
      <c r="CV61" s="172">
        <v>0.54796</v>
      </c>
      <c r="CW61" s="172">
        <v>0.39782000000000001</v>
      </c>
    </row>
    <row r="62" spans="1:101">
      <c r="A62" s="171">
        <f t="shared" si="1"/>
        <v>620</v>
      </c>
      <c r="B62" s="171">
        <v>1</v>
      </c>
      <c r="C62" s="172">
        <v>0.82389999999999997</v>
      </c>
      <c r="D62" s="172">
        <v>0.55400000000000005</v>
      </c>
      <c r="E62" s="172">
        <v>9.7900000000000001E-2</v>
      </c>
      <c r="F62" s="172">
        <v>0.50566999999999995</v>
      </c>
      <c r="G62" s="172">
        <v>0.35063</v>
      </c>
      <c r="H62" s="172">
        <v>0.23230000000000001</v>
      </c>
      <c r="I62" s="172">
        <v>0.31900000000000001</v>
      </c>
      <c r="J62" s="172">
        <v>0.25684000000000001</v>
      </c>
      <c r="K62" s="172">
        <v>5.8430000000000003E-2</v>
      </c>
      <c r="L62" s="172">
        <v>0.84979000000000005</v>
      </c>
      <c r="M62" s="172">
        <v>0.42832999999999999</v>
      </c>
      <c r="N62" s="172">
        <v>0.62229999999999996</v>
      </c>
      <c r="O62" s="172">
        <v>0.24254000000000001</v>
      </c>
      <c r="P62" s="172">
        <v>0.48409999999999997</v>
      </c>
      <c r="Q62" s="172">
        <v>0.55469000000000002</v>
      </c>
      <c r="R62" s="172">
        <v>0.24970000000000001</v>
      </c>
      <c r="S62" s="172">
        <v>0.22076999999999999</v>
      </c>
      <c r="T62" s="172">
        <v>0.31569999999999998</v>
      </c>
      <c r="U62" s="172">
        <v>0.52749999999999997</v>
      </c>
      <c r="V62" s="172">
        <v>0.66127000000000002</v>
      </c>
      <c r="W62" s="172">
        <v>0.88378000000000001</v>
      </c>
      <c r="X62" s="172">
        <v>0.74695</v>
      </c>
      <c r="Y62" s="172">
        <v>0.82467000000000001</v>
      </c>
      <c r="Z62" s="172">
        <v>0.8639</v>
      </c>
      <c r="AA62" s="172">
        <v>0.51054999999999995</v>
      </c>
      <c r="AB62" s="172">
        <v>0.89159999999999995</v>
      </c>
      <c r="AC62" s="172">
        <v>0.44908999999999999</v>
      </c>
      <c r="AD62" s="172">
        <v>0.11813</v>
      </c>
      <c r="AE62" s="172">
        <v>0.76666999999999996</v>
      </c>
      <c r="AF62" s="172">
        <v>0.34450999999999998</v>
      </c>
      <c r="AG62" s="172">
        <v>0.78978000000000004</v>
      </c>
      <c r="AH62" s="172">
        <v>0.46629999999999999</v>
      </c>
      <c r="AI62" s="172">
        <v>0.78627000000000002</v>
      </c>
      <c r="AJ62" s="172">
        <v>0.28043000000000001</v>
      </c>
      <c r="AK62" s="172">
        <v>0.10894</v>
      </c>
      <c r="AL62" s="172">
        <v>0.55518000000000001</v>
      </c>
      <c r="AM62" s="172">
        <v>0.13100000000000001</v>
      </c>
      <c r="AN62" s="172">
        <v>0.67059999999999997</v>
      </c>
      <c r="AO62" s="172">
        <v>8.0890000000000004E-2</v>
      </c>
      <c r="AP62" s="172">
        <v>0.18157000000000001</v>
      </c>
      <c r="AQ62" s="172">
        <v>0.67249999999999999</v>
      </c>
      <c r="AR62" s="172">
        <v>0.25696000000000002</v>
      </c>
      <c r="AS62" s="172">
        <v>0.31440000000000001</v>
      </c>
      <c r="AT62" s="172">
        <v>4.8899999999999999E-2</v>
      </c>
      <c r="AU62" s="172">
        <v>0.15739</v>
      </c>
      <c r="AV62" s="172">
        <v>0.24629999999999999</v>
      </c>
      <c r="AW62" s="172">
        <v>0.31559999999999999</v>
      </c>
      <c r="AX62" s="172">
        <v>0.32117000000000001</v>
      </c>
      <c r="AY62" s="172">
        <v>9.1899999999999996E-2</v>
      </c>
      <c r="AZ62" s="172">
        <v>0.14618</v>
      </c>
      <c r="BA62" s="172">
        <v>0.19233</v>
      </c>
      <c r="BB62" s="172">
        <v>6.8940000000000001E-2</v>
      </c>
      <c r="BC62" s="172">
        <v>5.9400000000000001E-2</v>
      </c>
      <c r="BD62" s="172">
        <v>0.50090000000000001</v>
      </c>
      <c r="BE62" s="172">
        <v>0.44791999999999998</v>
      </c>
      <c r="BF62" s="172">
        <v>0.17054</v>
      </c>
      <c r="BG62" s="172">
        <v>7.6300000000000007E-2</v>
      </c>
      <c r="BH62" s="172">
        <v>5.3850000000000002E-2</v>
      </c>
      <c r="BI62" s="172">
        <v>0.53769999999999996</v>
      </c>
      <c r="BJ62" s="172">
        <v>0.65032000000000001</v>
      </c>
      <c r="BK62" s="172">
        <v>0.39388000000000001</v>
      </c>
      <c r="BL62" s="172">
        <v>0.30778</v>
      </c>
      <c r="BM62" s="172">
        <v>7.0800000000000002E-2</v>
      </c>
      <c r="BN62" s="172">
        <v>9.6750000000000003E-2</v>
      </c>
      <c r="BO62" s="172">
        <v>4.9349999999999998E-2</v>
      </c>
      <c r="BP62" s="172">
        <v>5.7099999999999998E-2</v>
      </c>
      <c r="BQ62" s="172">
        <v>6.6100000000000006E-2</v>
      </c>
      <c r="BR62" s="172">
        <v>0.22444</v>
      </c>
      <c r="BS62" s="172">
        <v>0.19156000000000001</v>
      </c>
      <c r="BT62" s="172">
        <v>0.29121000000000002</v>
      </c>
      <c r="BU62" s="172">
        <v>4.5900000000000003E-2</v>
      </c>
      <c r="BV62" s="172">
        <v>0.44113999999999998</v>
      </c>
      <c r="BW62" s="172">
        <v>0.13047</v>
      </c>
      <c r="BX62" s="172">
        <v>4.4080000000000001E-2</v>
      </c>
      <c r="BY62" s="172">
        <v>4.1300000000000003E-2</v>
      </c>
      <c r="BZ62" s="172">
        <v>0.1087</v>
      </c>
      <c r="CA62" s="172">
        <v>8.8859999999999995E-2</v>
      </c>
      <c r="CB62" s="172">
        <v>9.0950000000000003E-2</v>
      </c>
      <c r="CC62" s="172">
        <v>0.38114999999999999</v>
      </c>
      <c r="CD62" s="172">
        <v>0.30937999999999999</v>
      </c>
      <c r="CE62" s="172">
        <v>9.9779999999999994E-2</v>
      </c>
      <c r="CF62" s="172">
        <v>0.6663</v>
      </c>
      <c r="CG62" s="172">
        <v>0.40329999999999999</v>
      </c>
      <c r="CH62" s="172">
        <v>6.0440000000000001E-2</v>
      </c>
      <c r="CI62" s="172">
        <v>0.11602999999999999</v>
      </c>
      <c r="CJ62" s="172">
        <v>0.33339000000000002</v>
      </c>
      <c r="CK62" s="172">
        <v>0.15637999999999999</v>
      </c>
      <c r="CL62" s="172">
        <v>0.41563</v>
      </c>
      <c r="CM62" s="172">
        <v>0.13391</v>
      </c>
      <c r="CN62" s="172">
        <v>0.20569999999999999</v>
      </c>
      <c r="CO62" s="172">
        <v>0.57660999999999996</v>
      </c>
      <c r="CP62" s="172">
        <v>0.29849999999999999</v>
      </c>
      <c r="CQ62" s="172">
        <v>0.41782999999999998</v>
      </c>
      <c r="CR62" s="172">
        <v>0.15364</v>
      </c>
      <c r="CS62" s="172">
        <v>0.54613999999999996</v>
      </c>
      <c r="CT62" s="172">
        <v>0.67240999999999995</v>
      </c>
      <c r="CU62" s="172">
        <v>0.255</v>
      </c>
      <c r="CV62" s="172">
        <v>0.55154000000000003</v>
      </c>
      <c r="CW62" s="172">
        <v>0.4451</v>
      </c>
    </row>
    <row r="63" spans="1:101">
      <c r="A63" s="171">
        <f t="shared" si="1"/>
        <v>625</v>
      </c>
      <c r="B63" s="171">
        <v>1</v>
      </c>
      <c r="C63" s="172">
        <v>0.83426999999999996</v>
      </c>
      <c r="D63" s="172">
        <v>0.57872000000000001</v>
      </c>
      <c r="E63" s="172">
        <v>0.10928</v>
      </c>
      <c r="F63" s="172">
        <v>0.50819000000000003</v>
      </c>
      <c r="G63" s="172">
        <v>0.41726000000000002</v>
      </c>
      <c r="H63" s="172">
        <v>0.23215</v>
      </c>
      <c r="I63" s="172">
        <v>0.36580000000000001</v>
      </c>
      <c r="J63" s="172">
        <v>0.30365999999999999</v>
      </c>
      <c r="K63" s="172">
        <v>5.8700000000000002E-2</v>
      </c>
      <c r="L63" s="172">
        <v>0.85636999999999996</v>
      </c>
      <c r="M63" s="172">
        <v>0.43684000000000001</v>
      </c>
      <c r="N63" s="172">
        <v>0.63768999999999998</v>
      </c>
      <c r="O63" s="172">
        <v>0.25030000000000002</v>
      </c>
      <c r="P63" s="172">
        <v>0.48498000000000002</v>
      </c>
      <c r="Q63" s="172">
        <v>0.56418999999999997</v>
      </c>
      <c r="R63" s="172">
        <v>0.27223000000000003</v>
      </c>
      <c r="S63" s="172">
        <v>0.22081000000000001</v>
      </c>
      <c r="T63" s="172">
        <v>0.32272000000000001</v>
      </c>
      <c r="U63" s="172">
        <v>0.52676000000000001</v>
      </c>
      <c r="V63" s="172">
        <v>0.69166000000000005</v>
      </c>
      <c r="W63" s="172">
        <v>0.88788999999999996</v>
      </c>
      <c r="X63" s="172">
        <v>0.75688999999999995</v>
      </c>
      <c r="Y63" s="172">
        <v>0.82635999999999998</v>
      </c>
      <c r="Z63" s="172">
        <v>0.86263000000000001</v>
      </c>
      <c r="AA63" s="172">
        <v>0.50983999999999996</v>
      </c>
      <c r="AB63" s="172">
        <v>0.89487000000000005</v>
      </c>
      <c r="AC63" s="172">
        <v>0.44918999999999998</v>
      </c>
      <c r="AD63" s="172">
        <v>0.11937</v>
      </c>
      <c r="AE63" s="172">
        <v>0.77307999999999999</v>
      </c>
      <c r="AF63" s="172">
        <v>0.34660999999999997</v>
      </c>
      <c r="AG63" s="172">
        <v>0.79337999999999997</v>
      </c>
      <c r="AH63" s="172">
        <v>0.46622999999999998</v>
      </c>
      <c r="AI63" s="172">
        <v>0.78844000000000003</v>
      </c>
      <c r="AJ63" s="172">
        <v>0.27706999999999998</v>
      </c>
      <c r="AK63" s="172">
        <v>0.10738</v>
      </c>
      <c r="AL63" s="172">
        <v>0.55745999999999996</v>
      </c>
      <c r="AM63" s="172">
        <v>0.12386</v>
      </c>
      <c r="AN63" s="172">
        <v>0.67137999999999998</v>
      </c>
      <c r="AO63" s="172">
        <v>8.1470000000000001E-2</v>
      </c>
      <c r="AP63" s="172">
        <v>0.18390999999999999</v>
      </c>
      <c r="AQ63" s="172">
        <v>0.67464000000000002</v>
      </c>
      <c r="AR63" s="172">
        <v>0.24839</v>
      </c>
      <c r="AS63" s="172">
        <v>0.31336000000000003</v>
      </c>
      <c r="AT63" s="172">
        <v>4.9180000000000001E-2</v>
      </c>
      <c r="AU63" s="172">
        <v>0.15454000000000001</v>
      </c>
      <c r="AV63" s="172">
        <v>0.24004</v>
      </c>
      <c r="AW63" s="172">
        <v>0.31635999999999997</v>
      </c>
      <c r="AX63" s="172">
        <v>0.30176999999999998</v>
      </c>
      <c r="AY63" s="172">
        <v>9.0279999999999999E-2</v>
      </c>
      <c r="AZ63" s="172">
        <v>0.14745</v>
      </c>
      <c r="BA63" s="172">
        <v>0.19417999999999999</v>
      </c>
      <c r="BB63" s="172">
        <v>6.923E-2</v>
      </c>
      <c r="BC63" s="172">
        <v>5.8779999999999999E-2</v>
      </c>
      <c r="BD63" s="172">
        <v>0.49797999999999998</v>
      </c>
      <c r="BE63" s="172">
        <v>0.44644</v>
      </c>
      <c r="BF63" s="172">
        <v>0.16621</v>
      </c>
      <c r="BG63" s="172">
        <v>7.4480000000000005E-2</v>
      </c>
      <c r="BH63" s="172">
        <v>5.246E-2</v>
      </c>
      <c r="BI63" s="172">
        <v>0.53473000000000004</v>
      </c>
      <c r="BJ63" s="172">
        <v>0.65198999999999996</v>
      </c>
      <c r="BK63" s="172">
        <v>0.39495000000000002</v>
      </c>
      <c r="BL63" s="172">
        <v>0.30842999999999998</v>
      </c>
      <c r="BM63" s="172">
        <v>6.7879999999999996E-2</v>
      </c>
      <c r="BN63" s="172">
        <v>9.5670000000000005E-2</v>
      </c>
      <c r="BO63" s="172">
        <v>4.2950000000000002E-2</v>
      </c>
      <c r="BP63" s="172">
        <v>5.6800000000000003E-2</v>
      </c>
      <c r="BQ63" s="172">
        <v>6.5890000000000004E-2</v>
      </c>
      <c r="BR63" s="172">
        <v>0.22570999999999999</v>
      </c>
      <c r="BS63" s="172">
        <v>0.19395999999999999</v>
      </c>
      <c r="BT63" s="172">
        <v>0.29205999999999999</v>
      </c>
      <c r="BU63" s="172">
        <v>4.4429999999999997E-2</v>
      </c>
      <c r="BV63" s="172">
        <v>0.44227</v>
      </c>
      <c r="BW63" s="172">
        <v>0.12776999999999999</v>
      </c>
      <c r="BX63" s="172">
        <v>4.4200000000000003E-2</v>
      </c>
      <c r="BY63" s="172">
        <v>3.9969999999999999E-2</v>
      </c>
      <c r="BZ63" s="172">
        <v>0.10986</v>
      </c>
      <c r="CA63" s="172">
        <v>9.6809999999999993E-2</v>
      </c>
      <c r="CB63" s="172">
        <v>8.8200000000000001E-2</v>
      </c>
      <c r="CC63" s="172">
        <v>0.39034999999999997</v>
      </c>
      <c r="CD63" s="172">
        <v>0.31796000000000002</v>
      </c>
      <c r="CE63" s="172">
        <v>0.11368</v>
      </c>
      <c r="CF63" s="172">
        <v>0.66737000000000002</v>
      </c>
      <c r="CG63" s="172">
        <v>0.40177000000000002</v>
      </c>
      <c r="CH63" s="172">
        <v>6.132E-2</v>
      </c>
      <c r="CI63" s="172">
        <v>0.12275999999999999</v>
      </c>
      <c r="CJ63" s="172">
        <v>0.38324999999999998</v>
      </c>
      <c r="CK63" s="172">
        <v>0.15926999999999999</v>
      </c>
      <c r="CL63" s="172">
        <v>0.42508000000000001</v>
      </c>
      <c r="CM63" s="172">
        <v>0.13922000000000001</v>
      </c>
      <c r="CN63" s="172">
        <v>0.20999000000000001</v>
      </c>
      <c r="CO63" s="172">
        <v>0.58748999999999996</v>
      </c>
      <c r="CP63" s="172">
        <v>0.33517999999999998</v>
      </c>
      <c r="CQ63" s="172">
        <v>0.44203999999999999</v>
      </c>
      <c r="CR63" s="172">
        <v>0.17791000000000001</v>
      </c>
      <c r="CS63" s="172">
        <v>0.58067999999999997</v>
      </c>
      <c r="CT63" s="172">
        <v>0.70387</v>
      </c>
      <c r="CU63" s="172">
        <v>0.25496000000000002</v>
      </c>
      <c r="CV63" s="172">
        <v>0.55303000000000002</v>
      </c>
      <c r="CW63" s="172">
        <v>0.48712</v>
      </c>
    </row>
    <row r="64" spans="1:101">
      <c r="A64" s="171">
        <f t="shared" si="1"/>
        <v>630</v>
      </c>
      <c r="B64" s="171">
        <v>1</v>
      </c>
      <c r="C64" s="172">
        <v>0.84279999999999999</v>
      </c>
      <c r="D64" s="172">
        <v>0.60029999999999994</v>
      </c>
      <c r="E64" s="172">
        <v>0.12064</v>
      </c>
      <c r="F64" s="172">
        <v>0.51009000000000004</v>
      </c>
      <c r="G64" s="172">
        <v>0.48613000000000001</v>
      </c>
      <c r="H64" s="172">
        <v>0.23457</v>
      </c>
      <c r="I64" s="172">
        <v>0.40400000000000003</v>
      </c>
      <c r="J64" s="172">
        <v>0.34959000000000001</v>
      </c>
      <c r="K64" s="172">
        <v>5.8939999999999999E-2</v>
      </c>
      <c r="L64" s="172">
        <v>0.86216999999999999</v>
      </c>
      <c r="M64" s="172">
        <v>0.44755</v>
      </c>
      <c r="N64" s="172">
        <v>0.64759</v>
      </c>
      <c r="O64" s="172">
        <v>0.25485000000000002</v>
      </c>
      <c r="P64" s="172">
        <v>0.48559999999999998</v>
      </c>
      <c r="Q64" s="172">
        <v>0.57172000000000001</v>
      </c>
      <c r="R64" s="172">
        <v>0.29482999999999998</v>
      </c>
      <c r="S64" s="172">
        <v>0.22303000000000001</v>
      </c>
      <c r="T64" s="172">
        <v>0.32890000000000003</v>
      </c>
      <c r="U64" s="172">
        <v>0.52600000000000002</v>
      </c>
      <c r="V64" s="172">
        <v>0.7127</v>
      </c>
      <c r="W64" s="172">
        <v>0.89151999999999998</v>
      </c>
      <c r="X64" s="172">
        <v>0.76575000000000004</v>
      </c>
      <c r="Y64" s="172">
        <v>0.82855000000000001</v>
      </c>
      <c r="Z64" s="172">
        <v>0.86099999999999999</v>
      </c>
      <c r="AA64" s="172">
        <v>0.50953000000000004</v>
      </c>
      <c r="AB64" s="172">
        <v>0.89739999999999998</v>
      </c>
      <c r="AC64" s="172">
        <v>0.45155000000000001</v>
      </c>
      <c r="AD64" s="172">
        <v>0.11881</v>
      </c>
      <c r="AE64" s="172">
        <v>0.77881999999999996</v>
      </c>
      <c r="AF64" s="172">
        <v>0.34778999999999999</v>
      </c>
      <c r="AG64" s="172">
        <v>0.79693999999999998</v>
      </c>
      <c r="AH64" s="172">
        <v>0.47199999999999998</v>
      </c>
      <c r="AI64" s="172">
        <v>0.79027999999999998</v>
      </c>
      <c r="AJ64" s="172">
        <v>0.27413999999999999</v>
      </c>
      <c r="AK64" s="172">
        <v>0.10598</v>
      </c>
      <c r="AL64" s="172">
        <v>0.55801000000000001</v>
      </c>
      <c r="AM64" s="172">
        <v>0.11700000000000001</v>
      </c>
      <c r="AN64" s="172">
        <v>0.67118999999999995</v>
      </c>
      <c r="AO64" s="172">
        <v>8.1920000000000007E-2</v>
      </c>
      <c r="AP64" s="172">
        <v>0.18568999999999999</v>
      </c>
      <c r="AQ64" s="172">
        <v>0.67889999999999995</v>
      </c>
      <c r="AR64" s="172">
        <v>0.24177000000000001</v>
      </c>
      <c r="AS64" s="172">
        <v>0.31169999999999998</v>
      </c>
      <c r="AT64" s="172">
        <v>4.9500000000000002E-2</v>
      </c>
      <c r="AU64" s="172">
        <v>0.15364</v>
      </c>
      <c r="AV64" s="172">
        <v>0.2349</v>
      </c>
      <c r="AW64" s="172">
        <v>0.3221</v>
      </c>
      <c r="AX64" s="172">
        <v>0.28420000000000001</v>
      </c>
      <c r="AY64" s="172">
        <v>8.9499999999999996E-2</v>
      </c>
      <c r="AZ64" s="172">
        <v>0.15004999999999999</v>
      </c>
      <c r="BA64" s="172">
        <v>0.19788</v>
      </c>
      <c r="BB64" s="172">
        <v>6.966E-2</v>
      </c>
      <c r="BC64" s="172">
        <v>5.8400000000000001E-2</v>
      </c>
      <c r="BD64" s="172">
        <v>0.49759999999999999</v>
      </c>
      <c r="BE64" s="172">
        <v>0.44630999999999998</v>
      </c>
      <c r="BF64" s="172">
        <v>0.16281000000000001</v>
      </c>
      <c r="BG64" s="172">
        <v>7.2900000000000006E-2</v>
      </c>
      <c r="BH64" s="172">
        <v>5.1700000000000003E-2</v>
      </c>
      <c r="BI64" s="172">
        <v>0.53190000000000004</v>
      </c>
      <c r="BJ64" s="172">
        <v>0.65429999999999999</v>
      </c>
      <c r="BK64" s="172">
        <v>0.39685999999999999</v>
      </c>
      <c r="BL64" s="172">
        <v>0.30876999999999999</v>
      </c>
      <c r="BM64" s="172">
        <v>6.5390000000000004E-2</v>
      </c>
      <c r="BN64" s="172">
        <v>9.5000000000000001E-2</v>
      </c>
      <c r="BO64" s="172">
        <v>3.6940000000000001E-2</v>
      </c>
      <c r="BP64" s="172">
        <v>5.6599999999999998E-2</v>
      </c>
      <c r="BQ64" s="172">
        <v>6.5699999999999995E-2</v>
      </c>
      <c r="BR64" s="172">
        <v>0.22681000000000001</v>
      </c>
      <c r="BS64" s="172">
        <v>0.19558</v>
      </c>
      <c r="BT64" s="172">
        <v>0.29307</v>
      </c>
      <c r="BU64" s="172">
        <v>4.3700000000000003E-2</v>
      </c>
      <c r="BV64" s="172">
        <v>0.44309999999999999</v>
      </c>
      <c r="BW64" s="172">
        <v>0.1255</v>
      </c>
      <c r="BX64" s="172">
        <v>4.428E-2</v>
      </c>
      <c r="BY64" s="172">
        <v>3.95E-2</v>
      </c>
      <c r="BZ64" s="172">
        <v>0.1119</v>
      </c>
      <c r="CA64" s="172">
        <v>0.10784000000000001</v>
      </c>
      <c r="CB64" s="172">
        <v>8.5589999999999999E-2</v>
      </c>
      <c r="CC64" s="172">
        <v>0.40398000000000001</v>
      </c>
      <c r="CD64" s="172">
        <v>0.32801999999999998</v>
      </c>
      <c r="CE64" s="172">
        <v>0.13297</v>
      </c>
      <c r="CF64" s="172">
        <v>0.66839999999999999</v>
      </c>
      <c r="CG64" s="172">
        <v>0.40239999999999998</v>
      </c>
      <c r="CH64" s="172">
        <v>6.1830000000000003E-2</v>
      </c>
      <c r="CI64" s="172">
        <v>0.12916</v>
      </c>
      <c r="CJ64" s="172">
        <v>0.44220999999999999</v>
      </c>
      <c r="CK64" s="172">
        <v>0.16203999999999999</v>
      </c>
      <c r="CL64" s="172">
        <v>0.42953000000000002</v>
      </c>
      <c r="CM64" s="172">
        <v>0.1439</v>
      </c>
      <c r="CN64" s="172">
        <v>0.21340000000000001</v>
      </c>
      <c r="CO64" s="172">
        <v>0.59585999999999995</v>
      </c>
      <c r="CP64" s="172">
        <v>0.37373000000000001</v>
      </c>
      <c r="CQ64" s="172">
        <v>0.46839999999999998</v>
      </c>
      <c r="CR64" s="172">
        <v>0.20530000000000001</v>
      </c>
      <c r="CS64" s="172">
        <v>0.61187000000000002</v>
      </c>
      <c r="CT64" s="172">
        <v>0.73294000000000004</v>
      </c>
      <c r="CU64" s="172">
        <v>0.25619999999999998</v>
      </c>
      <c r="CV64" s="172">
        <v>0.55484</v>
      </c>
      <c r="CW64" s="172">
        <v>0.52280000000000004</v>
      </c>
    </row>
    <row r="65" spans="1:101">
      <c r="A65" s="171">
        <f t="shared" si="1"/>
        <v>635</v>
      </c>
      <c r="B65" s="171">
        <v>1</v>
      </c>
      <c r="C65" s="172">
        <v>0.84970999999999997</v>
      </c>
      <c r="D65" s="172">
        <v>0.61963000000000001</v>
      </c>
      <c r="E65" s="172">
        <v>0.12748999999999999</v>
      </c>
      <c r="F65" s="172">
        <v>0.51141999999999999</v>
      </c>
      <c r="G65" s="172">
        <v>0.5514</v>
      </c>
      <c r="H65" s="172">
        <v>0.24132000000000001</v>
      </c>
      <c r="I65" s="172">
        <v>0.43171999999999999</v>
      </c>
      <c r="J65" s="172">
        <v>0.39266000000000001</v>
      </c>
      <c r="K65" s="172">
        <v>5.917E-2</v>
      </c>
      <c r="L65" s="172">
        <v>0.86695</v>
      </c>
      <c r="M65" s="172">
        <v>0.46045000000000003</v>
      </c>
      <c r="N65" s="172">
        <v>0.65705000000000002</v>
      </c>
      <c r="O65" s="172">
        <v>0.25780999999999998</v>
      </c>
      <c r="P65" s="172">
        <v>0.48607</v>
      </c>
      <c r="Q65" s="172">
        <v>0.57820000000000005</v>
      </c>
      <c r="R65" s="172">
        <v>0.31669000000000003</v>
      </c>
      <c r="S65" s="172">
        <v>0.22881000000000001</v>
      </c>
      <c r="T65" s="172">
        <v>0.33485999999999999</v>
      </c>
      <c r="U65" s="172">
        <v>0.52534000000000003</v>
      </c>
      <c r="V65" s="172">
        <v>0.72818000000000005</v>
      </c>
      <c r="W65" s="172">
        <v>0.89441999999999999</v>
      </c>
      <c r="X65" s="172">
        <v>0.77407000000000004</v>
      </c>
      <c r="Y65" s="172">
        <v>0.83152000000000004</v>
      </c>
      <c r="Z65" s="172">
        <v>0.85897999999999997</v>
      </c>
      <c r="AA65" s="172">
        <v>0.50934999999999997</v>
      </c>
      <c r="AB65" s="172">
        <v>0.89946000000000004</v>
      </c>
      <c r="AC65" s="172">
        <v>0.45456000000000002</v>
      </c>
      <c r="AD65" s="172">
        <v>0.11634</v>
      </c>
      <c r="AE65" s="172">
        <v>0.78351000000000004</v>
      </c>
      <c r="AF65" s="172">
        <v>0.35039999999999999</v>
      </c>
      <c r="AG65" s="172">
        <v>0.80012000000000005</v>
      </c>
      <c r="AH65" s="172">
        <v>0.48518</v>
      </c>
      <c r="AI65" s="172">
        <v>0.79278000000000004</v>
      </c>
      <c r="AJ65" s="172">
        <v>0.27140999999999998</v>
      </c>
      <c r="AK65" s="172">
        <v>0.10468</v>
      </c>
      <c r="AL65" s="172">
        <v>0.55701999999999996</v>
      </c>
      <c r="AM65" s="172">
        <v>0.11101</v>
      </c>
      <c r="AN65" s="172">
        <v>0.67049000000000003</v>
      </c>
      <c r="AO65" s="172">
        <v>8.233E-2</v>
      </c>
      <c r="AP65" s="172">
        <v>0.18725</v>
      </c>
      <c r="AQ65" s="172">
        <v>0.68615999999999999</v>
      </c>
      <c r="AR65" s="172">
        <v>0.2384</v>
      </c>
      <c r="AS65" s="172">
        <v>0.30968000000000001</v>
      </c>
      <c r="AT65" s="172">
        <v>4.9840000000000002E-2</v>
      </c>
      <c r="AU65" s="172">
        <v>0.15204000000000001</v>
      </c>
      <c r="AV65" s="172">
        <v>0.23025000000000001</v>
      </c>
      <c r="AW65" s="172">
        <v>0.33395000000000002</v>
      </c>
      <c r="AX65" s="172">
        <v>0.26844000000000001</v>
      </c>
      <c r="AY65" s="172">
        <v>8.9510000000000006E-2</v>
      </c>
      <c r="AZ65" s="172">
        <v>0.15357999999999999</v>
      </c>
      <c r="BA65" s="172">
        <v>0.20263999999999999</v>
      </c>
      <c r="BB65" s="172">
        <v>7.0400000000000004E-2</v>
      </c>
      <c r="BC65" s="172">
        <v>5.8119999999999998E-2</v>
      </c>
      <c r="BD65" s="172">
        <v>0.49839</v>
      </c>
      <c r="BE65" s="172">
        <v>0.44699</v>
      </c>
      <c r="BF65" s="172">
        <v>0.15981000000000001</v>
      </c>
      <c r="BG65" s="172">
        <v>7.1730000000000002E-2</v>
      </c>
      <c r="BH65" s="172">
        <v>5.1220000000000002E-2</v>
      </c>
      <c r="BI65" s="172">
        <v>0.52907999999999999</v>
      </c>
      <c r="BJ65" s="172">
        <v>0.65764</v>
      </c>
      <c r="BK65" s="172">
        <v>0.39943000000000001</v>
      </c>
      <c r="BL65" s="172">
        <v>0.30964000000000003</v>
      </c>
      <c r="BM65" s="172">
        <v>6.3460000000000003E-2</v>
      </c>
      <c r="BN65" s="172">
        <v>9.4539999999999999E-2</v>
      </c>
      <c r="BO65" s="172">
        <v>3.1329999999999997E-2</v>
      </c>
      <c r="BP65" s="172">
        <v>5.6500000000000002E-2</v>
      </c>
      <c r="BQ65" s="172">
        <v>6.547E-2</v>
      </c>
      <c r="BR65" s="172">
        <v>0.22806999999999999</v>
      </c>
      <c r="BS65" s="172">
        <v>0.19681999999999999</v>
      </c>
      <c r="BT65" s="172">
        <v>0.29449999999999998</v>
      </c>
      <c r="BU65" s="172">
        <v>4.3310000000000001E-2</v>
      </c>
      <c r="BV65" s="172">
        <v>0.44396999999999998</v>
      </c>
      <c r="BW65" s="172">
        <v>0.12447</v>
      </c>
      <c r="BX65" s="172">
        <v>4.4420000000000001E-2</v>
      </c>
      <c r="BY65" s="172">
        <v>3.9699999999999999E-2</v>
      </c>
      <c r="BZ65" s="172">
        <v>0.11481</v>
      </c>
      <c r="CA65" s="172">
        <v>0.12216</v>
      </c>
      <c r="CB65" s="172">
        <v>8.4150000000000003E-2</v>
      </c>
      <c r="CC65" s="172">
        <v>0.42415000000000003</v>
      </c>
      <c r="CD65" s="172">
        <v>0.34004000000000001</v>
      </c>
      <c r="CE65" s="172">
        <v>0.16167000000000001</v>
      </c>
      <c r="CF65" s="172">
        <v>0.66966000000000003</v>
      </c>
      <c r="CG65" s="172">
        <v>0.40703</v>
      </c>
      <c r="CH65" s="172">
        <v>6.2140000000000001E-2</v>
      </c>
      <c r="CI65" s="172">
        <v>0.13825999999999999</v>
      </c>
      <c r="CJ65" s="172">
        <v>0.50670000000000004</v>
      </c>
      <c r="CK65" s="172">
        <v>0.16492000000000001</v>
      </c>
      <c r="CL65" s="172">
        <v>0.4299</v>
      </c>
      <c r="CM65" s="172">
        <v>0.14909</v>
      </c>
      <c r="CN65" s="172">
        <v>0.21626000000000001</v>
      </c>
      <c r="CO65" s="172">
        <v>0.60145999999999999</v>
      </c>
      <c r="CP65" s="172">
        <v>0.41399000000000002</v>
      </c>
      <c r="CQ65" s="172">
        <v>0.49679000000000001</v>
      </c>
      <c r="CR65" s="172">
        <v>0.23477000000000001</v>
      </c>
      <c r="CS65" s="172">
        <v>0.64119000000000004</v>
      </c>
      <c r="CT65" s="172">
        <v>0.75943000000000005</v>
      </c>
      <c r="CU65" s="172">
        <v>0.25835000000000002</v>
      </c>
      <c r="CV65" s="172">
        <v>0.55911999999999995</v>
      </c>
      <c r="CW65" s="172">
        <v>0.55159000000000002</v>
      </c>
    </row>
    <row r="66" spans="1:101">
      <c r="A66" s="171">
        <f t="shared" si="1"/>
        <v>640</v>
      </c>
      <c r="B66" s="171">
        <v>1</v>
      </c>
      <c r="C66" s="172">
        <v>0.85560000000000003</v>
      </c>
      <c r="D66" s="172">
        <v>0.63670000000000004</v>
      </c>
      <c r="E66" s="172">
        <v>0.13322000000000001</v>
      </c>
      <c r="F66" s="172">
        <v>0.51261999999999996</v>
      </c>
      <c r="G66" s="172">
        <v>0.61007</v>
      </c>
      <c r="H66" s="172">
        <v>0.25369000000000003</v>
      </c>
      <c r="I66" s="172">
        <v>0.45029999999999998</v>
      </c>
      <c r="J66" s="172">
        <v>0.43125000000000002</v>
      </c>
      <c r="K66" s="172">
        <v>5.9659999999999998E-2</v>
      </c>
      <c r="L66" s="172">
        <v>0.87063999999999997</v>
      </c>
      <c r="M66" s="172">
        <v>0.47494999999999998</v>
      </c>
      <c r="N66" s="172">
        <v>0.66605999999999999</v>
      </c>
      <c r="O66" s="172">
        <v>0.26021</v>
      </c>
      <c r="P66" s="172">
        <v>0.48670000000000002</v>
      </c>
      <c r="Q66" s="172">
        <v>0.58394999999999997</v>
      </c>
      <c r="R66" s="172">
        <v>0.33779999999999999</v>
      </c>
      <c r="S66" s="172">
        <v>0.23899999999999999</v>
      </c>
      <c r="T66" s="172">
        <v>0.34079999999999999</v>
      </c>
      <c r="U66" s="172">
        <v>0.52459999999999996</v>
      </c>
      <c r="V66" s="172">
        <v>0.74021000000000003</v>
      </c>
      <c r="W66" s="172">
        <v>0.89688999999999997</v>
      </c>
      <c r="X66" s="172">
        <v>0.78137000000000001</v>
      </c>
      <c r="Y66" s="172">
        <v>0.83481000000000005</v>
      </c>
      <c r="Z66" s="172">
        <v>0.85699999999999998</v>
      </c>
      <c r="AA66" s="172">
        <v>0.51270000000000004</v>
      </c>
      <c r="AB66" s="172">
        <v>0.90110000000000001</v>
      </c>
      <c r="AC66" s="172">
        <v>0.45680999999999999</v>
      </c>
      <c r="AD66" s="172">
        <v>0.11620999999999999</v>
      </c>
      <c r="AE66" s="172">
        <v>0.78708999999999996</v>
      </c>
      <c r="AF66" s="172">
        <v>0.35437999999999997</v>
      </c>
      <c r="AG66" s="172">
        <v>0.80264000000000002</v>
      </c>
      <c r="AH66" s="172">
        <v>0.50609999999999999</v>
      </c>
      <c r="AI66" s="172">
        <v>0.79527999999999999</v>
      </c>
      <c r="AJ66" s="172">
        <v>0.26884999999999998</v>
      </c>
      <c r="AK66" s="172">
        <v>0.10349</v>
      </c>
      <c r="AL66" s="172">
        <v>0.55717000000000005</v>
      </c>
      <c r="AM66" s="172">
        <v>0.105</v>
      </c>
      <c r="AN66" s="172">
        <v>0.67040999999999995</v>
      </c>
      <c r="AO66" s="172">
        <v>8.2949999999999996E-2</v>
      </c>
      <c r="AP66" s="172">
        <v>0.1893</v>
      </c>
      <c r="AQ66" s="172">
        <v>0.69710000000000005</v>
      </c>
      <c r="AR66" s="172">
        <v>0.23909</v>
      </c>
      <c r="AS66" s="172">
        <v>0.30730000000000002</v>
      </c>
      <c r="AT66" s="172">
        <v>5.0200000000000002E-2</v>
      </c>
      <c r="AU66" s="172">
        <v>0.15024000000000001</v>
      </c>
      <c r="AV66" s="172">
        <v>0.22600000000000001</v>
      </c>
      <c r="AW66" s="172">
        <v>0.35249999999999998</v>
      </c>
      <c r="AX66" s="172">
        <v>0.25429000000000002</v>
      </c>
      <c r="AY66" s="172">
        <v>9.0039999999999995E-2</v>
      </c>
      <c r="AZ66" s="172">
        <v>0.15828999999999999</v>
      </c>
      <c r="BA66" s="172">
        <v>0.2089</v>
      </c>
      <c r="BB66" s="172">
        <v>7.1819999999999995E-2</v>
      </c>
      <c r="BC66" s="172">
        <v>5.79E-2</v>
      </c>
      <c r="BD66" s="172">
        <v>0.4995</v>
      </c>
      <c r="BE66" s="172">
        <v>0.44862000000000002</v>
      </c>
      <c r="BF66" s="172">
        <v>0.15704000000000001</v>
      </c>
      <c r="BG66" s="172">
        <v>7.0099999999999996E-2</v>
      </c>
      <c r="BH66" s="172">
        <v>5.0939999999999999E-2</v>
      </c>
      <c r="BI66" s="172">
        <v>0.52749999999999997</v>
      </c>
      <c r="BJ66" s="172">
        <v>0.66202000000000005</v>
      </c>
      <c r="BK66" s="172">
        <v>0.40282000000000001</v>
      </c>
      <c r="BL66" s="172">
        <v>0.31175000000000003</v>
      </c>
      <c r="BM66" s="172">
        <v>6.1890000000000001E-2</v>
      </c>
      <c r="BN66" s="172">
        <v>9.4399999999999998E-2</v>
      </c>
      <c r="BO66" s="172">
        <v>2.631E-2</v>
      </c>
      <c r="BP66" s="172">
        <v>5.6500000000000002E-2</v>
      </c>
      <c r="BQ66" s="172">
        <v>6.54E-2</v>
      </c>
      <c r="BR66" s="172">
        <v>0.23021</v>
      </c>
      <c r="BS66" s="172">
        <v>0.19847000000000001</v>
      </c>
      <c r="BT66" s="172">
        <v>0.29687999999999998</v>
      </c>
      <c r="BU66" s="172">
        <v>4.3099999999999999E-2</v>
      </c>
      <c r="BV66" s="172">
        <v>0.44536999999999999</v>
      </c>
      <c r="BW66" s="172">
        <v>0.12520000000000001</v>
      </c>
      <c r="BX66" s="172">
        <v>4.478E-2</v>
      </c>
      <c r="BY66" s="172">
        <v>4.0300000000000002E-2</v>
      </c>
      <c r="BZ66" s="172">
        <v>0.11940000000000001</v>
      </c>
      <c r="CA66" s="172">
        <v>0.13991999999999999</v>
      </c>
      <c r="CB66" s="172">
        <v>8.4500000000000006E-2</v>
      </c>
      <c r="CC66" s="172">
        <v>0.45113999999999999</v>
      </c>
      <c r="CD66" s="172">
        <v>0.35415999999999997</v>
      </c>
      <c r="CE66" s="172">
        <v>0.19616</v>
      </c>
      <c r="CF66" s="172">
        <v>0.67349999999999999</v>
      </c>
      <c r="CG66" s="172">
        <v>0.41560000000000002</v>
      </c>
      <c r="CH66" s="172">
        <v>6.2520000000000006E-2</v>
      </c>
      <c r="CI66" s="172">
        <v>0.14463999999999999</v>
      </c>
      <c r="CJ66" s="172">
        <v>0.56969000000000003</v>
      </c>
      <c r="CK66" s="172">
        <v>0.16819999999999999</v>
      </c>
      <c r="CL66" s="172">
        <v>0.42774000000000001</v>
      </c>
      <c r="CM66" s="172">
        <v>0.15603</v>
      </c>
      <c r="CN66" s="172">
        <v>0.21890000000000001</v>
      </c>
      <c r="CO66" s="172">
        <v>0.60694000000000004</v>
      </c>
      <c r="CP66" s="172">
        <v>0.45456000000000002</v>
      </c>
      <c r="CQ66" s="172">
        <v>0.52605999999999997</v>
      </c>
      <c r="CR66" s="172">
        <v>0.26623999999999998</v>
      </c>
      <c r="CS66" s="172">
        <v>0.66964999999999997</v>
      </c>
      <c r="CT66" s="172">
        <v>0.78317999999999999</v>
      </c>
      <c r="CU66" s="172">
        <v>0.26200000000000001</v>
      </c>
      <c r="CV66" s="172">
        <v>0.56677</v>
      </c>
      <c r="CW66" s="172">
        <v>0.57369999999999999</v>
      </c>
    </row>
    <row r="67" spans="1:101">
      <c r="A67" s="171">
        <f t="shared" si="1"/>
        <v>645</v>
      </c>
      <c r="B67" s="171">
        <v>1</v>
      </c>
      <c r="C67" s="172">
        <v>0.86097999999999997</v>
      </c>
      <c r="D67" s="172">
        <v>0.65151000000000003</v>
      </c>
      <c r="E67" s="172">
        <v>0.14094000000000001</v>
      </c>
      <c r="F67" s="172">
        <v>0.51402000000000003</v>
      </c>
      <c r="G67" s="172">
        <v>0.66051000000000004</v>
      </c>
      <c r="H67" s="172">
        <v>0.27287</v>
      </c>
      <c r="I67" s="172">
        <v>0.46188000000000001</v>
      </c>
      <c r="J67" s="172">
        <v>0.46417000000000003</v>
      </c>
      <c r="K67" s="172">
        <v>6.0650000000000003E-2</v>
      </c>
      <c r="L67" s="172">
        <v>0.87336999999999998</v>
      </c>
      <c r="M67" s="172">
        <v>0.49065999999999999</v>
      </c>
      <c r="N67" s="172">
        <v>0.67239000000000004</v>
      </c>
      <c r="O67" s="172">
        <v>0.26266</v>
      </c>
      <c r="P67" s="172">
        <v>0.48768</v>
      </c>
      <c r="Q67" s="172">
        <v>0.58911000000000002</v>
      </c>
      <c r="R67" s="172">
        <v>0.35841000000000001</v>
      </c>
      <c r="S67" s="172">
        <v>0.25451000000000001</v>
      </c>
      <c r="T67" s="172">
        <v>0.34673999999999999</v>
      </c>
      <c r="U67" s="172">
        <v>0.52361000000000002</v>
      </c>
      <c r="V67" s="172">
        <v>0.75034999999999996</v>
      </c>
      <c r="W67" s="172">
        <v>0.89927999999999997</v>
      </c>
      <c r="X67" s="172">
        <v>0.78720000000000001</v>
      </c>
      <c r="Y67" s="172">
        <v>0.83794000000000002</v>
      </c>
      <c r="Z67" s="172">
        <v>0.85543000000000002</v>
      </c>
      <c r="AA67" s="172">
        <v>0.51495999999999997</v>
      </c>
      <c r="AB67" s="172">
        <v>0.90232000000000001</v>
      </c>
      <c r="AC67" s="172">
        <v>0.45528000000000002</v>
      </c>
      <c r="AD67" s="172">
        <v>0.11637</v>
      </c>
      <c r="AE67" s="172">
        <v>0.78961999999999999</v>
      </c>
      <c r="AF67" s="172">
        <v>0.35485</v>
      </c>
      <c r="AG67" s="172">
        <v>0.80445</v>
      </c>
      <c r="AH67" s="172">
        <v>0.53447</v>
      </c>
      <c r="AI67" s="172">
        <v>0.79705999999999999</v>
      </c>
      <c r="AJ67" s="172">
        <v>0.26649</v>
      </c>
      <c r="AK67" s="172">
        <v>0.10242</v>
      </c>
      <c r="AL67" s="172">
        <v>0.55869000000000002</v>
      </c>
      <c r="AM67" s="172">
        <v>9.8479999999999998E-2</v>
      </c>
      <c r="AN67" s="172">
        <v>0.67108000000000001</v>
      </c>
      <c r="AO67" s="172">
        <v>8.4010000000000001E-2</v>
      </c>
      <c r="AP67" s="172">
        <v>0.19238</v>
      </c>
      <c r="AQ67" s="172">
        <v>0.71218000000000004</v>
      </c>
      <c r="AR67" s="172">
        <v>0.24435999999999999</v>
      </c>
      <c r="AS67" s="172">
        <v>0.30348999999999998</v>
      </c>
      <c r="AT67" s="172">
        <v>5.0569999999999997E-2</v>
      </c>
      <c r="AU67" s="172">
        <v>0.15039</v>
      </c>
      <c r="AV67" s="172">
        <v>0.22217999999999999</v>
      </c>
      <c r="AW67" s="172">
        <v>0.37808999999999998</v>
      </c>
      <c r="AX67" s="172">
        <v>0.24157999999999999</v>
      </c>
      <c r="AY67" s="172">
        <v>9.0840000000000004E-2</v>
      </c>
      <c r="AZ67" s="172">
        <v>0.16436000000000001</v>
      </c>
      <c r="BA67" s="172">
        <v>0.21709000000000001</v>
      </c>
      <c r="BB67" s="172">
        <v>7.4179999999999996E-2</v>
      </c>
      <c r="BC67" s="172">
        <v>5.7750000000000003E-2</v>
      </c>
      <c r="BD67" s="172">
        <v>0.50065000000000004</v>
      </c>
      <c r="BE67" s="172">
        <v>0.4516</v>
      </c>
      <c r="BF67" s="172">
        <v>0.15454999999999999</v>
      </c>
      <c r="BG67" s="172">
        <v>6.6919999999999993E-2</v>
      </c>
      <c r="BH67" s="172">
        <v>5.0889999999999998E-2</v>
      </c>
      <c r="BI67" s="172">
        <v>0.52839999999999998</v>
      </c>
      <c r="BJ67" s="172">
        <v>0.66737999999999997</v>
      </c>
      <c r="BK67" s="172">
        <v>0.40710000000000002</v>
      </c>
      <c r="BL67" s="172">
        <v>0.31579000000000002</v>
      </c>
      <c r="BM67" s="172">
        <v>6.055E-2</v>
      </c>
      <c r="BN67" s="172">
        <v>9.4750000000000001E-2</v>
      </c>
      <c r="BO67" s="172">
        <v>2.2069999999999999E-2</v>
      </c>
      <c r="BP67" s="172">
        <v>5.6579999999999998E-2</v>
      </c>
      <c r="BQ67" s="172">
        <v>6.5680000000000002E-2</v>
      </c>
      <c r="BR67" s="172">
        <v>0.23372999999999999</v>
      </c>
      <c r="BS67" s="172">
        <v>0.20116999999999999</v>
      </c>
      <c r="BT67" s="172">
        <v>0.30057</v>
      </c>
      <c r="BU67" s="172">
        <v>4.3139999999999998E-2</v>
      </c>
      <c r="BV67" s="172">
        <v>0.44767000000000001</v>
      </c>
      <c r="BW67" s="172">
        <v>0.12806999999999999</v>
      </c>
      <c r="BX67" s="172">
        <v>4.555E-2</v>
      </c>
      <c r="BY67" s="172">
        <v>4.1140000000000003E-2</v>
      </c>
      <c r="BZ67" s="172">
        <v>0.12645999999999999</v>
      </c>
      <c r="CA67" s="172">
        <v>0.16133</v>
      </c>
      <c r="CB67" s="172">
        <v>8.7010000000000004E-2</v>
      </c>
      <c r="CC67" s="172">
        <v>0.48459999999999998</v>
      </c>
      <c r="CD67" s="172">
        <v>0.37047999999999998</v>
      </c>
      <c r="CE67" s="172">
        <v>0.23898</v>
      </c>
      <c r="CF67" s="172">
        <v>0.68201000000000001</v>
      </c>
      <c r="CG67" s="172">
        <v>0.42779</v>
      </c>
      <c r="CH67" s="172">
        <v>6.3159999999999994E-2</v>
      </c>
      <c r="CI67" s="172">
        <v>0.15049000000000001</v>
      </c>
      <c r="CJ67" s="172">
        <v>0.62438000000000005</v>
      </c>
      <c r="CK67" s="172">
        <v>0.17215</v>
      </c>
      <c r="CL67" s="172">
        <v>0.42497000000000001</v>
      </c>
      <c r="CM67" s="172">
        <v>0.16583000000000001</v>
      </c>
      <c r="CN67" s="172">
        <v>0.22164</v>
      </c>
      <c r="CO67" s="172">
        <v>0.61324000000000001</v>
      </c>
      <c r="CP67" s="172">
        <v>0.49236000000000002</v>
      </c>
      <c r="CQ67" s="172">
        <v>0.55501999999999996</v>
      </c>
      <c r="CR67" s="172">
        <v>0.29975000000000002</v>
      </c>
      <c r="CS67" s="172">
        <v>0.69796000000000002</v>
      </c>
      <c r="CT67" s="172">
        <v>0.80405000000000004</v>
      </c>
      <c r="CU67" s="172">
        <v>0.26778000000000002</v>
      </c>
      <c r="CV67" s="172">
        <v>0.57838000000000001</v>
      </c>
      <c r="CW67" s="172">
        <v>0.58975</v>
      </c>
    </row>
    <row r="68" spans="1:101">
      <c r="A68" s="171">
        <f t="shared" si="1"/>
        <v>650</v>
      </c>
      <c r="B68" s="171">
        <v>1</v>
      </c>
      <c r="C68" s="172">
        <v>0.86570000000000003</v>
      </c>
      <c r="D68" s="172">
        <v>0.66510000000000002</v>
      </c>
      <c r="E68" s="172">
        <v>0.15003</v>
      </c>
      <c r="F68" s="172">
        <v>0.51522000000000001</v>
      </c>
      <c r="G68" s="172">
        <v>0.70369999999999999</v>
      </c>
      <c r="H68" s="172">
        <v>0.30030000000000001</v>
      </c>
      <c r="I68" s="172">
        <v>0.46860000000000002</v>
      </c>
      <c r="J68" s="172">
        <v>0.49159999999999998</v>
      </c>
      <c r="K68" s="172">
        <v>6.1929999999999999E-2</v>
      </c>
      <c r="L68" s="172">
        <v>0.87575000000000003</v>
      </c>
      <c r="M68" s="172">
        <v>0.50854999999999995</v>
      </c>
      <c r="N68" s="172">
        <v>0.67883000000000004</v>
      </c>
      <c r="O68" s="172">
        <v>0.26486999999999999</v>
      </c>
      <c r="P68" s="172">
        <v>0.48870000000000002</v>
      </c>
      <c r="Q68" s="172">
        <v>0.59367000000000003</v>
      </c>
      <c r="R68" s="172">
        <v>0.37905</v>
      </c>
      <c r="S68" s="172">
        <v>0.27704000000000001</v>
      </c>
      <c r="T68" s="172">
        <v>0.35239999999999999</v>
      </c>
      <c r="U68" s="172">
        <v>0.52259999999999995</v>
      </c>
      <c r="V68" s="172">
        <v>0.75976999999999995</v>
      </c>
      <c r="W68" s="172">
        <v>0.90144999999999997</v>
      </c>
      <c r="X68" s="172">
        <v>0.79220999999999997</v>
      </c>
      <c r="Y68" s="172">
        <v>0.84114</v>
      </c>
      <c r="Z68" s="172">
        <v>0.85409999999999997</v>
      </c>
      <c r="AA68" s="172">
        <v>0.51193999999999995</v>
      </c>
      <c r="AB68" s="172">
        <v>0.90329999999999999</v>
      </c>
      <c r="AC68" s="172">
        <v>0.45002999999999999</v>
      </c>
      <c r="AD68" s="172">
        <v>0.11656</v>
      </c>
      <c r="AE68" s="172">
        <v>0.79147999999999996</v>
      </c>
      <c r="AF68" s="172">
        <v>0.35338000000000003</v>
      </c>
      <c r="AG68" s="172">
        <v>0.80640000000000001</v>
      </c>
      <c r="AH68" s="172">
        <v>0.56879999999999997</v>
      </c>
      <c r="AI68" s="172">
        <v>0.79876999999999998</v>
      </c>
      <c r="AJ68" s="172">
        <v>0.26449</v>
      </c>
      <c r="AK68" s="172">
        <v>0.10154000000000001</v>
      </c>
      <c r="AL68" s="172">
        <v>0.55967</v>
      </c>
      <c r="AM68" s="172">
        <v>9.4E-2</v>
      </c>
      <c r="AN68" s="172">
        <v>0.67105999999999999</v>
      </c>
      <c r="AO68" s="172">
        <v>8.5319999999999993E-2</v>
      </c>
      <c r="AP68" s="172">
        <v>0.1961</v>
      </c>
      <c r="AQ68" s="172">
        <v>0.73099999999999998</v>
      </c>
      <c r="AR68" s="172">
        <v>0.25397999999999998</v>
      </c>
      <c r="AS68" s="172">
        <v>0.29310000000000003</v>
      </c>
      <c r="AT68" s="172">
        <v>5.0999999999999997E-2</v>
      </c>
      <c r="AU68" s="172">
        <v>0.15037</v>
      </c>
      <c r="AV68" s="172">
        <v>0.21890000000000001</v>
      </c>
      <c r="AW68" s="172">
        <v>0.41039999999999999</v>
      </c>
      <c r="AX68" s="172">
        <v>0.23039999999999999</v>
      </c>
      <c r="AY68" s="172">
        <v>9.1880000000000003E-2</v>
      </c>
      <c r="AZ68" s="172">
        <v>0.17108999999999999</v>
      </c>
      <c r="BA68" s="172">
        <v>0.22617000000000001</v>
      </c>
      <c r="BB68" s="172">
        <v>7.7079999999999996E-2</v>
      </c>
      <c r="BC68" s="172">
        <v>5.79E-2</v>
      </c>
      <c r="BD68" s="172">
        <v>0.50319999999999998</v>
      </c>
      <c r="BE68" s="172">
        <v>0.45656000000000002</v>
      </c>
      <c r="BF68" s="172">
        <v>0.15295</v>
      </c>
      <c r="BG68" s="172">
        <v>6.13E-2</v>
      </c>
      <c r="BH68" s="172">
        <v>5.1389999999999998E-2</v>
      </c>
      <c r="BI68" s="172">
        <v>0.53159999999999996</v>
      </c>
      <c r="BJ68" s="172">
        <v>0.67371999999999999</v>
      </c>
      <c r="BK68" s="172">
        <v>0.41175</v>
      </c>
      <c r="BL68" s="172">
        <v>0.32267000000000001</v>
      </c>
      <c r="BM68" s="172">
        <v>5.9790000000000003E-2</v>
      </c>
      <c r="BN68" s="172">
        <v>9.5769999999999994E-2</v>
      </c>
      <c r="BO68" s="172">
        <v>1.8669999999999999E-2</v>
      </c>
      <c r="BP68" s="172">
        <v>5.6800000000000003E-2</v>
      </c>
      <c r="BQ68" s="172">
        <v>6.6299999999999998E-2</v>
      </c>
      <c r="BR68" s="172">
        <v>0.23804</v>
      </c>
      <c r="BS68" s="172">
        <v>0.20444000000000001</v>
      </c>
      <c r="BT68" s="172">
        <v>0.30502000000000001</v>
      </c>
      <c r="BU68" s="172">
        <v>4.41E-2</v>
      </c>
      <c r="BV68" s="172">
        <v>0.45051999999999998</v>
      </c>
      <c r="BW68" s="172">
        <v>0.13295000000000001</v>
      </c>
      <c r="BX68" s="172">
        <v>4.7059999999999998E-2</v>
      </c>
      <c r="BY68" s="172">
        <v>4.2599999999999999E-2</v>
      </c>
      <c r="BZ68" s="172">
        <v>0.1358</v>
      </c>
      <c r="CA68" s="172">
        <v>0.18573999999999999</v>
      </c>
      <c r="CB68" s="172">
        <v>9.1550000000000006E-2</v>
      </c>
      <c r="CC68" s="172">
        <v>0.52342</v>
      </c>
      <c r="CD68" s="172">
        <v>0.38943</v>
      </c>
      <c r="CE68" s="172">
        <v>0.29172999999999999</v>
      </c>
      <c r="CF68" s="172">
        <v>0.69420000000000004</v>
      </c>
      <c r="CG68" s="172">
        <v>0.44419999999999998</v>
      </c>
      <c r="CH68" s="172">
        <v>6.3909999999999995E-2</v>
      </c>
      <c r="CI68" s="172">
        <v>0.16785</v>
      </c>
      <c r="CJ68" s="172">
        <v>0.66837000000000002</v>
      </c>
      <c r="CK68" s="172">
        <v>0.17684</v>
      </c>
      <c r="CL68" s="172">
        <v>0.42426999999999998</v>
      </c>
      <c r="CM68" s="172">
        <v>0.17906</v>
      </c>
      <c r="CN68" s="172">
        <v>0.22459999999999999</v>
      </c>
      <c r="CO68" s="172">
        <v>0.61885999999999997</v>
      </c>
      <c r="CP68" s="172">
        <v>0.52439000000000002</v>
      </c>
      <c r="CQ68" s="172">
        <v>0.58337000000000006</v>
      </c>
      <c r="CR68" s="172">
        <v>0.33484000000000003</v>
      </c>
      <c r="CS68" s="172">
        <v>0.72611000000000003</v>
      </c>
      <c r="CT68" s="172">
        <v>0.82201000000000002</v>
      </c>
      <c r="CU68" s="172">
        <v>0.2757</v>
      </c>
      <c r="CV68" s="172">
        <v>0.59453999999999996</v>
      </c>
      <c r="CW68" s="172">
        <v>0.60129999999999995</v>
      </c>
    </row>
    <row r="69" spans="1:101">
      <c r="A69" s="171">
        <f t="shared" si="1"/>
        <v>655</v>
      </c>
      <c r="B69" s="171">
        <v>1</v>
      </c>
      <c r="C69" s="172">
        <v>0.86955000000000005</v>
      </c>
      <c r="D69" s="172">
        <v>0.67849999999999999</v>
      </c>
      <c r="E69" s="172">
        <v>0.15656</v>
      </c>
      <c r="F69" s="172">
        <v>0.51566000000000001</v>
      </c>
      <c r="G69" s="172">
        <v>0.74104999999999999</v>
      </c>
      <c r="H69" s="172">
        <v>0.33695000000000003</v>
      </c>
      <c r="I69" s="172">
        <v>0.4723</v>
      </c>
      <c r="J69" s="172">
        <v>0.51405999999999996</v>
      </c>
      <c r="K69" s="172">
        <v>6.3200000000000006E-2</v>
      </c>
      <c r="L69" s="172">
        <v>0.87822</v>
      </c>
      <c r="M69" s="172">
        <v>0.52961999999999998</v>
      </c>
      <c r="N69" s="172">
        <v>0.67562</v>
      </c>
      <c r="O69" s="172">
        <v>0.26640999999999998</v>
      </c>
      <c r="P69" s="172">
        <v>0.48941000000000001</v>
      </c>
      <c r="Q69" s="172">
        <v>0.59765000000000001</v>
      </c>
      <c r="R69" s="172">
        <v>0.40003</v>
      </c>
      <c r="S69" s="172">
        <v>0.308</v>
      </c>
      <c r="T69" s="172">
        <v>0.35758000000000001</v>
      </c>
      <c r="U69" s="172">
        <v>0.52181</v>
      </c>
      <c r="V69" s="172">
        <v>0.76939000000000002</v>
      </c>
      <c r="W69" s="172">
        <v>0.90319000000000005</v>
      </c>
      <c r="X69" s="172">
        <v>0.79722999999999999</v>
      </c>
      <c r="Y69" s="172">
        <v>0.84470999999999996</v>
      </c>
      <c r="Z69" s="172">
        <v>0.85263999999999995</v>
      </c>
      <c r="AA69" s="172">
        <v>0.51093999999999995</v>
      </c>
      <c r="AB69" s="172">
        <v>0.90419000000000005</v>
      </c>
      <c r="AC69" s="172">
        <v>0.44666</v>
      </c>
      <c r="AD69" s="172">
        <v>0.11570999999999999</v>
      </c>
      <c r="AE69" s="172">
        <v>0.79320999999999997</v>
      </c>
      <c r="AF69" s="172">
        <v>0.35403000000000001</v>
      </c>
      <c r="AG69" s="172">
        <v>0.80915999999999999</v>
      </c>
      <c r="AH69" s="172">
        <v>0.60699000000000003</v>
      </c>
      <c r="AI69" s="172">
        <v>0.80118</v>
      </c>
      <c r="AJ69" s="172">
        <v>0.26302999999999999</v>
      </c>
      <c r="AK69" s="172">
        <v>0.10088</v>
      </c>
      <c r="AL69" s="172">
        <v>0.55989</v>
      </c>
      <c r="AM69" s="172">
        <v>9.4710000000000003E-2</v>
      </c>
      <c r="AN69" s="172">
        <v>0.67023999999999995</v>
      </c>
      <c r="AO69" s="172">
        <v>8.6610000000000006E-2</v>
      </c>
      <c r="AP69" s="172">
        <v>0.19975999999999999</v>
      </c>
      <c r="AQ69" s="172">
        <v>0.75283999999999995</v>
      </c>
      <c r="AR69" s="172">
        <v>0.26708999999999999</v>
      </c>
      <c r="AS69" s="172">
        <v>0.27207999999999999</v>
      </c>
      <c r="AT69" s="172">
        <v>5.1499999999999997E-2</v>
      </c>
      <c r="AU69" s="172">
        <v>0.15040999999999999</v>
      </c>
      <c r="AV69" s="172">
        <v>0.21632999999999999</v>
      </c>
      <c r="AW69" s="172">
        <v>0.44884000000000002</v>
      </c>
      <c r="AX69" s="172">
        <v>0.2208</v>
      </c>
      <c r="AY69" s="172">
        <v>9.3189999999999995E-2</v>
      </c>
      <c r="AZ69" s="172">
        <v>0.17743</v>
      </c>
      <c r="BA69" s="172">
        <v>0.23465</v>
      </c>
      <c r="BB69" s="172">
        <v>7.9969999999999999E-2</v>
      </c>
      <c r="BC69" s="172">
        <v>5.8549999999999998E-2</v>
      </c>
      <c r="BD69" s="172">
        <v>0.50873999999999997</v>
      </c>
      <c r="BE69" s="172">
        <v>0.46395999999999998</v>
      </c>
      <c r="BF69" s="172">
        <v>0.15286</v>
      </c>
      <c r="BG69" s="172">
        <v>5.3039999999999997E-2</v>
      </c>
      <c r="BH69" s="172">
        <v>5.2760000000000001E-2</v>
      </c>
      <c r="BI69" s="172">
        <v>0.53598999999999997</v>
      </c>
      <c r="BJ69" s="172">
        <v>0.68089999999999995</v>
      </c>
      <c r="BK69" s="172">
        <v>0.41604000000000002</v>
      </c>
      <c r="BL69" s="172">
        <v>0.33329999999999999</v>
      </c>
      <c r="BM69" s="172">
        <v>5.9950000000000003E-2</v>
      </c>
      <c r="BN69" s="172">
        <v>9.7540000000000002E-2</v>
      </c>
      <c r="BO69" s="172">
        <v>1.6129999999999999E-2</v>
      </c>
      <c r="BP69" s="172">
        <v>5.7200000000000001E-2</v>
      </c>
      <c r="BQ69" s="172">
        <v>6.7140000000000005E-2</v>
      </c>
      <c r="BR69" s="172">
        <v>0.24224000000000001</v>
      </c>
      <c r="BS69" s="172">
        <v>0.20755999999999999</v>
      </c>
      <c r="BT69" s="172">
        <v>0.30941000000000002</v>
      </c>
      <c r="BU69" s="172">
        <v>4.6809999999999997E-2</v>
      </c>
      <c r="BV69" s="172">
        <v>0.45332</v>
      </c>
      <c r="BW69" s="172">
        <v>0.13949</v>
      </c>
      <c r="BX69" s="172">
        <v>4.965E-2</v>
      </c>
      <c r="BY69" s="172">
        <v>4.5179999999999998E-2</v>
      </c>
      <c r="BZ69" s="172">
        <v>0.14671999999999999</v>
      </c>
      <c r="CA69" s="172">
        <v>0.21193000000000001</v>
      </c>
      <c r="CB69" s="172">
        <v>9.7739999999999994E-2</v>
      </c>
      <c r="CC69" s="172">
        <v>0.56583000000000006</v>
      </c>
      <c r="CD69" s="172">
        <v>0.41132999999999997</v>
      </c>
      <c r="CE69" s="172">
        <v>0.34344999999999998</v>
      </c>
      <c r="CF69" s="172">
        <v>0.70870999999999995</v>
      </c>
      <c r="CG69" s="172">
        <v>0.46526000000000001</v>
      </c>
      <c r="CH69" s="172">
        <v>6.4570000000000002E-2</v>
      </c>
      <c r="CI69" s="172">
        <v>0.19264999999999999</v>
      </c>
      <c r="CJ69" s="172">
        <v>0.70086999999999999</v>
      </c>
      <c r="CK69" s="172">
        <v>0.182</v>
      </c>
      <c r="CL69" s="172">
        <v>0.42832999999999999</v>
      </c>
      <c r="CM69" s="172">
        <v>0.19606999999999999</v>
      </c>
      <c r="CN69" s="172">
        <v>0.22767999999999999</v>
      </c>
      <c r="CO69" s="172">
        <v>0.62331000000000003</v>
      </c>
      <c r="CP69" s="172">
        <v>0.55001</v>
      </c>
      <c r="CQ69" s="172">
        <v>0.61087999999999998</v>
      </c>
      <c r="CR69" s="172">
        <v>0.37096000000000001</v>
      </c>
      <c r="CS69" s="172">
        <v>0.75366999999999995</v>
      </c>
      <c r="CT69" s="172">
        <v>0.83704000000000001</v>
      </c>
      <c r="CU69" s="172">
        <v>0.28525</v>
      </c>
      <c r="CV69" s="172">
        <v>0.61548000000000003</v>
      </c>
      <c r="CW69" s="172">
        <v>0.60992000000000002</v>
      </c>
    </row>
    <row r="70" spans="1:101">
      <c r="A70" s="171">
        <f t="shared" si="1"/>
        <v>660</v>
      </c>
      <c r="B70" s="171">
        <v>1</v>
      </c>
      <c r="C70" s="172">
        <v>0.87280000000000002</v>
      </c>
      <c r="D70" s="172">
        <v>0.69159999999999999</v>
      </c>
      <c r="E70" s="172">
        <v>0.16206999999999999</v>
      </c>
      <c r="F70" s="172">
        <v>0.51527000000000001</v>
      </c>
      <c r="G70" s="172">
        <v>0.77302999999999999</v>
      </c>
      <c r="H70" s="172">
        <v>0.38151000000000002</v>
      </c>
      <c r="I70" s="172">
        <v>0.47360000000000002</v>
      </c>
      <c r="J70" s="172">
        <v>0.53220000000000001</v>
      </c>
      <c r="K70" s="172">
        <v>6.4199999999999993E-2</v>
      </c>
      <c r="L70" s="172">
        <v>0.88010999999999995</v>
      </c>
      <c r="M70" s="172">
        <v>0.55369000000000002</v>
      </c>
      <c r="N70" s="172">
        <v>0.67554999999999998</v>
      </c>
      <c r="O70" s="172">
        <v>0.26734999999999998</v>
      </c>
      <c r="P70" s="172">
        <v>0.48980000000000001</v>
      </c>
      <c r="Q70" s="172">
        <v>0.60150000000000003</v>
      </c>
      <c r="R70" s="172">
        <v>0.42038999999999999</v>
      </c>
      <c r="S70" s="172">
        <v>0.34671999999999997</v>
      </c>
      <c r="T70" s="172">
        <v>0.36259999999999998</v>
      </c>
      <c r="U70" s="172">
        <v>0.52110000000000001</v>
      </c>
      <c r="V70" s="172">
        <v>0.77971999999999997</v>
      </c>
      <c r="W70" s="172">
        <v>0.90442999999999996</v>
      </c>
      <c r="X70" s="172">
        <v>0.80262</v>
      </c>
      <c r="Y70" s="172">
        <v>0.84843999999999997</v>
      </c>
      <c r="Z70" s="172">
        <v>0.85040000000000004</v>
      </c>
      <c r="AA70" s="172">
        <v>0.51107000000000002</v>
      </c>
      <c r="AB70" s="172">
        <v>0.90500000000000003</v>
      </c>
      <c r="AC70" s="172">
        <v>0.44579000000000002</v>
      </c>
      <c r="AD70" s="172">
        <v>0.11537</v>
      </c>
      <c r="AE70" s="172">
        <v>0.79596999999999996</v>
      </c>
      <c r="AF70" s="172">
        <v>0.35560999999999998</v>
      </c>
      <c r="AG70" s="172">
        <v>0.81169999999999998</v>
      </c>
      <c r="AH70" s="172">
        <v>0.64570000000000005</v>
      </c>
      <c r="AI70" s="172">
        <v>0.80411999999999995</v>
      </c>
      <c r="AJ70" s="172">
        <v>0.26212999999999997</v>
      </c>
      <c r="AK70" s="172">
        <v>0.10041</v>
      </c>
      <c r="AL70" s="172">
        <v>0.56081999999999999</v>
      </c>
      <c r="AM70" s="172">
        <v>0.1031</v>
      </c>
      <c r="AN70" s="172">
        <v>0.66944000000000004</v>
      </c>
      <c r="AO70" s="172">
        <v>8.7590000000000001E-2</v>
      </c>
      <c r="AP70" s="172">
        <v>0.20258999999999999</v>
      </c>
      <c r="AQ70" s="172">
        <v>0.77639999999999998</v>
      </c>
      <c r="AR70" s="172">
        <v>0.28088999999999997</v>
      </c>
      <c r="AS70" s="172">
        <v>0.24479999999999999</v>
      </c>
      <c r="AT70" s="172">
        <v>5.1999999999999998E-2</v>
      </c>
      <c r="AU70" s="172">
        <v>0.15234</v>
      </c>
      <c r="AV70" s="172">
        <v>0.2147</v>
      </c>
      <c r="AW70" s="172">
        <v>0.49220000000000003</v>
      </c>
      <c r="AX70" s="172">
        <v>0.21248</v>
      </c>
      <c r="AY70" s="172">
        <v>9.4649999999999998E-2</v>
      </c>
      <c r="AZ70" s="172">
        <v>0.18201000000000001</v>
      </c>
      <c r="BA70" s="172">
        <v>0.24066000000000001</v>
      </c>
      <c r="BB70" s="172">
        <v>8.2229999999999998E-2</v>
      </c>
      <c r="BC70" s="172">
        <v>5.96E-2</v>
      </c>
      <c r="BD70" s="172">
        <v>0.51800000000000002</v>
      </c>
      <c r="BE70" s="172">
        <v>0.47319</v>
      </c>
      <c r="BF70" s="172">
        <v>0.15443000000000001</v>
      </c>
      <c r="BG70" s="172">
        <v>4.4400000000000002E-2</v>
      </c>
      <c r="BH70" s="172">
        <v>5.4989999999999997E-2</v>
      </c>
      <c r="BI70" s="172">
        <v>0.53820000000000001</v>
      </c>
      <c r="BJ70" s="172">
        <v>0.68803000000000003</v>
      </c>
      <c r="BK70" s="172">
        <v>0.41909000000000002</v>
      </c>
      <c r="BL70" s="172">
        <v>0.34848000000000001</v>
      </c>
      <c r="BM70" s="172">
        <v>6.1089999999999998E-2</v>
      </c>
      <c r="BN70" s="172">
        <v>9.9809999999999996E-2</v>
      </c>
      <c r="BO70" s="172">
        <v>1.43E-2</v>
      </c>
      <c r="BP70" s="172">
        <v>5.7700000000000001E-2</v>
      </c>
      <c r="BQ70" s="172">
        <v>6.8000000000000005E-2</v>
      </c>
      <c r="BR70" s="172">
        <v>0.24535000000000001</v>
      </c>
      <c r="BS70" s="172">
        <v>0.20979999999999999</v>
      </c>
      <c r="BT70" s="172">
        <v>0.31263999999999997</v>
      </c>
      <c r="BU70" s="172">
        <v>5.1999999999999998E-2</v>
      </c>
      <c r="BV70" s="172">
        <v>0.45526</v>
      </c>
      <c r="BW70" s="172">
        <v>0.14695</v>
      </c>
      <c r="BX70" s="172">
        <v>5.3510000000000002E-2</v>
      </c>
      <c r="BY70" s="172">
        <v>4.9299999999999997E-2</v>
      </c>
      <c r="BZ70" s="172">
        <v>0.15740000000000001</v>
      </c>
      <c r="CA70" s="172">
        <v>0.23877000000000001</v>
      </c>
      <c r="CB70" s="172">
        <v>0.10495</v>
      </c>
      <c r="CC70" s="172">
        <v>0.60811000000000004</v>
      </c>
      <c r="CD70" s="172">
        <v>0.43586000000000003</v>
      </c>
      <c r="CE70" s="172">
        <v>0.37835000000000002</v>
      </c>
      <c r="CF70" s="172">
        <v>0.7258</v>
      </c>
      <c r="CG70" s="172">
        <v>0.48980000000000001</v>
      </c>
      <c r="CH70" s="172">
        <v>6.5000000000000002E-2</v>
      </c>
      <c r="CI70" s="172">
        <v>0.20784</v>
      </c>
      <c r="CJ70" s="172">
        <v>0.72318000000000005</v>
      </c>
      <c r="CK70" s="172">
        <v>0.18626999999999999</v>
      </c>
      <c r="CL70" s="172">
        <v>0.43925999999999998</v>
      </c>
      <c r="CM70" s="172">
        <v>0.21697</v>
      </c>
      <c r="CN70" s="172">
        <v>0.2301</v>
      </c>
      <c r="CO70" s="172">
        <v>0.62790000000000001</v>
      </c>
      <c r="CP70" s="172">
        <v>0.57049000000000005</v>
      </c>
      <c r="CQ70" s="172">
        <v>0.63663000000000003</v>
      </c>
      <c r="CR70" s="172">
        <v>0.40772999999999998</v>
      </c>
      <c r="CS70" s="172">
        <v>0.77900000000000003</v>
      </c>
      <c r="CT70" s="172">
        <v>0.84892000000000001</v>
      </c>
      <c r="CU70" s="172">
        <v>0.29449999999999998</v>
      </c>
      <c r="CV70" s="172">
        <v>0.63995999999999997</v>
      </c>
      <c r="CW70" s="172">
        <v>0.61619999999999997</v>
      </c>
    </row>
    <row r="71" spans="1:101">
      <c r="A71" s="171">
        <f t="shared" si="1"/>
        <v>665</v>
      </c>
      <c r="B71" s="171">
        <v>1</v>
      </c>
      <c r="C71" s="172">
        <v>0.87578</v>
      </c>
      <c r="D71" s="172">
        <v>0.70421999999999996</v>
      </c>
      <c r="E71" s="172">
        <v>0.17094999999999999</v>
      </c>
      <c r="F71" s="172">
        <v>0.5141</v>
      </c>
      <c r="G71" s="172">
        <v>0.79995000000000005</v>
      </c>
      <c r="H71" s="172">
        <v>0.43148999999999998</v>
      </c>
      <c r="I71" s="172">
        <v>0.47295999999999999</v>
      </c>
      <c r="J71" s="172">
        <v>0.54676000000000002</v>
      </c>
      <c r="K71" s="172">
        <v>6.4740000000000006E-2</v>
      </c>
      <c r="L71" s="172">
        <v>0.88073999999999997</v>
      </c>
      <c r="M71" s="172">
        <v>0.57982</v>
      </c>
      <c r="N71" s="172">
        <v>0.67884999999999995</v>
      </c>
      <c r="O71" s="172">
        <v>0.26784999999999998</v>
      </c>
      <c r="P71" s="172">
        <v>0.48998999999999998</v>
      </c>
      <c r="Q71" s="172">
        <v>0.60563</v>
      </c>
      <c r="R71" s="172">
        <v>0.43917</v>
      </c>
      <c r="S71" s="172">
        <v>0.39138000000000001</v>
      </c>
      <c r="T71" s="172">
        <v>0.36782999999999999</v>
      </c>
      <c r="U71" s="172">
        <v>0.52029000000000003</v>
      </c>
      <c r="V71" s="172">
        <v>0.79098000000000002</v>
      </c>
      <c r="W71" s="172">
        <v>0.90520999999999996</v>
      </c>
      <c r="X71" s="172">
        <v>0.80842000000000003</v>
      </c>
      <c r="Y71" s="172">
        <v>0.85209000000000001</v>
      </c>
      <c r="Z71" s="172">
        <v>0.84708000000000006</v>
      </c>
      <c r="AA71" s="172">
        <v>0.50985000000000003</v>
      </c>
      <c r="AB71" s="172">
        <v>0.90569999999999995</v>
      </c>
      <c r="AC71" s="172">
        <v>0.44445000000000001</v>
      </c>
      <c r="AD71" s="172">
        <v>0.11267000000000001</v>
      </c>
      <c r="AE71" s="172">
        <v>0.80059999999999998</v>
      </c>
      <c r="AF71" s="172">
        <v>0.35852000000000001</v>
      </c>
      <c r="AG71" s="172">
        <v>0.81301999999999996</v>
      </c>
      <c r="AH71" s="172">
        <v>0.68172999999999995</v>
      </c>
      <c r="AI71" s="172">
        <v>0.80718000000000001</v>
      </c>
      <c r="AJ71" s="172">
        <v>0.26185999999999998</v>
      </c>
      <c r="AK71" s="172">
        <v>0.10012</v>
      </c>
      <c r="AL71" s="172">
        <v>0.56191999999999998</v>
      </c>
      <c r="AM71" s="172">
        <v>0.1208</v>
      </c>
      <c r="AN71" s="172">
        <v>0.66846000000000005</v>
      </c>
      <c r="AO71" s="172">
        <v>8.8069999999999996E-2</v>
      </c>
      <c r="AP71" s="172">
        <v>0.20399999999999999</v>
      </c>
      <c r="AQ71" s="172">
        <v>0.80025000000000002</v>
      </c>
      <c r="AR71" s="172">
        <v>0.29266999999999999</v>
      </c>
      <c r="AS71" s="172">
        <v>0.21776999999999999</v>
      </c>
      <c r="AT71" s="172">
        <v>5.2420000000000001E-2</v>
      </c>
      <c r="AU71" s="172">
        <v>0.15367</v>
      </c>
      <c r="AV71" s="172">
        <v>0.21421999999999999</v>
      </c>
      <c r="AW71" s="172">
        <v>0.53896999999999995</v>
      </c>
      <c r="AX71" s="172">
        <v>0.20510999999999999</v>
      </c>
      <c r="AY71" s="172">
        <v>9.6140000000000003E-2</v>
      </c>
      <c r="AZ71" s="172">
        <v>0.18381</v>
      </c>
      <c r="BA71" s="172">
        <v>0.24281</v>
      </c>
      <c r="BB71" s="172">
        <v>8.3419999999999994E-2</v>
      </c>
      <c r="BC71" s="172">
        <v>6.0929999999999998E-2</v>
      </c>
      <c r="BD71" s="172">
        <v>0.53103999999999996</v>
      </c>
      <c r="BE71" s="172">
        <v>0.48341000000000001</v>
      </c>
      <c r="BF71" s="172">
        <v>0.15772</v>
      </c>
      <c r="BG71" s="172">
        <v>3.7810000000000003E-2</v>
      </c>
      <c r="BH71" s="172">
        <v>5.8020000000000002E-2</v>
      </c>
      <c r="BI71" s="172">
        <v>0.53583000000000003</v>
      </c>
      <c r="BJ71" s="172">
        <v>0.69418999999999997</v>
      </c>
      <c r="BK71" s="172">
        <v>0.42027999999999999</v>
      </c>
      <c r="BL71" s="172">
        <v>0.36892999999999998</v>
      </c>
      <c r="BM71" s="172">
        <v>6.3119999999999996E-2</v>
      </c>
      <c r="BN71" s="172">
        <v>0.10231</v>
      </c>
      <c r="BO71" s="172">
        <v>1.3010000000000001E-2</v>
      </c>
      <c r="BP71" s="172">
        <v>5.8220000000000001E-2</v>
      </c>
      <c r="BQ71" s="172">
        <v>6.8690000000000001E-2</v>
      </c>
      <c r="BR71" s="172">
        <v>0.24668999999999999</v>
      </c>
      <c r="BS71" s="172">
        <v>0.21071000000000001</v>
      </c>
      <c r="BT71" s="172">
        <v>0.31391999999999998</v>
      </c>
      <c r="BU71" s="172">
        <v>6.0159999999999998E-2</v>
      </c>
      <c r="BV71" s="172">
        <v>0.45577000000000001</v>
      </c>
      <c r="BW71" s="172">
        <v>0.15462000000000001</v>
      </c>
      <c r="BX71" s="172">
        <v>5.8900000000000001E-2</v>
      </c>
      <c r="BY71" s="172">
        <v>5.525E-2</v>
      </c>
      <c r="BZ71" s="172">
        <v>0.16578999999999999</v>
      </c>
      <c r="CA71" s="172">
        <v>0.26495999999999997</v>
      </c>
      <c r="CB71" s="172">
        <v>0.11255999999999999</v>
      </c>
      <c r="CC71" s="172">
        <v>0.64649999999999996</v>
      </c>
      <c r="CD71" s="172">
        <v>0.46260000000000001</v>
      </c>
      <c r="CE71" s="172">
        <v>0.40403</v>
      </c>
      <c r="CF71" s="172">
        <v>0.74587999999999999</v>
      </c>
      <c r="CG71" s="172">
        <v>0.51663999999999999</v>
      </c>
      <c r="CH71" s="172">
        <v>6.5119999999999997E-2</v>
      </c>
      <c r="CI71" s="172">
        <v>0.22794</v>
      </c>
      <c r="CJ71" s="172">
        <v>0.73733000000000004</v>
      </c>
      <c r="CK71" s="172">
        <v>0.1883</v>
      </c>
      <c r="CL71" s="172">
        <v>0.45877000000000001</v>
      </c>
      <c r="CM71" s="172">
        <v>0.2417</v>
      </c>
      <c r="CN71" s="172">
        <v>0.23136999999999999</v>
      </c>
      <c r="CO71" s="172">
        <v>0.63149999999999995</v>
      </c>
      <c r="CP71" s="172">
        <v>0.58799000000000001</v>
      </c>
      <c r="CQ71" s="172">
        <v>0.65968000000000004</v>
      </c>
      <c r="CR71" s="172">
        <v>0.44474999999999998</v>
      </c>
      <c r="CS71" s="172">
        <v>0.80047999999999997</v>
      </c>
      <c r="CT71" s="172">
        <v>0.85750999999999999</v>
      </c>
      <c r="CU71" s="172">
        <v>0.30142000000000002</v>
      </c>
      <c r="CV71" s="172">
        <v>0.66654999999999998</v>
      </c>
      <c r="CW71" s="172">
        <v>0.62056999999999995</v>
      </c>
    </row>
    <row r="72" spans="1:101">
      <c r="A72" s="171">
        <f t="shared" si="1"/>
        <v>670</v>
      </c>
      <c r="B72" s="171">
        <v>1</v>
      </c>
      <c r="C72" s="172">
        <v>0.87849999999999995</v>
      </c>
      <c r="D72" s="172">
        <v>0.71709999999999996</v>
      </c>
      <c r="E72" s="172">
        <v>0.18004000000000001</v>
      </c>
      <c r="F72" s="172">
        <v>0.51322000000000001</v>
      </c>
      <c r="G72" s="172">
        <v>0.82247999999999999</v>
      </c>
      <c r="H72" s="172">
        <v>0.48165000000000002</v>
      </c>
      <c r="I72" s="172">
        <v>0.47149999999999997</v>
      </c>
      <c r="J72" s="172">
        <v>0.55869999999999997</v>
      </c>
      <c r="K72" s="172">
        <v>6.4920000000000005E-2</v>
      </c>
      <c r="L72" s="172">
        <v>0.88075000000000003</v>
      </c>
      <c r="M72" s="172">
        <v>0.60514000000000001</v>
      </c>
      <c r="N72" s="172">
        <v>0.67820999999999998</v>
      </c>
      <c r="O72" s="172">
        <v>0.26795000000000002</v>
      </c>
      <c r="P72" s="172">
        <v>0.49030000000000001</v>
      </c>
      <c r="Q72" s="172">
        <v>0.60997000000000001</v>
      </c>
      <c r="R72" s="172">
        <v>0.45673000000000002</v>
      </c>
      <c r="S72" s="172">
        <v>0.43730000000000002</v>
      </c>
      <c r="T72" s="172">
        <v>0.37319999999999998</v>
      </c>
      <c r="U72" s="172">
        <v>0.51949999999999996</v>
      </c>
      <c r="V72" s="172">
        <v>0.80256000000000005</v>
      </c>
      <c r="W72" s="172">
        <v>0.90571999999999997</v>
      </c>
      <c r="X72" s="172">
        <v>0.81374999999999997</v>
      </c>
      <c r="Y72" s="172">
        <v>0.85572000000000004</v>
      </c>
      <c r="Z72" s="172">
        <v>0.84389999999999998</v>
      </c>
      <c r="AA72" s="172">
        <v>0.50758000000000003</v>
      </c>
      <c r="AB72" s="172">
        <v>0.90629999999999999</v>
      </c>
      <c r="AC72" s="172">
        <v>0.44429999999999997</v>
      </c>
      <c r="AD72" s="172">
        <v>0.1142</v>
      </c>
      <c r="AE72" s="172">
        <v>0.80637999999999999</v>
      </c>
      <c r="AF72" s="172">
        <v>0.35970999999999997</v>
      </c>
      <c r="AG72" s="172">
        <v>0.81388000000000005</v>
      </c>
      <c r="AH72" s="172">
        <v>0.71379999999999999</v>
      </c>
      <c r="AI72" s="172">
        <v>0.80994999999999995</v>
      </c>
      <c r="AJ72" s="172">
        <v>0.26247999999999999</v>
      </c>
      <c r="AK72" s="172">
        <v>0.10019</v>
      </c>
      <c r="AL72" s="172">
        <v>0.56164999999999998</v>
      </c>
      <c r="AM72" s="172">
        <v>0.14660000000000001</v>
      </c>
      <c r="AN72" s="172">
        <v>0.66851000000000005</v>
      </c>
      <c r="AO72" s="172">
        <v>8.8209999999999997E-2</v>
      </c>
      <c r="AP72" s="172">
        <v>0.20433999999999999</v>
      </c>
      <c r="AQ72" s="172">
        <v>0.82299999999999995</v>
      </c>
      <c r="AR72" s="172">
        <v>0.30193999999999999</v>
      </c>
      <c r="AS72" s="172">
        <v>0.1976</v>
      </c>
      <c r="AT72" s="172">
        <v>5.2699999999999997E-2</v>
      </c>
      <c r="AU72" s="172">
        <v>0.15923999999999999</v>
      </c>
      <c r="AV72" s="172">
        <v>0.21479999999999999</v>
      </c>
      <c r="AW72" s="172">
        <v>0.58689999999999998</v>
      </c>
      <c r="AX72" s="172">
        <v>0.19861999999999999</v>
      </c>
      <c r="AY72" s="172">
        <v>9.758E-2</v>
      </c>
      <c r="AZ72" s="172">
        <v>0.18359</v>
      </c>
      <c r="BA72" s="172">
        <v>0.24224000000000001</v>
      </c>
      <c r="BB72" s="172">
        <v>8.3779999999999993E-2</v>
      </c>
      <c r="BC72" s="172">
        <v>6.25E-2</v>
      </c>
      <c r="BD72" s="172">
        <v>0.54610000000000003</v>
      </c>
      <c r="BE72" s="172">
        <v>0.49375999999999998</v>
      </c>
      <c r="BF72" s="172">
        <v>0.16295000000000001</v>
      </c>
      <c r="BG72" s="172">
        <v>3.39E-2</v>
      </c>
      <c r="BH72" s="172">
        <v>6.1710000000000001E-2</v>
      </c>
      <c r="BI72" s="172">
        <v>0.53259999999999996</v>
      </c>
      <c r="BJ72" s="172">
        <v>0.69911000000000001</v>
      </c>
      <c r="BK72" s="172">
        <v>0.42008000000000001</v>
      </c>
      <c r="BL72" s="172">
        <v>0.39515</v>
      </c>
      <c r="BM72" s="172">
        <v>6.5890000000000004E-2</v>
      </c>
      <c r="BN72" s="172">
        <v>0.10484</v>
      </c>
      <c r="BO72" s="172">
        <v>1.2109999999999999E-2</v>
      </c>
      <c r="BP72" s="172">
        <v>5.8700000000000002E-2</v>
      </c>
      <c r="BQ72" s="172">
        <v>6.9099999999999995E-2</v>
      </c>
      <c r="BR72" s="172">
        <v>0.24668999999999999</v>
      </c>
      <c r="BS72" s="172">
        <v>0.21063000000000001</v>
      </c>
      <c r="BT72" s="172">
        <v>0.31378</v>
      </c>
      <c r="BU72" s="172">
        <v>7.0800000000000002E-2</v>
      </c>
      <c r="BV72" s="172">
        <v>0.45535999999999999</v>
      </c>
      <c r="BW72" s="172">
        <v>0.16234000000000001</v>
      </c>
      <c r="BX72" s="172">
        <v>6.6420000000000007E-2</v>
      </c>
      <c r="BY72" s="172">
        <v>6.2700000000000006E-2</v>
      </c>
      <c r="BZ72" s="172">
        <v>0.17019999999999999</v>
      </c>
      <c r="CA72" s="172">
        <v>0.28852</v>
      </c>
      <c r="CB72" s="172">
        <v>0.12024</v>
      </c>
      <c r="CC72" s="172">
        <v>0.67910000000000004</v>
      </c>
      <c r="CD72" s="172">
        <v>0.49134</v>
      </c>
      <c r="CE72" s="172">
        <v>0.42471999999999999</v>
      </c>
      <c r="CF72" s="172">
        <v>0.76839999999999997</v>
      </c>
      <c r="CG72" s="172">
        <v>0.54610000000000003</v>
      </c>
      <c r="CH72" s="172">
        <v>6.5000000000000002E-2</v>
      </c>
      <c r="CI72" s="172">
        <v>0.25255</v>
      </c>
      <c r="CJ72" s="172">
        <v>0.74600999999999995</v>
      </c>
      <c r="CK72" s="172">
        <v>0.18795999999999999</v>
      </c>
      <c r="CL72" s="172">
        <v>0.48760999999999999</v>
      </c>
      <c r="CM72" s="172">
        <v>0.26985999999999999</v>
      </c>
      <c r="CN72" s="172">
        <v>0.2329</v>
      </c>
      <c r="CO72" s="172">
        <v>0.63258000000000003</v>
      </c>
      <c r="CP72" s="172">
        <v>0.60570000000000002</v>
      </c>
      <c r="CQ72" s="172">
        <v>0.67984</v>
      </c>
      <c r="CR72" s="172">
        <v>0.48133999999999999</v>
      </c>
      <c r="CS72" s="172">
        <v>0.81742000000000004</v>
      </c>
      <c r="CT72" s="172">
        <v>0.86338999999999999</v>
      </c>
      <c r="CU72" s="172">
        <v>0.3049</v>
      </c>
      <c r="CV72" s="172">
        <v>0.69438999999999995</v>
      </c>
      <c r="CW72" s="172">
        <v>0.62380000000000002</v>
      </c>
    </row>
    <row r="73" spans="1:101">
      <c r="A73" s="171">
        <f t="shared" si="1"/>
        <v>675</v>
      </c>
      <c r="B73" s="171">
        <v>1</v>
      </c>
      <c r="C73" s="172">
        <v>0.88093999999999995</v>
      </c>
      <c r="D73" s="172">
        <v>0.73050000000000004</v>
      </c>
      <c r="E73" s="172">
        <v>0.18664</v>
      </c>
      <c r="F73" s="172">
        <v>0.51343000000000005</v>
      </c>
      <c r="G73" s="172">
        <v>0.84133000000000002</v>
      </c>
      <c r="H73" s="172">
        <v>0.5272</v>
      </c>
      <c r="I73" s="172">
        <v>0.4703</v>
      </c>
      <c r="J73" s="172">
        <v>0.56896999999999998</v>
      </c>
      <c r="K73" s="172">
        <v>6.4890000000000003E-2</v>
      </c>
      <c r="L73" s="172">
        <v>0.88085999999999998</v>
      </c>
      <c r="M73" s="172">
        <v>0.62726000000000004</v>
      </c>
      <c r="N73" s="172">
        <v>0.67842999999999998</v>
      </c>
      <c r="O73" s="172">
        <v>0.26769999999999999</v>
      </c>
      <c r="P73" s="172">
        <v>0.49098000000000003</v>
      </c>
      <c r="Q73" s="172">
        <v>0.61431000000000002</v>
      </c>
      <c r="R73" s="172">
        <v>0.47371000000000002</v>
      </c>
      <c r="S73" s="172">
        <v>0.48015999999999998</v>
      </c>
      <c r="T73" s="172">
        <v>0.37852999999999998</v>
      </c>
      <c r="U73" s="172">
        <v>0.51887000000000005</v>
      </c>
      <c r="V73" s="172">
        <v>0.81379000000000001</v>
      </c>
      <c r="W73" s="172">
        <v>0.90617000000000003</v>
      </c>
      <c r="X73" s="172">
        <v>0.81784999999999997</v>
      </c>
      <c r="Y73" s="172">
        <v>0.85943000000000003</v>
      </c>
      <c r="Z73" s="172">
        <v>0.84211999999999998</v>
      </c>
      <c r="AA73" s="172">
        <v>0.50200999999999996</v>
      </c>
      <c r="AB73" s="172">
        <v>0.90680000000000005</v>
      </c>
      <c r="AC73" s="172">
        <v>0.44272</v>
      </c>
      <c r="AD73" s="172">
        <v>0.11624</v>
      </c>
      <c r="AE73" s="172">
        <v>0.81235999999999997</v>
      </c>
      <c r="AF73" s="172">
        <v>0.35738999999999999</v>
      </c>
      <c r="AG73" s="172">
        <v>0.81523999999999996</v>
      </c>
      <c r="AH73" s="172">
        <v>0.74151</v>
      </c>
      <c r="AI73" s="172">
        <v>0.81215000000000004</v>
      </c>
      <c r="AJ73" s="172">
        <v>0.2641</v>
      </c>
      <c r="AK73" s="172">
        <v>0.10070999999999999</v>
      </c>
      <c r="AL73" s="172">
        <v>0.56040999999999996</v>
      </c>
      <c r="AM73" s="172">
        <v>0.17877000000000001</v>
      </c>
      <c r="AN73" s="172">
        <v>0.67027999999999999</v>
      </c>
      <c r="AO73" s="172">
        <v>8.8230000000000003E-2</v>
      </c>
      <c r="AP73" s="172">
        <v>0.20413000000000001</v>
      </c>
      <c r="AQ73" s="172">
        <v>0.84343000000000001</v>
      </c>
      <c r="AR73" s="172">
        <v>0.30939</v>
      </c>
      <c r="AS73" s="172">
        <v>0.18894</v>
      </c>
      <c r="AT73" s="172">
        <v>5.2780000000000001E-2</v>
      </c>
      <c r="AU73" s="172">
        <v>0.16394</v>
      </c>
      <c r="AV73" s="172">
        <v>0.21628</v>
      </c>
      <c r="AW73" s="172">
        <v>0.63375000000000004</v>
      </c>
      <c r="AX73" s="172">
        <v>0.193</v>
      </c>
      <c r="AY73" s="172">
        <v>9.8919999999999994E-2</v>
      </c>
      <c r="AZ73" s="172">
        <v>0.18240000000000001</v>
      </c>
      <c r="BA73" s="172">
        <v>0.24043999999999999</v>
      </c>
      <c r="BB73" s="172">
        <v>8.3640000000000006E-2</v>
      </c>
      <c r="BC73" s="172">
        <v>6.4280000000000004E-2</v>
      </c>
      <c r="BD73" s="172">
        <v>0.56122000000000005</v>
      </c>
      <c r="BE73" s="172">
        <v>0.50346999999999997</v>
      </c>
      <c r="BF73" s="172">
        <v>0.16994000000000001</v>
      </c>
      <c r="BG73" s="172">
        <v>3.2629999999999999E-2</v>
      </c>
      <c r="BH73" s="172">
        <v>6.5890000000000004E-2</v>
      </c>
      <c r="BI73" s="172">
        <v>0.53259999999999996</v>
      </c>
      <c r="BJ73" s="172">
        <v>0.70279999999999998</v>
      </c>
      <c r="BK73" s="172">
        <v>0.41916999999999999</v>
      </c>
      <c r="BL73" s="172">
        <v>0.42758000000000002</v>
      </c>
      <c r="BM73" s="172">
        <v>6.9360000000000005E-2</v>
      </c>
      <c r="BN73" s="172">
        <v>0.10725</v>
      </c>
      <c r="BO73" s="172">
        <v>1.15E-2</v>
      </c>
      <c r="BP73" s="172">
        <v>5.91E-2</v>
      </c>
      <c r="BQ73" s="172">
        <v>6.9199999999999998E-2</v>
      </c>
      <c r="BR73" s="172">
        <v>0.24598999999999999</v>
      </c>
      <c r="BS73" s="172">
        <v>0.21002999999999999</v>
      </c>
      <c r="BT73" s="172">
        <v>0.31298999999999999</v>
      </c>
      <c r="BU73" s="172">
        <v>8.3159999999999998E-2</v>
      </c>
      <c r="BV73" s="172">
        <v>0.45474999999999999</v>
      </c>
      <c r="BW73" s="172">
        <v>0.17088999999999999</v>
      </c>
      <c r="BX73" s="172">
        <v>7.6759999999999995E-2</v>
      </c>
      <c r="BY73" s="172">
        <v>7.1160000000000001E-2</v>
      </c>
      <c r="BZ73" s="172">
        <v>0.16964000000000001</v>
      </c>
      <c r="CA73" s="172">
        <v>0.30736999999999998</v>
      </c>
      <c r="CB73" s="172">
        <v>0.1285</v>
      </c>
      <c r="CC73" s="172">
        <v>0.70496000000000003</v>
      </c>
      <c r="CD73" s="172">
        <v>0.52195999999999998</v>
      </c>
      <c r="CE73" s="172">
        <v>0.436</v>
      </c>
      <c r="CF73" s="172">
        <v>0.79213</v>
      </c>
      <c r="CG73" s="172">
        <v>0.57781000000000005</v>
      </c>
      <c r="CH73" s="172">
        <v>6.4780000000000004E-2</v>
      </c>
      <c r="CI73" s="172">
        <v>0.26973999999999998</v>
      </c>
      <c r="CJ73" s="172">
        <v>0.75185000000000002</v>
      </c>
      <c r="CK73" s="172">
        <v>0.18570999999999999</v>
      </c>
      <c r="CL73" s="172">
        <v>0.52561999999999998</v>
      </c>
      <c r="CM73" s="172">
        <v>0.30107</v>
      </c>
      <c r="CN73" s="172">
        <v>0.23605999999999999</v>
      </c>
      <c r="CO73" s="172">
        <v>0.63234000000000001</v>
      </c>
      <c r="CP73" s="172">
        <v>0.62287000000000003</v>
      </c>
      <c r="CQ73" s="172">
        <v>0.69708999999999999</v>
      </c>
      <c r="CR73" s="172">
        <v>0.51685999999999999</v>
      </c>
      <c r="CS73" s="172">
        <v>0.82987999999999995</v>
      </c>
      <c r="CT73" s="172">
        <v>0.86748999999999998</v>
      </c>
      <c r="CU73" s="172">
        <v>0.30449999999999999</v>
      </c>
      <c r="CV73" s="172">
        <v>0.72255000000000003</v>
      </c>
      <c r="CW73" s="172">
        <v>0.62656000000000001</v>
      </c>
    </row>
    <row r="74" spans="1:101">
      <c r="A74" s="171">
        <f t="shared" si="1"/>
        <v>680</v>
      </c>
      <c r="B74" s="171">
        <v>1</v>
      </c>
      <c r="C74" s="172">
        <v>0.88329999999999997</v>
      </c>
      <c r="D74" s="172">
        <v>0.74199999999999999</v>
      </c>
      <c r="E74" s="172">
        <v>0.18611</v>
      </c>
      <c r="F74" s="172">
        <v>0.51336999999999999</v>
      </c>
      <c r="G74" s="172">
        <v>0.85711999999999999</v>
      </c>
      <c r="H74" s="172">
        <v>0.56789000000000001</v>
      </c>
      <c r="I74" s="172">
        <v>0.46949999999999997</v>
      </c>
      <c r="J74" s="172">
        <v>0.57811999999999997</v>
      </c>
      <c r="K74" s="172">
        <v>6.4710000000000004E-2</v>
      </c>
      <c r="L74" s="172">
        <v>0.88083</v>
      </c>
      <c r="M74" s="172">
        <v>0.64751999999999998</v>
      </c>
      <c r="N74" s="172">
        <v>0.68161000000000005</v>
      </c>
      <c r="O74" s="172">
        <v>0.26734999999999998</v>
      </c>
      <c r="P74" s="172">
        <v>0.4919</v>
      </c>
      <c r="Q74" s="172">
        <v>0.61843000000000004</v>
      </c>
      <c r="R74" s="172">
        <v>0.49042000000000002</v>
      </c>
      <c r="S74" s="172">
        <v>0.51978999999999997</v>
      </c>
      <c r="T74" s="172">
        <v>0.3836</v>
      </c>
      <c r="U74" s="172">
        <v>0.51819999999999999</v>
      </c>
      <c r="V74" s="172">
        <v>0.82440000000000002</v>
      </c>
      <c r="W74" s="172">
        <v>0.90671999999999997</v>
      </c>
      <c r="X74" s="172">
        <v>0.82133</v>
      </c>
      <c r="Y74" s="172">
        <v>0.86329</v>
      </c>
      <c r="Z74" s="172">
        <v>0.84150000000000003</v>
      </c>
      <c r="AA74" s="172">
        <v>0.49936999999999998</v>
      </c>
      <c r="AB74" s="172">
        <v>0.90720000000000001</v>
      </c>
      <c r="AC74" s="172">
        <v>0.44241999999999998</v>
      </c>
      <c r="AD74" s="172">
        <v>0.11636000000000001</v>
      </c>
      <c r="AE74" s="172">
        <v>0.81832000000000005</v>
      </c>
      <c r="AF74" s="172">
        <v>0.35449000000000003</v>
      </c>
      <c r="AG74" s="172">
        <v>0.81721999999999995</v>
      </c>
      <c r="AH74" s="172">
        <v>0.76619999999999999</v>
      </c>
      <c r="AI74" s="172">
        <v>0.81403000000000003</v>
      </c>
      <c r="AJ74" s="172">
        <v>0.26608999999999999</v>
      </c>
      <c r="AK74" s="172">
        <v>0.10131</v>
      </c>
      <c r="AL74" s="172">
        <v>0.55911999999999995</v>
      </c>
      <c r="AM74" s="172">
        <v>0.21629999999999999</v>
      </c>
      <c r="AN74" s="172">
        <v>0.67149000000000003</v>
      </c>
      <c r="AO74" s="172">
        <v>8.8209999999999997E-2</v>
      </c>
      <c r="AP74" s="172">
        <v>0.20352000000000001</v>
      </c>
      <c r="AQ74" s="172">
        <v>0.8609</v>
      </c>
      <c r="AR74" s="172">
        <v>0.31802999999999998</v>
      </c>
      <c r="AS74" s="172">
        <v>0.1885</v>
      </c>
      <c r="AT74" s="172">
        <v>5.2699999999999997E-2</v>
      </c>
      <c r="AU74" s="172">
        <v>0.16736999999999999</v>
      </c>
      <c r="AV74" s="172">
        <v>0.21840000000000001</v>
      </c>
      <c r="AW74" s="172">
        <v>0.67789999999999995</v>
      </c>
      <c r="AX74" s="172">
        <v>0.18826999999999999</v>
      </c>
      <c r="AY74" s="172">
        <v>0.10023</v>
      </c>
      <c r="AZ74" s="172">
        <v>0.18052000000000001</v>
      </c>
      <c r="BA74" s="172">
        <v>0.23777999999999999</v>
      </c>
      <c r="BB74" s="172">
        <v>8.3059999999999995E-2</v>
      </c>
      <c r="BC74" s="172">
        <v>6.6100000000000006E-2</v>
      </c>
      <c r="BD74" s="172">
        <v>0.57550000000000001</v>
      </c>
      <c r="BE74" s="172">
        <v>0.51212000000000002</v>
      </c>
      <c r="BF74" s="172">
        <v>0.17687</v>
      </c>
      <c r="BG74" s="172">
        <v>3.32E-2</v>
      </c>
      <c r="BH74" s="172">
        <v>7.0199999999999999E-2</v>
      </c>
      <c r="BI74" s="172">
        <v>0.5353</v>
      </c>
      <c r="BJ74" s="172">
        <v>0.70579000000000003</v>
      </c>
      <c r="BK74" s="172">
        <v>0.4178</v>
      </c>
      <c r="BL74" s="172">
        <v>0.46662999999999999</v>
      </c>
      <c r="BM74" s="172">
        <v>7.3810000000000001E-2</v>
      </c>
      <c r="BN74" s="172">
        <v>0.10932</v>
      </c>
      <c r="BO74" s="172">
        <v>1.112E-2</v>
      </c>
      <c r="BP74" s="172">
        <v>5.9400000000000001E-2</v>
      </c>
      <c r="BQ74" s="172">
        <v>6.9099999999999995E-2</v>
      </c>
      <c r="BR74" s="172">
        <v>0.24484</v>
      </c>
      <c r="BS74" s="172">
        <v>0.20907999999999999</v>
      </c>
      <c r="BT74" s="172">
        <v>0.31181999999999999</v>
      </c>
      <c r="BU74" s="172">
        <v>9.6299999999999997E-2</v>
      </c>
      <c r="BV74" s="172">
        <v>0.45433000000000001</v>
      </c>
      <c r="BW74" s="172">
        <v>0.18428</v>
      </c>
      <c r="BX74" s="172">
        <v>9.035E-2</v>
      </c>
      <c r="BY74" s="172">
        <v>0.08</v>
      </c>
      <c r="BZ74" s="172">
        <v>0.16569999999999999</v>
      </c>
      <c r="CA74" s="172">
        <v>0.32249</v>
      </c>
      <c r="CB74" s="172">
        <v>0.14079</v>
      </c>
      <c r="CC74" s="172">
        <v>0.72516000000000003</v>
      </c>
      <c r="CD74" s="172">
        <v>0.55435000000000001</v>
      </c>
      <c r="CE74" s="172">
        <v>0.44674000000000003</v>
      </c>
      <c r="CF74" s="172">
        <v>0.81420000000000003</v>
      </c>
      <c r="CG74" s="172">
        <v>0.60699999999999998</v>
      </c>
      <c r="CH74" s="172">
        <v>6.4509999999999998E-2</v>
      </c>
      <c r="CI74" s="172">
        <v>0.28737000000000001</v>
      </c>
      <c r="CJ74" s="172">
        <v>0.75644</v>
      </c>
      <c r="CK74" s="172">
        <v>0.18318999999999999</v>
      </c>
      <c r="CL74" s="172">
        <v>0.56991999999999998</v>
      </c>
      <c r="CM74" s="172">
        <v>0.33549000000000001</v>
      </c>
      <c r="CN74" s="172">
        <v>0.24010000000000001</v>
      </c>
      <c r="CO74" s="172">
        <v>0.63234999999999997</v>
      </c>
      <c r="CP74" s="172">
        <v>0.63522999999999996</v>
      </c>
      <c r="CQ74" s="172">
        <v>0.71148</v>
      </c>
      <c r="CR74" s="172">
        <v>0.55127000000000004</v>
      </c>
      <c r="CS74" s="172">
        <v>0.83974000000000004</v>
      </c>
      <c r="CT74" s="172">
        <v>0.87173999999999996</v>
      </c>
      <c r="CU74" s="172">
        <v>0.3014</v>
      </c>
      <c r="CV74" s="172">
        <v>0.74924999999999997</v>
      </c>
      <c r="CW74" s="172">
        <v>0.62880000000000003</v>
      </c>
    </row>
    <row r="75" spans="1:101">
      <c r="A75" s="171">
        <f t="shared" si="1"/>
        <v>685</v>
      </c>
      <c r="B75" s="171">
        <v>1</v>
      </c>
      <c r="C75" s="172">
        <v>0.88578999999999997</v>
      </c>
      <c r="D75" s="172">
        <v>0.74975999999999998</v>
      </c>
      <c r="E75" s="172">
        <v>0.1865</v>
      </c>
      <c r="F75" s="172">
        <v>0.51310999999999996</v>
      </c>
      <c r="G75" s="172">
        <v>0.87050000000000005</v>
      </c>
      <c r="H75" s="172">
        <v>0.60429999999999995</v>
      </c>
      <c r="I75" s="172">
        <v>0.46890999999999999</v>
      </c>
      <c r="J75" s="172">
        <v>0.58662000000000003</v>
      </c>
      <c r="K75" s="172">
        <v>6.4409999999999995E-2</v>
      </c>
      <c r="L75" s="172">
        <v>0.88044</v>
      </c>
      <c r="M75" s="172">
        <v>0.66759999999999997</v>
      </c>
      <c r="N75" s="172">
        <v>0.68411999999999995</v>
      </c>
      <c r="O75" s="172">
        <v>0.26712999999999998</v>
      </c>
      <c r="P75" s="172">
        <v>0.49282999999999999</v>
      </c>
      <c r="Q75" s="172">
        <v>0.62214000000000003</v>
      </c>
      <c r="R75" s="172">
        <v>0.50702999999999998</v>
      </c>
      <c r="S75" s="172">
        <v>0.55666000000000004</v>
      </c>
      <c r="T75" s="172">
        <v>0.38829000000000002</v>
      </c>
      <c r="U75" s="172">
        <v>0.51729000000000003</v>
      </c>
      <c r="V75" s="172">
        <v>0.83423000000000003</v>
      </c>
      <c r="W75" s="172">
        <v>0.90744999999999998</v>
      </c>
      <c r="X75" s="172">
        <v>0.82494999999999996</v>
      </c>
      <c r="Y75" s="172">
        <v>0.86722999999999995</v>
      </c>
      <c r="Z75" s="172">
        <v>0.84133999999999998</v>
      </c>
      <c r="AA75" s="172">
        <v>0.50129999999999997</v>
      </c>
      <c r="AB75" s="172">
        <v>0.90751999999999999</v>
      </c>
      <c r="AC75" s="172">
        <v>0.44703999999999999</v>
      </c>
      <c r="AD75" s="172">
        <v>0.1132</v>
      </c>
      <c r="AE75" s="172">
        <v>0.82418999999999998</v>
      </c>
      <c r="AF75" s="172">
        <v>0.35372999999999999</v>
      </c>
      <c r="AG75" s="172">
        <v>0.81966000000000006</v>
      </c>
      <c r="AH75" s="172">
        <v>0.78956000000000004</v>
      </c>
      <c r="AI75" s="172">
        <v>0.81593000000000004</v>
      </c>
      <c r="AJ75" s="172">
        <v>0.26785999999999999</v>
      </c>
      <c r="AK75" s="172">
        <v>0.10168000000000001</v>
      </c>
      <c r="AL75" s="172">
        <v>0.55486000000000002</v>
      </c>
      <c r="AM75" s="172">
        <v>0.25833</v>
      </c>
      <c r="AN75" s="172">
        <v>0.67257999999999996</v>
      </c>
      <c r="AO75" s="172">
        <v>8.8179999999999994E-2</v>
      </c>
      <c r="AP75" s="172">
        <v>0.20254</v>
      </c>
      <c r="AQ75" s="172">
        <v>0.87517999999999996</v>
      </c>
      <c r="AR75" s="172">
        <v>0.33102999999999999</v>
      </c>
      <c r="AS75" s="172">
        <v>0.19436999999999999</v>
      </c>
      <c r="AT75" s="172">
        <v>5.2519999999999997E-2</v>
      </c>
      <c r="AU75" s="172">
        <v>0.16914000000000001</v>
      </c>
      <c r="AV75" s="172">
        <v>0.22098000000000001</v>
      </c>
      <c r="AW75" s="172">
        <v>0.71833999999999998</v>
      </c>
      <c r="AX75" s="172">
        <v>0.18443999999999999</v>
      </c>
      <c r="AY75" s="172">
        <v>0.10163999999999999</v>
      </c>
      <c r="AZ75" s="172">
        <v>0.17802999999999999</v>
      </c>
      <c r="BA75" s="172">
        <v>0.23432</v>
      </c>
      <c r="BB75" s="172">
        <v>8.2000000000000003E-2</v>
      </c>
      <c r="BC75" s="172">
        <v>6.7799999999999999E-2</v>
      </c>
      <c r="BD75" s="172">
        <v>0.58862000000000003</v>
      </c>
      <c r="BE75" s="172">
        <v>0.51931000000000005</v>
      </c>
      <c r="BF75" s="172">
        <v>0.18215999999999999</v>
      </c>
      <c r="BG75" s="172">
        <v>3.5929999999999997E-2</v>
      </c>
      <c r="BH75" s="172">
        <v>7.4289999999999995E-2</v>
      </c>
      <c r="BI75" s="172">
        <v>0.53839000000000004</v>
      </c>
      <c r="BJ75" s="172">
        <v>0.70842000000000005</v>
      </c>
      <c r="BK75" s="172">
        <v>0.41607</v>
      </c>
      <c r="BL75" s="172">
        <v>0.51215999999999995</v>
      </c>
      <c r="BM75" s="172">
        <v>7.9460000000000003E-2</v>
      </c>
      <c r="BN75" s="172">
        <v>0.11083999999999999</v>
      </c>
      <c r="BO75" s="172">
        <v>1.094E-2</v>
      </c>
      <c r="BP75" s="172">
        <v>5.9610000000000003E-2</v>
      </c>
      <c r="BQ75" s="172">
        <v>6.8909999999999999E-2</v>
      </c>
      <c r="BR75" s="172">
        <v>0.24338000000000001</v>
      </c>
      <c r="BS75" s="172">
        <v>0.20784</v>
      </c>
      <c r="BT75" s="172">
        <v>0.31034</v>
      </c>
      <c r="BU75" s="172">
        <v>0.10963000000000001</v>
      </c>
      <c r="BV75" s="172">
        <v>0.45435999999999999</v>
      </c>
      <c r="BW75" s="172">
        <v>0.20616999999999999</v>
      </c>
      <c r="BX75" s="172">
        <v>0.10761999999999999</v>
      </c>
      <c r="BY75" s="172">
        <v>8.8849999999999998E-2</v>
      </c>
      <c r="BZ75" s="172">
        <v>0.15994</v>
      </c>
      <c r="CA75" s="172">
        <v>0.33246999999999999</v>
      </c>
      <c r="CB75" s="172">
        <v>0.16039</v>
      </c>
      <c r="CC75" s="172">
        <v>0.74134</v>
      </c>
      <c r="CD75" s="172">
        <v>0.58814999999999995</v>
      </c>
      <c r="CE75" s="172">
        <v>0.45590999999999998</v>
      </c>
      <c r="CF75" s="172">
        <v>0.83252999999999999</v>
      </c>
      <c r="CG75" s="172">
        <v>0.63022999999999996</v>
      </c>
      <c r="CH75" s="172">
        <v>6.4229999999999995E-2</v>
      </c>
      <c r="CI75" s="172">
        <v>0.30481000000000003</v>
      </c>
      <c r="CJ75" s="172">
        <v>0.76102000000000003</v>
      </c>
      <c r="CK75" s="172">
        <v>0.18185000000000001</v>
      </c>
      <c r="CL75" s="172">
        <v>0.61695</v>
      </c>
      <c r="CM75" s="172">
        <v>0.37308999999999998</v>
      </c>
      <c r="CN75" s="172">
        <v>0.24393000000000001</v>
      </c>
      <c r="CO75" s="172">
        <v>0.62883999999999995</v>
      </c>
      <c r="CP75" s="172">
        <v>0.64717000000000002</v>
      </c>
      <c r="CQ75" s="172">
        <v>0.72321000000000002</v>
      </c>
      <c r="CR75" s="172">
        <v>0.58455000000000001</v>
      </c>
      <c r="CS75" s="172">
        <v>0.84880999999999995</v>
      </c>
      <c r="CT75" s="172">
        <v>0.87761</v>
      </c>
      <c r="CU75" s="172">
        <v>0.29672999999999999</v>
      </c>
      <c r="CV75" s="172">
        <v>0.77305999999999997</v>
      </c>
      <c r="CW75" s="172">
        <v>0.63041000000000003</v>
      </c>
    </row>
    <row r="76" spans="1:101">
      <c r="A76" s="171">
        <f t="shared" si="1"/>
        <v>690</v>
      </c>
      <c r="B76" s="171">
        <v>1</v>
      </c>
      <c r="C76" s="172">
        <v>0.88839999999999997</v>
      </c>
      <c r="D76" s="172">
        <v>0.7571</v>
      </c>
      <c r="E76" s="172">
        <v>0.19528999999999999</v>
      </c>
      <c r="F76" s="172">
        <v>0.51261000000000001</v>
      </c>
      <c r="G76" s="172">
        <v>0.88222</v>
      </c>
      <c r="H76" s="172">
        <v>0.63588999999999996</v>
      </c>
      <c r="I76" s="172">
        <v>0.46789999999999998</v>
      </c>
      <c r="J76" s="172">
        <v>0.59482999999999997</v>
      </c>
      <c r="K76" s="172">
        <v>6.3990000000000005E-2</v>
      </c>
      <c r="L76" s="172">
        <v>0.88049999999999995</v>
      </c>
      <c r="M76" s="172">
        <v>0.68674999999999997</v>
      </c>
      <c r="N76" s="172">
        <v>0.68272999999999995</v>
      </c>
      <c r="O76" s="172">
        <v>0.26695999999999998</v>
      </c>
      <c r="P76" s="172">
        <v>0.49370000000000003</v>
      </c>
      <c r="Q76" s="172">
        <v>0.62533000000000005</v>
      </c>
      <c r="R76" s="172">
        <v>0.52319000000000004</v>
      </c>
      <c r="S76" s="172">
        <v>0.58977000000000002</v>
      </c>
      <c r="T76" s="172">
        <v>0.39300000000000002</v>
      </c>
      <c r="U76" s="172">
        <v>0.51619999999999999</v>
      </c>
      <c r="V76" s="172">
        <v>0.84297</v>
      </c>
      <c r="W76" s="172">
        <v>0.9083</v>
      </c>
      <c r="X76" s="172">
        <v>0.82862000000000002</v>
      </c>
      <c r="Y76" s="172">
        <v>0.87082000000000004</v>
      </c>
      <c r="Z76" s="172">
        <v>0.8407</v>
      </c>
      <c r="AA76" s="172">
        <v>0.50444</v>
      </c>
      <c r="AB76" s="172">
        <v>0.90790000000000004</v>
      </c>
      <c r="AC76" s="172">
        <v>0.45357999999999998</v>
      </c>
      <c r="AD76" s="172">
        <v>0.11456</v>
      </c>
      <c r="AE76" s="172">
        <v>0.82976000000000005</v>
      </c>
      <c r="AF76" s="172">
        <v>0.35539999999999999</v>
      </c>
      <c r="AG76" s="172">
        <v>0.82215000000000005</v>
      </c>
      <c r="AH76" s="172">
        <v>0.81310000000000004</v>
      </c>
      <c r="AI76" s="172">
        <v>0.81806999999999996</v>
      </c>
      <c r="AJ76" s="172">
        <v>0.26980999999999999</v>
      </c>
      <c r="AK76" s="172">
        <v>0.10213</v>
      </c>
      <c r="AL76" s="172">
        <v>0.54940999999999995</v>
      </c>
      <c r="AM76" s="172">
        <v>0.30380000000000001</v>
      </c>
      <c r="AN76" s="172">
        <v>0.67427999999999999</v>
      </c>
      <c r="AO76" s="172">
        <v>8.8109999999999994E-2</v>
      </c>
      <c r="AP76" s="172">
        <v>0.20115</v>
      </c>
      <c r="AQ76" s="172">
        <v>0.88719999999999999</v>
      </c>
      <c r="AR76" s="172">
        <v>0.3498</v>
      </c>
      <c r="AS76" s="172">
        <v>0.21809999999999999</v>
      </c>
      <c r="AT76" s="172">
        <v>5.2299999999999999E-2</v>
      </c>
      <c r="AU76" s="172">
        <v>0.17330000000000001</v>
      </c>
      <c r="AV76" s="172">
        <v>0.22420000000000001</v>
      </c>
      <c r="AW76" s="172">
        <v>0.75580000000000003</v>
      </c>
      <c r="AX76" s="172">
        <v>0.18137</v>
      </c>
      <c r="AY76" s="172">
        <v>0.10335999999999999</v>
      </c>
      <c r="AZ76" s="172">
        <v>0.17485999999999999</v>
      </c>
      <c r="BA76" s="172">
        <v>0.22994000000000001</v>
      </c>
      <c r="BB76" s="172">
        <v>8.0479999999999996E-2</v>
      </c>
      <c r="BC76" s="172">
        <v>6.9500000000000006E-2</v>
      </c>
      <c r="BD76" s="172">
        <v>0.60150000000000003</v>
      </c>
      <c r="BE76" s="172">
        <v>0.52449999999999997</v>
      </c>
      <c r="BF76" s="172">
        <v>0.18698999999999999</v>
      </c>
      <c r="BG76" s="172">
        <v>4.65E-2</v>
      </c>
      <c r="BH76" s="172">
        <v>7.8060000000000004E-2</v>
      </c>
      <c r="BI76" s="172">
        <v>0.53720000000000001</v>
      </c>
      <c r="BJ76" s="172">
        <v>0.70991000000000004</v>
      </c>
      <c r="BK76" s="172">
        <v>0.41393000000000002</v>
      </c>
      <c r="BL76" s="172">
        <v>0.56194</v>
      </c>
      <c r="BM76" s="172">
        <v>8.5919999999999996E-2</v>
      </c>
      <c r="BN76" s="172">
        <v>0.11158999999999999</v>
      </c>
      <c r="BO76" s="172">
        <v>1.0919999999999999E-2</v>
      </c>
      <c r="BP76" s="172">
        <v>5.9700000000000003E-2</v>
      </c>
      <c r="BQ76" s="172">
        <v>6.8599999999999994E-2</v>
      </c>
      <c r="BR76" s="172">
        <v>0.24154</v>
      </c>
      <c r="BS76" s="172">
        <v>0.20630000000000001</v>
      </c>
      <c r="BT76" s="172">
        <v>0.30852000000000002</v>
      </c>
      <c r="BU76" s="172">
        <v>0.1242</v>
      </c>
      <c r="BV76" s="172">
        <v>0.45474999999999999</v>
      </c>
      <c r="BW76" s="172">
        <v>0.23561000000000001</v>
      </c>
      <c r="BX76" s="172">
        <v>0.12906999999999999</v>
      </c>
      <c r="BY76" s="172">
        <v>9.8400000000000001E-2</v>
      </c>
      <c r="BZ76" s="172">
        <v>0.1512</v>
      </c>
      <c r="CA76" s="172">
        <v>0.33782000000000001</v>
      </c>
      <c r="CB76" s="172">
        <v>0.18676000000000001</v>
      </c>
      <c r="CC76" s="172">
        <v>0.75524999999999998</v>
      </c>
      <c r="CD76" s="172">
        <v>0.62190999999999996</v>
      </c>
      <c r="CE76" s="172">
        <v>0.46076</v>
      </c>
      <c r="CF76" s="172">
        <v>0.84989999999999999</v>
      </c>
      <c r="CG76" s="172">
        <v>0.65359999999999996</v>
      </c>
      <c r="CH76" s="172">
        <v>6.3909999999999995E-2</v>
      </c>
      <c r="CI76" s="172">
        <v>0.31630000000000003</v>
      </c>
      <c r="CJ76" s="172">
        <v>0.76637</v>
      </c>
      <c r="CK76" s="172">
        <v>0.1812</v>
      </c>
      <c r="CL76" s="172">
        <v>0.66286</v>
      </c>
      <c r="CM76" s="172">
        <v>0.41253000000000001</v>
      </c>
      <c r="CN76" s="172">
        <v>0.2472</v>
      </c>
      <c r="CO76" s="172">
        <v>0.62321000000000004</v>
      </c>
      <c r="CP76" s="172">
        <v>0.65930999999999995</v>
      </c>
      <c r="CQ76" s="172">
        <v>0.73309000000000002</v>
      </c>
      <c r="CR76" s="172">
        <v>0.61629999999999996</v>
      </c>
      <c r="CS76" s="172">
        <v>0.85665999999999998</v>
      </c>
      <c r="CT76" s="172">
        <v>0.88387000000000004</v>
      </c>
      <c r="CU76" s="172">
        <v>0.28970000000000001</v>
      </c>
      <c r="CV76" s="172">
        <v>0.79488999999999999</v>
      </c>
      <c r="CW76" s="172">
        <v>0.63170000000000004</v>
      </c>
    </row>
    <row r="77" spans="1:101">
      <c r="A77" s="171">
        <f t="shared" si="1"/>
        <v>695</v>
      </c>
      <c r="B77" s="171">
        <v>1</v>
      </c>
      <c r="C77" s="172">
        <v>0.89090999999999998</v>
      </c>
      <c r="D77" s="172">
        <v>0.76683999999999997</v>
      </c>
      <c r="E77" s="172">
        <v>0.2021</v>
      </c>
      <c r="F77" s="172">
        <v>0.51207999999999998</v>
      </c>
      <c r="G77" s="172">
        <v>0.89292000000000005</v>
      </c>
      <c r="H77" s="172">
        <v>0.66181000000000001</v>
      </c>
      <c r="I77" s="172">
        <v>0.46606999999999998</v>
      </c>
      <c r="J77" s="172">
        <v>0.60302999999999995</v>
      </c>
      <c r="K77" s="172">
        <v>6.3439999999999996E-2</v>
      </c>
      <c r="L77" s="172">
        <v>0.88166999999999995</v>
      </c>
      <c r="M77" s="172">
        <v>0.7036</v>
      </c>
      <c r="N77" s="172">
        <v>0.68325000000000002</v>
      </c>
      <c r="O77" s="172">
        <v>0.26667999999999997</v>
      </c>
      <c r="P77" s="172">
        <v>0.49443999999999999</v>
      </c>
      <c r="Q77" s="172">
        <v>0.62795000000000001</v>
      </c>
      <c r="R77" s="172">
        <v>0.53846000000000005</v>
      </c>
      <c r="S77" s="172">
        <v>0.61775000000000002</v>
      </c>
      <c r="T77" s="172">
        <v>0.39783000000000002</v>
      </c>
      <c r="U77" s="172">
        <v>0.51512000000000002</v>
      </c>
      <c r="V77" s="172">
        <v>0.85029999999999994</v>
      </c>
      <c r="W77" s="172">
        <v>0.90915999999999997</v>
      </c>
      <c r="X77" s="172">
        <v>0.83218000000000003</v>
      </c>
      <c r="Y77" s="172">
        <v>0.87373000000000001</v>
      </c>
      <c r="Z77" s="172">
        <v>0.83899000000000001</v>
      </c>
      <c r="AA77" s="172">
        <v>0.51390000000000002</v>
      </c>
      <c r="AB77" s="172">
        <v>0.90839999999999999</v>
      </c>
      <c r="AC77" s="172">
        <v>0.46121000000000001</v>
      </c>
      <c r="AD77" s="172">
        <v>0.11781</v>
      </c>
      <c r="AE77" s="172">
        <v>0.83482000000000001</v>
      </c>
      <c r="AF77" s="172">
        <v>0.36075000000000002</v>
      </c>
      <c r="AG77" s="172">
        <v>0.82428999999999997</v>
      </c>
      <c r="AH77" s="172">
        <v>0.83652000000000004</v>
      </c>
      <c r="AI77" s="172">
        <v>0.82055</v>
      </c>
      <c r="AJ77" s="172">
        <v>0.27228000000000002</v>
      </c>
      <c r="AK77" s="172">
        <v>0.10292999999999999</v>
      </c>
      <c r="AL77" s="172">
        <v>0.54330000000000001</v>
      </c>
      <c r="AM77" s="172">
        <v>0.35161999999999999</v>
      </c>
      <c r="AN77" s="172">
        <v>0.67637999999999998</v>
      </c>
      <c r="AO77" s="172">
        <v>8.7959999999999997E-2</v>
      </c>
      <c r="AP77" s="172">
        <v>0.19927</v>
      </c>
      <c r="AQ77" s="172">
        <v>0.89754</v>
      </c>
      <c r="AR77" s="172">
        <v>0.37529000000000001</v>
      </c>
      <c r="AS77" s="172">
        <v>0.26567000000000002</v>
      </c>
      <c r="AT77" s="172">
        <v>5.2109999999999997E-2</v>
      </c>
      <c r="AU77" s="172">
        <v>0.17773</v>
      </c>
      <c r="AV77" s="172">
        <v>0.22799</v>
      </c>
      <c r="AW77" s="172">
        <v>0.78957999999999995</v>
      </c>
      <c r="AX77" s="172">
        <v>0.17893000000000001</v>
      </c>
      <c r="AY77" s="172">
        <v>0.10553</v>
      </c>
      <c r="AZ77" s="172">
        <v>0.17093</v>
      </c>
      <c r="BA77" s="172">
        <v>0.22450000000000001</v>
      </c>
      <c r="BB77" s="172">
        <v>7.8490000000000004E-2</v>
      </c>
      <c r="BC77" s="172">
        <v>7.1209999999999996E-2</v>
      </c>
      <c r="BD77" s="172">
        <v>0.61434999999999995</v>
      </c>
      <c r="BE77" s="172">
        <v>0.52734999999999999</v>
      </c>
      <c r="BF77" s="172">
        <v>0.19242999999999999</v>
      </c>
      <c r="BG77" s="172">
        <v>6.7860000000000004E-2</v>
      </c>
      <c r="BH77" s="172">
        <v>8.1409999999999996E-2</v>
      </c>
      <c r="BI77" s="172">
        <v>0.52891999999999995</v>
      </c>
      <c r="BJ77" s="172">
        <v>0.70960000000000001</v>
      </c>
      <c r="BK77" s="172">
        <v>0.41127000000000002</v>
      </c>
      <c r="BL77" s="172">
        <v>0.61321000000000003</v>
      </c>
      <c r="BM77" s="172">
        <v>9.264E-2</v>
      </c>
      <c r="BN77" s="172">
        <v>0.11151</v>
      </c>
      <c r="BO77" s="172">
        <v>1.106E-2</v>
      </c>
      <c r="BP77" s="172">
        <v>5.9670000000000001E-2</v>
      </c>
      <c r="BQ77" s="172">
        <v>6.8150000000000002E-2</v>
      </c>
      <c r="BR77" s="172">
        <v>0.23921000000000001</v>
      </c>
      <c r="BS77" s="172">
        <v>0.20441999999999999</v>
      </c>
      <c r="BT77" s="172">
        <v>0.30629000000000001</v>
      </c>
      <c r="BU77" s="172">
        <v>0.14004</v>
      </c>
      <c r="BV77" s="172">
        <v>0.45534000000000002</v>
      </c>
      <c r="BW77" s="172">
        <v>0.27055000000000001</v>
      </c>
      <c r="BX77" s="172">
        <v>0.15523999999999999</v>
      </c>
      <c r="BY77" s="172">
        <v>0.10867</v>
      </c>
      <c r="BZ77" s="172">
        <v>0.13916999999999999</v>
      </c>
      <c r="CA77" s="172">
        <v>0.33896999999999999</v>
      </c>
      <c r="CB77" s="172">
        <v>0.21842</v>
      </c>
      <c r="CC77" s="172">
        <v>0.76868000000000003</v>
      </c>
      <c r="CD77" s="172">
        <v>0.65419000000000005</v>
      </c>
      <c r="CE77" s="172">
        <v>0.46165</v>
      </c>
      <c r="CF77" s="172">
        <v>0.86826000000000003</v>
      </c>
      <c r="CG77" s="172">
        <v>0.68162</v>
      </c>
      <c r="CH77" s="172">
        <v>6.3490000000000005E-2</v>
      </c>
      <c r="CI77" s="172">
        <v>0.32417000000000001</v>
      </c>
      <c r="CJ77" s="172">
        <v>0.77312999999999998</v>
      </c>
      <c r="CK77" s="172">
        <v>0.18026</v>
      </c>
      <c r="CL77" s="172">
        <v>0.70374999999999999</v>
      </c>
      <c r="CM77" s="172">
        <v>0.45218999999999998</v>
      </c>
      <c r="CN77" s="172">
        <v>0.24973000000000001</v>
      </c>
      <c r="CO77" s="172">
        <v>0.61633000000000004</v>
      </c>
      <c r="CP77" s="172">
        <v>0.67212000000000005</v>
      </c>
      <c r="CQ77" s="172">
        <v>0.74189000000000005</v>
      </c>
      <c r="CR77" s="172">
        <v>0.64600000000000002</v>
      </c>
      <c r="CS77" s="172">
        <v>0.86234999999999995</v>
      </c>
      <c r="CT77" s="172">
        <v>0.88859999999999995</v>
      </c>
      <c r="CU77" s="172">
        <v>0.28021000000000001</v>
      </c>
      <c r="CV77" s="172">
        <v>0.81494</v>
      </c>
      <c r="CW77" s="172">
        <v>0.63293999999999995</v>
      </c>
    </row>
    <row r="78" spans="1:101">
      <c r="A78" s="171">
        <f t="shared" si="1"/>
        <v>700</v>
      </c>
      <c r="B78" s="171">
        <v>1</v>
      </c>
      <c r="C78" s="172">
        <v>0.89259999999999995</v>
      </c>
      <c r="D78" s="172">
        <v>0.77459999999999996</v>
      </c>
      <c r="E78" s="172">
        <v>0.20393</v>
      </c>
      <c r="F78" s="172">
        <v>0.51190999999999998</v>
      </c>
      <c r="G78" s="172">
        <v>0.90256000000000003</v>
      </c>
      <c r="H78" s="172">
        <v>0.68123</v>
      </c>
      <c r="I78" s="172">
        <v>0.46450000000000002</v>
      </c>
      <c r="J78" s="172">
        <v>0.61109000000000002</v>
      </c>
      <c r="K78" s="172">
        <v>6.2759999999999996E-2</v>
      </c>
      <c r="L78" s="172">
        <v>0.88290999999999997</v>
      </c>
      <c r="M78" s="172">
        <v>0.71680999999999995</v>
      </c>
      <c r="N78" s="172">
        <v>0.68676000000000004</v>
      </c>
      <c r="O78" s="172">
        <v>0.26616000000000001</v>
      </c>
      <c r="P78" s="172">
        <v>0.49490000000000001</v>
      </c>
      <c r="Q78" s="172">
        <v>0.62992999999999999</v>
      </c>
      <c r="R78" s="172">
        <v>0.55239000000000005</v>
      </c>
      <c r="S78" s="172">
        <v>0.63924000000000003</v>
      </c>
      <c r="T78" s="172">
        <v>0.4012</v>
      </c>
      <c r="U78" s="172">
        <v>0.51439999999999997</v>
      </c>
      <c r="V78" s="172">
        <v>0.85587999999999997</v>
      </c>
      <c r="W78" s="172">
        <v>0.90988999999999998</v>
      </c>
      <c r="X78" s="172">
        <v>0.83587</v>
      </c>
      <c r="Y78" s="172">
        <v>0.87656999999999996</v>
      </c>
      <c r="Z78" s="172">
        <v>0.83740000000000003</v>
      </c>
      <c r="AA78" s="172">
        <v>0.51820999999999995</v>
      </c>
      <c r="AB78" s="172">
        <v>0.90880000000000005</v>
      </c>
      <c r="AC78" s="172">
        <v>0.46356999999999998</v>
      </c>
      <c r="AD78" s="172">
        <v>0.11627</v>
      </c>
      <c r="AE78" s="172">
        <v>0.83914999999999995</v>
      </c>
      <c r="AF78" s="172">
        <v>0.36514000000000002</v>
      </c>
      <c r="AG78" s="172">
        <v>0.82611000000000001</v>
      </c>
      <c r="AH78" s="172">
        <v>0.85260000000000002</v>
      </c>
      <c r="AI78" s="172">
        <v>0.82325999999999999</v>
      </c>
      <c r="AJ78" s="172">
        <v>0.27417000000000002</v>
      </c>
      <c r="AK78" s="172">
        <v>0.10364</v>
      </c>
      <c r="AL78" s="172">
        <v>0.53563000000000005</v>
      </c>
      <c r="AM78" s="172">
        <v>0.4007</v>
      </c>
      <c r="AN78" s="172">
        <v>0.67857000000000001</v>
      </c>
      <c r="AO78" s="172">
        <v>8.7690000000000004E-2</v>
      </c>
      <c r="AP78" s="172">
        <v>0.19681999999999999</v>
      </c>
      <c r="AQ78" s="172">
        <v>0.90410000000000001</v>
      </c>
      <c r="AR78" s="172">
        <v>0.40848000000000001</v>
      </c>
      <c r="AS78" s="172">
        <v>0.30730000000000002</v>
      </c>
      <c r="AT78" s="172">
        <v>5.1999999999999998E-2</v>
      </c>
      <c r="AU78" s="172">
        <v>0.17987</v>
      </c>
      <c r="AV78" s="172">
        <v>0.23080000000000001</v>
      </c>
      <c r="AW78" s="172">
        <v>0.8115</v>
      </c>
      <c r="AX78" s="172">
        <v>0.17713000000000001</v>
      </c>
      <c r="AY78" s="172">
        <v>0.10789</v>
      </c>
      <c r="AZ78" s="172">
        <v>0.16613</v>
      </c>
      <c r="BA78" s="172">
        <v>0.21783</v>
      </c>
      <c r="BB78" s="172">
        <v>7.6050000000000006E-2</v>
      </c>
      <c r="BC78" s="172">
        <v>7.2400000000000006E-2</v>
      </c>
      <c r="BD78" s="172">
        <v>0.62319999999999998</v>
      </c>
      <c r="BE78" s="172">
        <v>0.52854000000000001</v>
      </c>
      <c r="BF78" s="172">
        <v>0.19647000000000001</v>
      </c>
      <c r="BG78" s="172">
        <v>8.6599999999999996E-2</v>
      </c>
      <c r="BH78" s="172">
        <v>8.3960000000000007E-2</v>
      </c>
      <c r="BI78" s="172">
        <v>0.52049999999999996</v>
      </c>
      <c r="BJ78" s="172">
        <v>0.70852999999999999</v>
      </c>
      <c r="BK78" s="172">
        <v>0.40798000000000001</v>
      </c>
      <c r="BL78" s="172">
        <v>0.66320999999999997</v>
      </c>
      <c r="BM78" s="172">
        <v>9.9040000000000003E-2</v>
      </c>
      <c r="BN78" s="172">
        <v>0.11115</v>
      </c>
      <c r="BO78" s="172">
        <v>1.132E-2</v>
      </c>
      <c r="BP78" s="172">
        <v>5.96E-2</v>
      </c>
      <c r="BQ78" s="172">
        <v>6.7799999999999999E-2</v>
      </c>
      <c r="BR78" s="172">
        <v>0.23629</v>
      </c>
      <c r="BS78" s="172">
        <v>0.20218</v>
      </c>
      <c r="BT78" s="172">
        <v>0.30358000000000002</v>
      </c>
      <c r="BU78" s="172">
        <v>0.15140000000000001</v>
      </c>
      <c r="BV78" s="172">
        <v>0.45598</v>
      </c>
      <c r="BW78" s="172">
        <v>0.30889</v>
      </c>
      <c r="BX78" s="172">
        <v>0.18665000000000001</v>
      </c>
      <c r="BY78" s="172">
        <v>0.11600000000000001</v>
      </c>
      <c r="BZ78" s="172">
        <v>0.12970000000000001</v>
      </c>
      <c r="CA78" s="172">
        <v>0.33667000000000002</v>
      </c>
      <c r="CB78" s="172">
        <v>0.25387999999999999</v>
      </c>
      <c r="CC78" s="172">
        <v>0.78344000000000003</v>
      </c>
      <c r="CD78" s="172">
        <v>0.68462999999999996</v>
      </c>
      <c r="CE78" s="172">
        <v>0.46531</v>
      </c>
      <c r="CF78" s="172">
        <v>0.88139999999999996</v>
      </c>
      <c r="CG78" s="172">
        <v>0.70289999999999997</v>
      </c>
      <c r="CH78" s="172">
        <v>6.2920000000000004E-2</v>
      </c>
      <c r="CI78" s="172">
        <v>0.33878000000000003</v>
      </c>
      <c r="CJ78" s="172">
        <v>0.78195000000000003</v>
      </c>
      <c r="CK78" s="172">
        <v>0.17802999999999999</v>
      </c>
      <c r="CL78" s="172">
        <v>0.73573999999999995</v>
      </c>
      <c r="CM78" s="172">
        <v>0.49038999999999999</v>
      </c>
      <c r="CN78" s="172">
        <v>0.25119999999999998</v>
      </c>
      <c r="CO78" s="172">
        <v>0.60748999999999997</v>
      </c>
      <c r="CP78" s="172">
        <v>0.68574999999999997</v>
      </c>
      <c r="CQ78" s="172">
        <v>0.74956999999999996</v>
      </c>
      <c r="CR78" s="172">
        <v>0.67315999999999998</v>
      </c>
      <c r="CS78" s="172">
        <v>0.86492000000000002</v>
      </c>
      <c r="CT78" s="172">
        <v>0.88988</v>
      </c>
      <c r="CU78" s="172">
        <v>0.27279999999999999</v>
      </c>
      <c r="CV78" s="172">
        <v>0.82813999999999999</v>
      </c>
      <c r="CW78" s="172">
        <v>0.63380000000000003</v>
      </c>
    </row>
    <row r="79" spans="1:101">
      <c r="A79" s="171">
        <f t="shared" ref="A79:A94" si="2">A78+5</f>
        <v>705</v>
      </c>
      <c r="B79" s="171">
        <v>1</v>
      </c>
      <c r="C79" s="172">
        <v>0.89259999999999995</v>
      </c>
      <c r="D79" s="172">
        <v>0.77459999999999996</v>
      </c>
      <c r="E79" s="172">
        <v>0.21328</v>
      </c>
      <c r="F79" s="172">
        <v>0.51290999999999998</v>
      </c>
      <c r="G79" s="172">
        <v>0.91091</v>
      </c>
      <c r="H79" s="172">
        <v>0.70786000000000004</v>
      </c>
      <c r="I79" s="172">
        <v>0.46450000000000002</v>
      </c>
      <c r="J79" s="172">
        <v>0.61878</v>
      </c>
      <c r="K79" s="172">
        <v>6.2280000000000002E-2</v>
      </c>
      <c r="L79" s="172">
        <v>0.88290999999999997</v>
      </c>
      <c r="M79" s="172">
        <v>0.73385999999999996</v>
      </c>
      <c r="N79" s="172">
        <v>0.68638999999999994</v>
      </c>
      <c r="O79" s="172">
        <v>0.26597999999999999</v>
      </c>
      <c r="P79" s="172">
        <v>0.49490000000000001</v>
      </c>
      <c r="Q79" s="172">
        <v>0.63283999999999996</v>
      </c>
      <c r="R79" s="172">
        <v>0.56803999999999999</v>
      </c>
      <c r="S79" s="172">
        <v>0.66822999999999999</v>
      </c>
      <c r="T79" s="172">
        <v>0.4012</v>
      </c>
      <c r="U79" s="172">
        <v>0.51439999999999997</v>
      </c>
      <c r="V79" s="172">
        <v>0.86331000000000002</v>
      </c>
      <c r="W79" s="172">
        <v>0.91076000000000001</v>
      </c>
      <c r="X79" s="172">
        <v>0.83979000000000004</v>
      </c>
      <c r="Y79" s="172">
        <v>0.87983999999999996</v>
      </c>
      <c r="Z79" s="172">
        <v>0.83740000000000003</v>
      </c>
      <c r="AA79" s="172">
        <v>0.52734999999999999</v>
      </c>
      <c r="AB79" s="172">
        <v>0.90888000000000002</v>
      </c>
      <c r="AC79" s="172">
        <v>0.47205000000000003</v>
      </c>
      <c r="AD79" s="172">
        <v>0.11443</v>
      </c>
      <c r="AE79" s="172">
        <v>0.84423000000000004</v>
      </c>
      <c r="AF79" s="172">
        <v>0.36958999999999997</v>
      </c>
      <c r="AG79" s="172">
        <v>0.82769000000000004</v>
      </c>
      <c r="AH79" s="172">
        <v>0.85260000000000002</v>
      </c>
      <c r="AI79" s="172">
        <v>0.82593000000000005</v>
      </c>
      <c r="AJ79" s="172">
        <v>0.27417000000000002</v>
      </c>
      <c r="AK79" s="172">
        <v>0.10364</v>
      </c>
      <c r="AL79" s="172">
        <v>0.52629999999999999</v>
      </c>
      <c r="AM79" s="172">
        <v>0.45484000000000002</v>
      </c>
      <c r="AN79" s="172">
        <v>0.68189999999999995</v>
      </c>
      <c r="AO79" s="172">
        <v>8.7599999999999997E-2</v>
      </c>
      <c r="AP79" s="172">
        <v>0.19524</v>
      </c>
      <c r="AQ79" s="172">
        <v>0.90410000000000001</v>
      </c>
      <c r="AR79" s="172">
        <v>0.43191000000000002</v>
      </c>
      <c r="AS79" s="172">
        <v>0.30730000000000002</v>
      </c>
      <c r="AT79" s="172">
        <v>5.1999999999999998E-2</v>
      </c>
      <c r="AU79" s="172">
        <v>0.1802</v>
      </c>
      <c r="AV79" s="172">
        <v>0.23080000000000001</v>
      </c>
      <c r="AW79" s="172">
        <v>0.8115</v>
      </c>
      <c r="AX79" s="172">
        <v>0.17599000000000001</v>
      </c>
      <c r="AY79" s="172">
        <v>0.11019</v>
      </c>
      <c r="AZ79" s="172">
        <v>0.16278999999999999</v>
      </c>
      <c r="BA79" s="172">
        <v>0.2132</v>
      </c>
      <c r="BB79" s="172">
        <v>7.4410000000000004E-2</v>
      </c>
      <c r="BC79" s="172">
        <v>7.2400000000000006E-2</v>
      </c>
      <c r="BD79" s="172">
        <v>0.62319999999999998</v>
      </c>
      <c r="BE79" s="172">
        <v>0.52898999999999996</v>
      </c>
      <c r="BF79" s="172">
        <v>0.19647000000000001</v>
      </c>
      <c r="BG79" s="172">
        <v>8.6599999999999996E-2</v>
      </c>
      <c r="BH79" s="172">
        <v>8.5339999999999999E-2</v>
      </c>
      <c r="BI79" s="172">
        <v>0.52049999999999996</v>
      </c>
      <c r="BJ79" s="172">
        <v>0.70806999999999998</v>
      </c>
      <c r="BK79" s="172">
        <v>0.40561999999999998</v>
      </c>
      <c r="BL79" s="172">
        <v>0.70794000000000001</v>
      </c>
      <c r="BM79" s="172">
        <v>0.10693999999999999</v>
      </c>
      <c r="BN79" s="172">
        <v>0.11115</v>
      </c>
      <c r="BO79" s="172">
        <v>1.1390000000000001E-2</v>
      </c>
      <c r="BP79" s="172">
        <v>5.96E-2</v>
      </c>
      <c r="BQ79" s="172">
        <v>6.7799999999999999E-2</v>
      </c>
      <c r="BR79" s="172">
        <v>0.23427999999999999</v>
      </c>
      <c r="BS79" s="172">
        <v>0.20050999999999999</v>
      </c>
      <c r="BT79" s="172">
        <v>0.30159999999999998</v>
      </c>
      <c r="BU79" s="172">
        <v>0.15140000000000001</v>
      </c>
      <c r="BV79" s="172">
        <v>0.45651999999999998</v>
      </c>
      <c r="BW79" s="172">
        <v>0.34889999999999999</v>
      </c>
      <c r="BX79" s="172">
        <v>0.22083</v>
      </c>
      <c r="BY79" s="172">
        <v>0.11600000000000001</v>
      </c>
      <c r="BZ79" s="172">
        <v>0.12970000000000001</v>
      </c>
      <c r="CA79" s="172">
        <v>0.33133000000000001</v>
      </c>
      <c r="CB79" s="172">
        <v>0.29220000000000002</v>
      </c>
      <c r="CC79" s="172">
        <v>0.79525000000000001</v>
      </c>
      <c r="CD79" s="172">
        <v>0.71299000000000001</v>
      </c>
      <c r="CE79" s="172">
        <v>0.47144999999999998</v>
      </c>
      <c r="CF79" s="172">
        <v>0.88139999999999996</v>
      </c>
      <c r="CG79" s="172">
        <v>0.70289999999999997</v>
      </c>
      <c r="CH79" s="172">
        <v>6.2570000000000001E-2</v>
      </c>
      <c r="CI79" s="172">
        <v>0.34908</v>
      </c>
      <c r="CJ79" s="172">
        <v>0.78747</v>
      </c>
      <c r="CK79" s="172">
        <v>0.17751</v>
      </c>
      <c r="CL79" s="172">
        <v>0.77275000000000005</v>
      </c>
      <c r="CM79" s="172">
        <v>0.53154999999999997</v>
      </c>
      <c r="CN79" s="172">
        <v>0.25119999999999998</v>
      </c>
      <c r="CO79" s="172">
        <v>0.59714999999999996</v>
      </c>
      <c r="CP79" s="172">
        <v>0.7006</v>
      </c>
      <c r="CQ79" s="172">
        <v>0.75580999999999998</v>
      </c>
      <c r="CR79" s="172">
        <v>0.70121</v>
      </c>
      <c r="CS79" s="172">
        <v>0.87151000000000001</v>
      </c>
      <c r="CT79" s="172">
        <v>0.89554</v>
      </c>
      <c r="CU79" s="172">
        <v>0.27279999999999999</v>
      </c>
      <c r="CV79" s="172">
        <v>0.82813999999999999</v>
      </c>
      <c r="CW79" s="172">
        <v>0.63380000000000003</v>
      </c>
    </row>
    <row r="80" spans="1:101">
      <c r="A80" s="171">
        <f t="shared" si="2"/>
        <v>710</v>
      </c>
      <c r="B80" s="171">
        <v>1</v>
      </c>
      <c r="C80" s="172">
        <v>0.89259999999999995</v>
      </c>
      <c r="D80" s="172">
        <v>0.77459999999999996</v>
      </c>
      <c r="E80" s="172">
        <v>0.21965999999999999</v>
      </c>
      <c r="F80" s="172">
        <v>0.51485000000000003</v>
      </c>
      <c r="G80" s="172">
        <v>0.91776000000000002</v>
      </c>
      <c r="H80" s="172">
        <v>0.73016999999999999</v>
      </c>
      <c r="I80" s="172">
        <v>0.46450000000000002</v>
      </c>
      <c r="J80" s="172">
        <v>0.62573999999999996</v>
      </c>
      <c r="K80" s="172">
        <v>6.173E-2</v>
      </c>
      <c r="L80" s="172">
        <v>0.88290999999999997</v>
      </c>
      <c r="M80" s="172">
        <v>0.74863000000000002</v>
      </c>
      <c r="N80" s="172">
        <v>0.68745000000000001</v>
      </c>
      <c r="O80" s="172">
        <v>0.26566000000000001</v>
      </c>
      <c r="P80" s="172">
        <v>0.49490000000000001</v>
      </c>
      <c r="Q80" s="172">
        <v>0.63536000000000004</v>
      </c>
      <c r="R80" s="172">
        <v>0.58282999999999996</v>
      </c>
      <c r="S80" s="172">
        <v>0.69291999999999998</v>
      </c>
      <c r="T80" s="172">
        <v>0.4012</v>
      </c>
      <c r="U80" s="172">
        <v>0.51439999999999997</v>
      </c>
      <c r="V80" s="172">
        <v>0.86963999999999997</v>
      </c>
      <c r="W80" s="172">
        <v>0.91156999999999999</v>
      </c>
      <c r="X80" s="172">
        <v>0.84304999999999997</v>
      </c>
      <c r="Y80" s="172">
        <v>0.88270999999999999</v>
      </c>
      <c r="Z80" s="172">
        <v>0.83740000000000003</v>
      </c>
      <c r="AA80" s="172">
        <v>0.53454999999999997</v>
      </c>
      <c r="AB80" s="172">
        <v>0.90880000000000005</v>
      </c>
      <c r="AC80" s="172">
        <v>0.47815999999999997</v>
      </c>
      <c r="AD80" s="172">
        <v>0.11559</v>
      </c>
      <c r="AE80" s="172">
        <v>0.84884999999999999</v>
      </c>
      <c r="AF80" s="172">
        <v>0.37419000000000002</v>
      </c>
      <c r="AG80" s="172">
        <v>0.82899</v>
      </c>
      <c r="AH80" s="172">
        <v>0.85260000000000002</v>
      </c>
      <c r="AI80" s="172">
        <v>0.82804</v>
      </c>
      <c r="AJ80" s="172">
        <v>0.27417000000000002</v>
      </c>
      <c r="AK80" s="172">
        <v>0.10364</v>
      </c>
      <c r="AL80" s="172">
        <v>0.51785999999999999</v>
      </c>
      <c r="AM80" s="172">
        <v>0.50885999999999998</v>
      </c>
      <c r="AN80" s="172">
        <v>0.68591999999999997</v>
      </c>
      <c r="AO80" s="172">
        <v>8.7429999999999994E-2</v>
      </c>
      <c r="AP80" s="172">
        <v>0.19333</v>
      </c>
      <c r="AQ80" s="172">
        <v>0.90410000000000001</v>
      </c>
      <c r="AR80" s="172">
        <v>0.45995999999999998</v>
      </c>
      <c r="AS80" s="172">
        <v>0.30730000000000002</v>
      </c>
      <c r="AT80" s="172">
        <v>5.1999999999999998E-2</v>
      </c>
      <c r="AU80" s="172">
        <v>0.18</v>
      </c>
      <c r="AV80" s="172">
        <v>0.23080000000000001</v>
      </c>
      <c r="AW80" s="172">
        <v>0.8115</v>
      </c>
      <c r="AX80" s="172">
        <v>0.17549999999999999</v>
      </c>
      <c r="AY80" s="172">
        <v>0.11246</v>
      </c>
      <c r="AZ80" s="172">
        <v>0.15895999999999999</v>
      </c>
      <c r="BA80" s="172">
        <v>0.20788999999999999</v>
      </c>
      <c r="BB80" s="172">
        <v>7.2510000000000005E-2</v>
      </c>
      <c r="BC80" s="172">
        <v>7.2400000000000006E-2</v>
      </c>
      <c r="BD80" s="172">
        <v>0.62319999999999998</v>
      </c>
      <c r="BE80" s="172">
        <v>0.52954000000000001</v>
      </c>
      <c r="BF80" s="172">
        <v>0.19647000000000001</v>
      </c>
      <c r="BG80" s="172">
        <v>8.6599999999999996E-2</v>
      </c>
      <c r="BH80" s="172">
        <v>8.5540000000000005E-2</v>
      </c>
      <c r="BI80" s="172">
        <v>0.52049999999999996</v>
      </c>
      <c r="BJ80" s="172">
        <v>0.70918000000000003</v>
      </c>
      <c r="BK80" s="172">
        <v>0.40289000000000003</v>
      </c>
      <c r="BL80" s="172">
        <v>0.74966999999999995</v>
      </c>
      <c r="BM80" s="172">
        <v>0.11491999999999999</v>
      </c>
      <c r="BN80" s="172">
        <v>0.11115</v>
      </c>
      <c r="BO80" s="172">
        <v>1.154E-2</v>
      </c>
      <c r="BP80" s="172">
        <v>5.96E-2</v>
      </c>
      <c r="BQ80" s="172">
        <v>6.7799999999999999E-2</v>
      </c>
      <c r="BR80" s="172">
        <v>0.23191999999999999</v>
      </c>
      <c r="BS80" s="172">
        <v>0.19863</v>
      </c>
      <c r="BT80" s="172">
        <v>0.29932999999999998</v>
      </c>
      <c r="BU80" s="172">
        <v>0.15140000000000001</v>
      </c>
      <c r="BV80" s="172">
        <v>0.45709</v>
      </c>
      <c r="BW80" s="172">
        <v>0.39166000000000001</v>
      </c>
      <c r="BX80" s="172">
        <v>0.26012999999999997</v>
      </c>
      <c r="BY80" s="172">
        <v>0.11600000000000001</v>
      </c>
      <c r="BZ80" s="172">
        <v>0.12970000000000001</v>
      </c>
      <c r="CA80" s="172">
        <v>0.32424999999999998</v>
      </c>
      <c r="CB80" s="172">
        <v>0.33405000000000001</v>
      </c>
      <c r="CC80" s="172">
        <v>0.80745</v>
      </c>
      <c r="CD80" s="172">
        <v>0.73843000000000003</v>
      </c>
      <c r="CE80" s="172">
        <v>0.47513</v>
      </c>
      <c r="CF80" s="172">
        <v>0.88139999999999996</v>
      </c>
      <c r="CG80" s="172">
        <v>0.70289999999999997</v>
      </c>
      <c r="CH80" s="172">
        <v>6.2140000000000001E-2</v>
      </c>
      <c r="CI80" s="172">
        <v>0.36054000000000003</v>
      </c>
      <c r="CJ80" s="172">
        <v>0.79408999999999996</v>
      </c>
      <c r="CK80" s="172">
        <v>0.17632</v>
      </c>
      <c r="CL80" s="172">
        <v>0.80334000000000005</v>
      </c>
      <c r="CM80" s="172">
        <v>0.57116999999999996</v>
      </c>
      <c r="CN80" s="172">
        <v>0.25119999999999998</v>
      </c>
      <c r="CO80" s="172">
        <v>0.58830000000000005</v>
      </c>
      <c r="CP80" s="172">
        <v>0.71303000000000005</v>
      </c>
      <c r="CQ80" s="172">
        <v>0.76012999999999997</v>
      </c>
      <c r="CR80" s="172">
        <v>0.72706999999999999</v>
      </c>
      <c r="CS80" s="172">
        <v>0.87626999999999999</v>
      </c>
      <c r="CT80" s="172">
        <v>0.89927999999999997</v>
      </c>
      <c r="CU80" s="172">
        <v>0.27279999999999999</v>
      </c>
      <c r="CV80" s="172">
        <v>0.82813999999999999</v>
      </c>
      <c r="CW80" s="172">
        <v>0.63380000000000003</v>
      </c>
    </row>
    <row r="81" spans="1:101">
      <c r="A81" s="171">
        <f t="shared" si="2"/>
        <v>715</v>
      </c>
      <c r="B81" s="171">
        <v>1</v>
      </c>
      <c r="C81" s="172">
        <v>0.89259999999999995</v>
      </c>
      <c r="D81" s="172">
        <v>0.77459999999999996</v>
      </c>
      <c r="E81" s="172">
        <v>0.22617000000000001</v>
      </c>
      <c r="F81" s="172">
        <v>0.51666999999999996</v>
      </c>
      <c r="G81" s="172">
        <v>0.92303999999999997</v>
      </c>
      <c r="H81" s="172">
        <v>0.75138000000000005</v>
      </c>
      <c r="I81" s="172">
        <v>0.46450000000000002</v>
      </c>
      <c r="J81" s="172">
        <v>0.63173000000000001</v>
      </c>
      <c r="K81" s="172">
        <v>6.1179999999999998E-2</v>
      </c>
      <c r="L81" s="172">
        <v>0.88290999999999997</v>
      </c>
      <c r="M81" s="172">
        <v>0.76285000000000003</v>
      </c>
      <c r="N81" s="172">
        <v>0.68850999999999996</v>
      </c>
      <c r="O81" s="172">
        <v>0.26534999999999997</v>
      </c>
      <c r="P81" s="172">
        <v>0.49490000000000001</v>
      </c>
      <c r="Q81" s="172">
        <v>0.63788</v>
      </c>
      <c r="R81" s="172">
        <v>0.59748000000000001</v>
      </c>
      <c r="S81" s="172">
        <v>0.71655999999999997</v>
      </c>
      <c r="T81" s="172">
        <v>0.4012</v>
      </c>
      <c r="U81" s="172">
        <v>0.51444000000000001</v>
      </c>
      <c r="V81" s="172">
        <v>0.87572000000000005</v>
      </c>
      <c r="W81" s="172">
        <v>0.91237000000000001</v>
      </c>
      <c r="X81" s="172">
        <v>0.84486000000000006</v>
      </c>
      <c r="Y81" s="172">
        <v>0.88441000000000003</v>
      </c>
      <c r="Z81" s="172">
        <v>0.83740000000000003</v>
      </c>
      <c r="AA81" s="172">
        <v>0.54174999999999995</v>
      </c>
      <c r="AB81" s="172">
        <v>0.90880000000000005</v>
      </c>
      <c r="AC81" s="172">
        <v>0.48429</v>
      </c>
      <c r="AD81" s="172">
        <v>0.11697</v>
      </c>
      <c r="AE81" s="172">
        <v>0.85335000000000005</v>
      </c>
      <c r="AF81" s="172">
        <v>0.37881999999999999</v>
      </c>
      <c r="AG81" s="172">
        <v>0.82992999999999995</v>
      </c>
      <c r="AH81" s="172">
        <v>0.85260000000000002</v>
      </c>
      <c r="AI81" s="172">
        <v>0.82923999999999998</v>
      </c>
      <c r="AJ81" s="172">
        <v>0.27417000000000002</v>
      </c>
      <c r="AK81" s="172">
        <v>0.10364</v>
      </c>
      <c r="AL81" s="172">
        <v>0.51115999999999995</v>
      </c>
      <c r="AM81" s="172">
        <v>0.56267</v>
      </c>
      <c r="AN81" s="172">
        <v>0.68952000000000002</v>
      </c>
      <c r="AO81" s="172">
        <v>8.727E-2</v>
      </c>
      <c r="AP81" s="172">
        <v>0.19144</v>
      </c>
      <c r="AQ81" s="172">
        <v>0.90410000000000001</v>
      </c>
      <c r="AR81" s="172">
        <v>0.48826000000000003</v>
      </c>
      <c r="AS81" s="172">
        <v>0.30730000000000002</v>
      </c>
      <c r="AT81" s="172">
        <v>5.1999999999999998E-2</v>
      </c>
      <c r="AU81" s="172">
        <v>0.17773</v>
      </c>
      <c r="AV81" s="172">
        <v>0.23080000000000001</v>
      </c>
      <c r="AW81" s="172">
        <v>0.8115</v>
      </c>
      <c r="AX81" s="172">
        <v>0.17563999999999999</v>
      </c>
      <c r="AY81" s="172">
        <v>0.11484</v>
      </c>
      <c r="AZ81" s="172">
        <v>0.15520999999999999</v>
      </c>
      <c r="BA81" s="172">
        <v>0.20268</v>
      </c>
      <c r="BB81" s="172">
        <v>7.0650000000000004E-2</v>
      </c>
      <c r="BC81" s="172">
        <v>7.2400000000000006E-2</v>
      </c>
      <c r="BD81" s="172">
        <v>0.62319999999999998</v>
      </c>
      <c r="BE81" s="172">
        <v>0.53108999999999995</v>
      </c>
      <c r="BF81" s="172">
        <v>0.19647000000000001</v>
      </c>
      <c r="BG81" s="172">
        <v>8.6599999999999996E-2</v>
      </c>
      <c r="BH81" s="172">
        <v>8.4760000000000002E-2</v>
      </c>
      <c r="BI81" s="172">
        <v>0.52049999999999996</v>
      </c>
      <c r="BJ81" s="172">
        <v>0.71260999999999997</v>
      </c>
      <c r="BK81" s="172">
        <v>0.40017000000000003</v>
      </c>
      <c r="BL81" s="172">
        <v>0.78722999999999999</v>
      </c>
      <c r="BM81" s="172">
        <v>0.12341000000000001</v>
      </c>
      <c r="BN81" s="172">
        <v>0.11115</v>
      </c>
      <c r="BO81" s="172">
        <v>1.1690000000000001E-2</v>
      </c>
      <c r="BP81" s="172">
        <v>5.96E-2</v>
      </c>
      <c r="BQ81" s="172">
        <v>6.7799999999999999E-2</v>
      </c>
      <c r="BR81" s="172">
        <v>0.22958000000000001</v>
      </c>
      <c r="BS81" s="172">
        <v>0.19675999999999999</v>
      </c>
      <c r="BT81" s="172">
        <v>0.29708000000000001</v>
      </c>
      <c r="BU81" s="172">
        <v>0.15140000000000001</v>
      </c>
      <c r="BV81" s="172">
        <v>0.45767000000000002</v>
      </c>
      <c r="BW81" s="172">
        <v>0.43614999999999998</v>
      </c>
      <c r="BX81" s="172">
        <v>0.30370999999999998</v>
      </c>
      <c r="BY81" s="172">
        <v>0.11600000000000001</v>
      </c>
      <c r="BZ81" s="172">
        <v>0.12970000000000001</v>
      </c>
      <c r="CA81" s="172">
        <v>0.31788</v>
      </c>
      <c r="CB81" s="172">
        <v>0.37868000000000002</v>
      </c>
      <c r="CC81" s="172">
        <v>0.81908000000000003</v>
      </c>
      <c r="CD81" s="172">
        <v>0.76029000000000002</v>
      </c>
      <c r="CE81" s="172">
        <v>0.47881000000000001</v>
      </c>
      <c r="CF81" s="172">
        <v>0.88139999999999996</v>
      </c>
      <c r="CG81" s="172">
        <v>0.70289999999999997</v>
      </c>
      <c r="CH81" s="172">
        <v>6.1710000000000001E-2</v>
      </c>
      <c r="CI81" s="172">
        <v>0.37214999999999998</v>
      </c>
      <c r="CJ81" s="172">
        <v>0.80056000000000005</v>
      </c>
      <c r="CK81" s="172">
        <v>0.17513000000000001</v>
      </c>
      <c r="CL81" s="172">
        <v>0.83070999999999995</v>
      </c>
      <c r="CM81" s="172">
        <v>0.60989000000000004</v>
      </c>
      <c r="CN81" s="172">
        <v>0.25119999999999998</v>
      </c>
      <c r="CO81" s="172">
        <v>0.58145999999999998</v>
      </c>
      <c r="CP81" s="172">
        <v>0.72275</v>
      </c>
      <c r="CQ81" s="172">
        <v>0.76226000000000005</v>
      </c>
      <c r="CR81" s="172">
        <v>0.75148000000000004</v>
      </c>
      <c r="CS81" s="172">
        <v>0.88088999999999995</v>
      </c>
      <c r="CT81" s="172">
        <v>0.90290000000000004</v>
      </c>
      <c r="CU81" s="172">
        <v>0.27279999999999999</v>
      </c>
      <c r="CV81" s="172">
        <v>0.82813999999999999</v>
      </c>
      <c r="CW81" s="172">
        <v>0.63380000000000003</v>
      </c>
    </row>
    <row r="82" spans="1:101">
      <c r="A82" s="171">
        <f t="shared" si="2"/>
        <v>720</v>
      </c>
      <c r="B82" s="171">
        <v>1</v>
      </c>
      <c r="C82" s="172">
        <v>0.89259999999999995</v>
      </c>
      <c r="D82" s="172">
        <v>0.77459999999999996</v>
      </c>
      <c r="E82" s="172">
        <v>0.23280999999999999</v>
      </c>
      <c r="F82" s="172">
        <v>0.51849000000000001</v>
      </c>
      <c r="G82" s="172">
        <v>0.92737000000000003</v>
      </c>
      <c r="H82" s="172">
        <v>0.77144999999999997</v>
      </c>
      <c r="I82" s="172">
        <v>0.46450000000000002</v>
      </c>
      <c r="J82" s="172">
        <v>0.63709000000000005</v>
      </c>
      <c r="K82" s="172">
        <v>6.0639999999999999E-2</v>
      </c>
      <c r="L82" s="172">
        <v>0.88290999999999997</v>
      </c>
      <c r="M82" s="172">
        <v>0.77649999999999997</v>
      </c>
      <c r="N82" s="172">
        <v>0.68957000000000002</v>
      </c>
      <c r="O82" s="172">
        <v>0.26502999999999999</v>
      </c>
      <c r="P82" s="172">
        <v>0.49490000000000001</v>
      </c>
      <c r="Q82" s="172">
        <v>0.64039000000000001</v>
      </c>
      <c r="R82" s="172">
        <v>0.61195999999999995</v>
      </c>
      <c r="S82" s="172">
        <v>0.73904999999999998</v>
      </c>
      <c r="T82" s="172">
        <v>0.4012</v>
      </c>
      <c r="U82" s="172">
        <v>0.51439999999999997</v>
      </c>
      <c r="V82" s="172">
        <v>0.88156000000000001</v>
      </c>
      <c r="W82" s="172">
        <v>0.91315999999999997</v>
      </c>
      <c r="X82" s="172">
        <v>0.84587999999999997</v>
      </c>
      <c r="Y82" s="172">
        <v>0.88578999999999997</v>
      </c>
      <c r="Z82" s="172">
        <v>0.83740000000000003</v>
      </c>
      <c r="AA82" s="172">
        <v>0.54893000000000003</v>
      </c>
      <c r="AB82" s="172">
        <v>0.90880000000000005</v>
      </c>
      <c r="AC82" s="172">
        <v>0.49042000000000002</v>
      </c>
      <c r="AD82" s="172">
        <v>0.11711000000000001</v>
      </c>
      <c r="AE82" s="172">
        <v>0.85775000000000001</v>
      </c>
      <c r="AF82" s="172">
        <v>0.38347999999999999</v>
      </c>
      <c r="AG82" s="172">
        <v>0.83048</v>
      </c>
      <c r="AH82" s="172">
        <v>0.85260000000000002</v>
      </c>
      <c r="AI82" s="172">
        <v>0.83026999999999995</v>
      </c>
      <c r="AJ82" s="172">
        <v>0.27417000000000002</v>
      </c>
      <c r="AK82" s="172">
        <v>0.10364</v>
      </c>
      <c r="AL82" s="172">
        <v>0.50353000000000003</v>
      </c>
      <c r="AM82" s="172">
        <v>0.61504999999999999</v>
      </c>
      <c r="AN82" s="172">
        <v>0.69328000000000001</v>
      </c>
      <c r="AO82" s="172">
        <v>8.7110000000000007E-2</v>
      </c>
      <c r="AP82" s="172">
        <v>0.18956000000000001</v>
      </c>
      <c r="AQ82" s="172">
        <v>0.90410000000000001</v>
      </c>
      <c r="AR82" s="172">
        <v>0.51663999999999999</v>
      </c>
      <c r="AS82" s="172">
        <v>0.30730000000000002</v>
      </c>
      <c r="AT82" s="172">
        <v>5.1999999999999998E-2</v>
      </c>
      <c r="AU82" s="172">
        <v>0.17585999999999999</v>
      </c>
      <c r="AV82" s="172">
        <v>0.23080000000000001</v>
      </c>
      <c r="AW82" s="172">
        <v>0.8115</v>
      </c>
      <c r="AX82" s="172">
        <v>0.17652000000000001</v>
      </c>
      <c r="AY82" s="172">
        <v>0.11756999999999999</v>
      </c>
      <c r="AZ82" s="172">
        <v>0.15154000000000001</v>
      </c>
      <c r="BA82" s="172">
        <v>0.19757</v>
      </c>
      <c r="BB82" s="172">
        <v>6.8839999999999998E-2</v>
      </c>
      <c r="BC82" s="172">
        <v>7.2400000000000006E-2</v>
      </c>
      <c r="BD82" s="172">
        <v>0.62319999999999998</v>
      </c>
      <c r="BE82" s="172">
        <v>0.53478000000000003</v>
      </c>
      <c r="BF82" s="172">
        <v>0.19647000000000001</v>
      </c>
      <c r="BG82" s="172">
        <v>8.6599999999999996E-2</v>
      </c>
      <c r="BH82" s="172">
        <v>8.362E-2</v>
      </c>
      <c r="BI82" s="172">
        <v>0.52049999999999996</v>
      </c>
      <c r="BJ82" s="172">
        <v>0.71858999999999995</v>
      </c>
      <c r="BK82" s="172">
        <v>0.39745999999999998</v>
      </c>
      <c r="BL82" s="172">
        <v>0.82050000000000001</v>
      </c>
      <c r="BM82" s="172">
        <v>0.13244</v>
      </c>
      <c r="BN82" s="172">
        <v>0.11115</v>
      </c>
      <c r="BO82" s="172">
        <v>1.184E-2</v>
      </c>
      <c r="BP82" s="172">
        <v>5.96E-2</v>
      </c>
      <c r="BQ82" s="172">
        <v>6.7799999999999999E-2</v>
      </c>
      <c r="BR82" s="172">
        <v>0.22725999999999999</v>
      </c>
      <c r="BS82" s="172">
        <v>0.19491</v>
      </c>
      <c r="BT82" s="172">
        <v>0.29483999999999999</v>
      </c>
      <c r="BU82" s="172">
        <v>0.15140000000000001</v>
      </c>
      <c r="BV82" s="172">
        <v>0.45824999999999999</v>
      </c>
      <c r="BW82" s="172">
        <v>0.48169000000000001</v>
      </c>
      <c r="BX82" s="172">
        <v>0.35110999999999998</v>
      </c>
      <c r="BY82" s="172">
        <v>0.11600000000000001</v>
      </c>
      <c r="BZ82" s="172">
        <v>0.12970000000000001</v>
      </c>
      <c r="CA82" s="172">
        <v>0.31164999999999998</v>
      </c>
      <c r="CB82" s="172">
        <v>0.42547000000000001</v>
      </c>
      <c r="CC82" s="172">
        <v>0.83016000000000001</v>
      </c>
      <c r="CD82" s="172">
        <v>0.77927000000000002</v>
      </c>
      <c r="CE82" s="172">
        <v>0.48249999999999998</v>
      </c>
      <c r="CF82" s="172">
        <v>0.88139999999999996</v>
      </c>
      <c r="CG82" s="172">
        <v>0.70289999999999997</v>
      </c>
      <c r="CH82" s="172">
        <v>6.1280000000000001E-2</v>
      </c>
      <c r="CI82" s="172">
        <v>0.38391999999999998</v>
      </c>
      <c r="CJ82" s="172">
        <v>0.80686999999999998</v>
      </c>
      <c r="CK82" s="172">
        <v>0.17394999999999999</v>
      </c>
      <c r="CL82" s="172">
        <v>0.85496000000000005</v>
      </c>
      <c r="CM82" s="172">
        <v>0.64727999999999997</v>
      </c>
      <c r="CN82" s="172">
        <v>0.25119999999999998</v>
      </c>
      <c r="CO82" s="172">
        <v>0.57354000000000005</v>
      </c>
      <c r="CP82" s="172">
        <v>0.73370000000000002</v>
      </c>
      <c r="CQ82" s="172">
        <v>0.76305999999999996</v>
      </c>
      <c r="CR82" s="172">
        <v>0.77439000000000002</v>
      </c>
      <c r="CS82" s="172">
        <v>0.88534999999999997</v>
      </c>
      <c r="CT82" s="172">
        <v>0.90639999999999998</v>
      </c>
      <c r="CU82" s="172">
        <v>0.27279999999999999</v>
      </c>
      <c r="CV82" s="172">
        <v>0.82813999999999999</v>
      </c>
      <c r="CW82" s="172">
        <v>0.63380000000000003</v>
      </c>
    </row>
    <row r="83" spans="1:101">
      <c r="A83" s="171">
        <f t="shared" si="2"/>
        <v>725</v>
      </c>
      <c r="B83" s="171">
        <v>1</v>
      </c>
      <c r="C83" s="172">
        <v>0.89259999999999995</v>
      </c>
      <c r="D83" s="172">
        <v>0.77459999999999996</v>
      </c>
      <c r="E83" s="172">
        <v>0.23959</v>
      </c>
      <c r="F83" s="172">
        <v>0.52041000000000004</v>
      </c>
      <c r="G83" s="172">
        <v>0.93156000000000005</v>
      </c>
      <c r="H83" s="172">
        <v>0.79034000000000004</v>
      </c>
      <c r="I83" s="172">
        <v>0.46450000000000002</v>
      </c>
      <c r="J83" s="172">
        <v>0.64227999999999996</v>
      </c>
      <c r="K83" s="172">
        <v>6.0100000000000001E-2</v>
      </c>
      <c r="L83" s="172">
        <v>0.88290999999999997</v>
      </c>
      <c r="M83" s="172">
        <v>0.78957999999999995</v>
      </c>
      <c r="N83" s="172">
        <v>0.69062999999999997</v>
      </c>
      <c r="O83" s="172">
        <v>0.26471</v>
      </c>
      <c r="P83" s="172">
        <v>0.49490000000000001</v>
      </c>
      <c r="Q83" s="172">
        <v>0.64288999999999996</v>
      </c>
      <c r="R83" s="172">
        <v>0.62624000000000002</v>
      </c>
      <c r="S83" s="172">
        <v>0.76036999999999999</v>
      </c>
      <c r="T83" s="172">
        <v>0.4012</v>
      </c>
      <c r="U83" s="172">
        <v>0.51439999999999997</v>
      </c>
      <c r="V83" s="172">
        <v>0.88714999999999999</v>
      </c>
      <c r="W83" s="172">
        <v>0.91393999999999997</v>
      </c>
      <c r="X83" s="172">
        <v>0.84711999999999998</v>
      </c>
      <c r="Y83" s="172">
        <v>0.88770000000000004</v>
      </c>
      <c r="Z83" s="172">
        <v>0.83740000000000003</v>
      </c>
      <c r="AA83" s="172">
        <v>0.55608000000000002</v>
      </c>
      <c r="AB83" s="172">
        <v>0.90880000000000005</v>
      </c>
      <c r="AC83" s="172">
        <v>0.49654999999999999</v>
      </c>
      <c r="AD83" s="172">
        <v>0.11871</v>
      </c>
      <c r="AE83" s="172">
        <v>0.86202999999999996</v>
      </c>
      <c r="AF83" s="172">
        <v>0.38815</v>
      </c>
      <c r="AG83" s="172">
        <v>0.8306</v>
      </c>
      <c r="AH83" s="172">
        <v>0.85260000000000002</v>
      </c>
      <c r="AI83" s="172">
        <v>0.83213000000000004</v>
      </c>
      <c r="AJ83" s="172">
        <v>0.27417000000000002</v>
      </c>
      <c r="AK83" s="172">
        <v>0.10364</v>
      </c>
      <c r="AL83" s="172">
        <v>0.49575000000000002</v>
      </c>
      <c r="AM83" s="172">
        <v>0.66488999999999998</v>
      </c>
      <c r="AN83" s="172">
        <v>0.69711000000000001</v>
      </c>
      <c r="AO83" s="172">
        <v>8.6940000000000003E-2</v>
      </c>
      <c r="AP83" s="172">
        <v>0.18769</v>
      </c>
      <c r="AQ83" s="172">
        <v>0.90410000000000001</v>
      </c>
      <c r="AR83" s="172">
        <v>0.54491000000000001</v>
      </c>
      <c r="AS83" s="172">
        <v>0.30730000000000002</v>
      </c>
      <c r="AT83" s="172">
        <v>5.1999999999999998E-2</v>
      </c>
      <c r="AU83" s="172">
        <v>0.17644000000000001</v>
      </c>
      <c r="AV83" s="172">
        <v>0.23080000000000001</v>
      </c>
      <c r="AW83" s="172">
        <v>0.8115</v>
      </c>
      <c r="AX83" s="172">
        <v>0.17829999999999999</v>
      </c>
      <c r="AY83" s="172">
        <v>0.12089999999999999</v>
      </c>
      <c r="AZ83" s="172">
        <v>0.14793000000000001</v>
      </c>
      <c r="BA83" s="172">
        <v>0.19256000000000001</v>
      </c>
      <c r="BB83" s="172">
        <v>6.7070000000000005E-2</v>
      </c>
      <c r="BC83" s="172">
        <v>7.2400000000000006E-2</v>
      </c>
      <c r="BD83" s="172">
        <v>0.62319999999999998</v>
      </c>
      <c r="BE83" s="172">
        <v>0.54157999999999995</v>
      </c>
      <c r="BF83" s="172">
        <v>0.19647000000000001</v>
      </c>
      <c r="BG83" s="172">
        <v>8.6599999999999996E-2</v>
      </c>
      <c r="BH83" s="172">
        <v>8.2849999999999993E-2</v>
      </c>
      <c r="BI83" s="172">
        <v>0.52049999999999996</v>
      </c>
      <c r="BJ83" s="172">
        <v>0.72709999999999997</v>
      </c>
      <c r="BK83" s="172">
        <v>0.39474999999999999</v>
      </c>
      <c r="BL83" s="172">
        <v>0.84955999999999998</v>
      </c>
      <c r="BM83" s="172">
        <v>0.14202000000000001</v>
      </c>
      <c r="BN83" s="172">
        <v>0.11115</v>
      </c>
      <c r="BO83" s="172">
        <v>1.2E-2</v>
      </c>
      <c r="BP83" s="172">
        <v>5.96E-2</v>
      </c>
      <c r="BQ83" s="172">
        <v>6.7799999999999999E-2</v>
      </c>
      <c r="BR83" s="172">
        <v>0.22495000000000001</v>
      </c>
      <c r="BS83" s="172">
        <v>0.19306999999999999</v>
      </c>
      <c r="BT83" s="172">
        <v>0.29260000000000003</v>
      </c>
      <c r="BU83" s="172">
        <v>0.15140000000000001</v>
      </c>
      <c r="BV83" s="172">
        <v>0.45883000000000002</v>
      </c>
      <c r="BW83" s="172">
        <v>0.52754000000000001</v>
      </c>
      <c r="BX83" s="172">
        <v>0.40165000000000001</v>
      </c>
      <c r="BY83" s="172">
        <v>0.11600000000000001</v>
      </c>
      <c r="BZ83" s="172">
        <v>0.12970000000000001</v>
      </c>
      <c r="CA83" s="172">
        <v>0.30493999999999999</v>
      </c>
      <c r="CB83" s="172">
        <v>0.47364000000000001</v>
      </c>
      <c r="CC83" s="172">
        <v>0.84069000000000005</v>
      </c>
      <c r="CD83" s="172">
        <v>0.79615000000000002</v>
      </c>
      <c r="CE83" s="172">
        <v>0.48618</v>
      </c>
      <c r="CF83" s="172">
        <v>0.88139999999999996</v>
      </c>
      <c r="CG83" s="172">
        <v>0.70289999999999997</v>
      </c>
      <c r="CH83" s="172">
        <v>6.0850000000000001E-2</v>
      </c>
      <c r="CI83" s="172">
        <v>0.39582000000000001</v>
      </c>
      <c r="CJ83" s="172">
        <v>0.81303000000000003</v>
      </c>
      <c r="CK83" s="172">
        <v>0.17277999999999999</v>
      </c>
      <c r="CL83" s="172">
        <v>0.87624999999999997</v>
      </c>
      <c r="CM83" s="172">
        <v>0.68293999999999999</v>
      </c>
      <c r="CN83" s="172">
        <v>0.25119999999999998</v>
      </c>
      <c r="CO83" s="172">
        <v>0.56537999999999999</v>
      </c>
      <c r="CP83" s="172">
        <v>0.74439</v>
      </c>
      <c r="CQ83" s="172">
        <v>0.76368999999999998</v>
      </c>
      <c r="CR83" s="172">
        <v>0.79576000000000002</v>
      </c>
      <c r="CS83" s="172">
        <v>0.88966000000000001</v>
      </c>
      <c r="CT83" s="172">
        <v>0.90978999999999999</v>
      </c>
      <c r="CU83" s="172">
        <v>0.27279999999999999</v>
      </c>
      <c r="CV83" s="172">
        <v>0.82813999999999999</v>
      </c>
      <c r="CW83" s="172">
        <v>0.63380000000000003</v>
      </c>
    </row>
    <row r="84" spans="1:101">
      <c r="A84" s="171">
        <f t="shared" si="2"/>
        <v>730</v>
      </c>
      <c r="B84" s="171">
        <v>1</v>
      </c>
      <c r="C84" s="172">
        <v>0.89259999999999995</v>
      </c>
      <c r="D84" s="172">
        <v>0.77459999999999996</v>
      </c>
      <c r="E84" s="172">
        <v>0.24651000000000001</v>
      </c>
      <c r="F84" s="172">
        <v>0.52227999999999997</v>
      </c>
      <c r="G84" s="172">
        <v>0.93638999999999994</v>
      </c>
      <c r="H84" s="172">
        <v>0.80806</v>
      </c>
      <c r="I84" s="172">
        <v>0.46450000000000002</v>
      </c>
      <c r="J84" s="172">
        <v>0.64778999999999998</v>
      </c>
      <c r="K84" s="172">
        <v>5.9569999999999998E-2</v>
      </c>
      <c r="L84" s="172">
        <v>0.88290999999999997</v>
      </c>
      <c r="M84" s="172">
        <v>0.80208999999999997</v>
      </c>
      <c r="N84" s="172">
        <v>0.69169000000000003</v>
      </c>
      <c r="O84" s="172">
        <v>0.26440000000000002</v>
      </c>
      <c r="P84" s="172">
        <v>0.49490000000000001</v>
      </c>
      <c r="Q84" s="172">
        <v>0.64537999999999995</v>
      </c>
      <c r="R84" s="172">
        <v>0.64029999999999998</v>
      </c>
      <c r="S84" s="172">
        <v>0.78044999999999998</v>
      </c>
      <c r="T84" s="172">
        <v>0.4012</v>
      </c>
      <c r="U84" s="172">
        <v>0.51439999999999997</v>
      </c>
      <c r="V84" s="172">
        <v>0.89251999999999998</v>
      </c>
      <c r="W84" s="172">
        <v>0.91471999999999998</v>
      </c>
      <c r="X84" s="172">
        <v>0.84960000000000002</v>
      </c>
      <c r="Y84" s="172">
        <v>0.88946000000000003</v>
      </c>
      <c r="Z84" s="172">
        <v>0.83740000000000003</v>
      </c>
      <c r="AA84" s="172">
        <v>0.56322000000000005</v>
      </c>
      <c r="AB84" s="172">
        <v>0.90880000000000005</v>
      </c>
      <c r="AC84" s="172">
        <v>0.50268000000000002</v>
      </c>
      <c r="AD84" s="172">
        <v>0.11978999999999999</v>
      </c>
      <c r="AE84" s="172">
        <v>0.86621000000000004</v>
      </c>
      <c r="AF84" s="172">
        <v>0.39284000000000002</v>
      </c>
      <c r="AG84" s="172">
        <v>0.83026</v>
      </c>
      <c r="AH84" s="172">
        <v>0.85260000000000002</v>
      </c>
      <c r="AI84" s="172">
        <v>0.83581000000000005</v>
      </c>
      <c r="AJ84" s="172">
        <v>0.27417000000000002</v>
      </c>
      <c r="AK84" s="172">
        <v>0.10364</v>
      </c>
      <c r="AL84" s="172">
        <v>0.48819000000000001</v>
      </c>
      <c r="AM84" s="172">
        <v>0.71130000000000004</v>
      </c>
      <c r="AN84" s="172">
        <v>0.70082999999999995</v>
      </c>
      <c r="AO84" s="172">
        <v>8.6779999999999996E-2</v>
      </c>
      <c r="AP84" s="172">
        <v>0.18584000000000001</v>
      </c>
      <c r="AQ84" s="172">
        <v>0.90410000000000001</v>
      </c>
      <c r="AR84" s="172">
        <v>0.57289999999999996</v>
      </c>
      <c r="AS84" s="172">
        <v>0.30730000000000002</v>
      </c>
      <c r="AT84" s="172">
        <v>5.1999999999999998E-2</v>
      </c>
      <c r="AU84" s="172">
        <v>0.17846999999999999</v>
      </c>
      <c r="AV84" s="172">
        <v>0.23080000000000001</v>
      </c>
      <c r="AW84" s="172">
        <v>0.8115</v>
      </c>
      <c r="AX84" s="172">
        <v>0.18110999999999999</v>
      </c>
      <c r="AY84" s="172">
        <v>0.12509000000000001</v>
      </c>
      <c r="AZ84" s="172">
        <v>0.1444</v>
      </c>
      <c r="BA84" s="172">
        <v>0.18764</v>
      </c>
      <c r="BB84" s="172">
        <v>6.5350000000000005E-2</v>
      </c>
      <c r="BC84" s="172">
        <v>7.2400000000000006E-2</v>
      </c>
      <c r="BD84" s="172">
        <v>0.62319999999999998</v>
      </c>
      <c r="BE84" s="172">
        <v>0.55167999999999995</v>
      </c>
      <c r="BF84" s="172">
        <v>0.19647000000000001</v>
      </c>
      <c r="BG84" s="172">
        <v>8.6599999999999996E-2</v>
      </c>
      <c r="BH84" s="172">
        <v>8.3169999999999994E-2</v>
      </c>
      <c r="BI84" s="172">
        <v>0.52049999999999996</v>
      </c>
      <c r="BJ84" s="172">
        <v>0.73765999999999998</v>
      </c>
      <c r="BK84" s="172">
        <v>0.39205000000000001</v>
      </c>
      <c r="BL84" s="172">
        <v>0.87463000000000002</v>
      </c>
      <c r="BM84" s="172">
        <v>0.15215999999999999</v>
      </c>
      <c r="BN84" s="172">
        <v>0.11115</v>
      </c>
      <c r="BO84" s="172">
        <v>1.2160000000000001E-2</v>
      </c>
      <c r="BP84" s="172">
        <v>5.96E-2</v>
      </c>
      <c r="BQ84" s="172">
        <v>6.7799999999999999E-2</v>
      </c>
      <c r="BR84" s="172">
        <v>0.22267000000000001</v>
      </c>
      <c r="BS84" s="172">
        <v>0.19123999999999999</v>
      </c>
      <c r="BT84" s="172">
        <v>0.29038000000000003</v>
      </c>
      <c r="BU84" s="172">
        <v>0.15140000000000001</v>
      </c>
      <c r="BV84" s="172">
        <v>0.45940999999999999</v>
      </c>
      <c r="BW84" s="172">
        <v>0.57293000000000005</v>
      </c>
      <c r="BX84" s="172">
        <v>0.45437</v>
      </c>
      <c r="BY84" s="172">
        <v>0.11600000000000001</v>
      </c>
      <c r="BZ84" s="172">
        <v>0.12970000000000001</v>
      </c>
      <c r="CA84" s="172">
        <v>0.29854000000000003</v>
      </c>
      <c r="CB84" s="172">
        <v>0.52229999999999999</v>
      </c>
      <c r="CC84" s="172">
        <v>0.85068999999999995</v>
      </c>
      <c r="CD84" s="172">
        <v>0.81061000000000005</v>
      </c>
      <c r="CE84" s="172">
        <v>0.48987000000000003</v>
      </c>
      <c r="CF84" s="172">
        <v>0.88139999999999996</v>
      </c>
      <c r="CG84" s="172">
        <v>0.70289999999999997</v>
      </c>
      <c r="CH84" s="172">
        <v>6.0429999999999998E-2</v>
      </c>
      <c r="CI84" s="172">
        <v>0.40784999999999999</v>
      </c>
      <c r="CJ84" s="172">
        <v>0.81903999999999999</v>
      </c>
      <c r="CK84" s="172">
        <v>0.17161000000000001</v>
      </c>
      <c r="CL84" s="172">
        <v>0.89480999999999999</v>
      </c>
      <c r="CM84" s="172">
        <v>0.71657999999999999</v>
      </c>
      <c r="CN84" s="172">
        <v>0.25119999999999998</v>
      </c>
      <c r="CO84" s="172">
        <v>0.55745</v>
      </c>
      <c r="CP84" s="172">
        <v>0.75455000000000005</v>
      </c>
      <c r="CQ84" s="172">
        <v>0.76529999999999998</v>
      </c>
      <c r="CR84" s="172">
        <v>0.81557999999999997</v>
      </c>
      <c r="CS84" s="172">
        <v>0.89383999999999997</v>
      </c>
      <c r="CT84" s="172">
        <v>0.91307000000000005</v>
      </c>
      <c r="CU84" s="172">
        <v>0.27279999999999999</v>
      </c>
      <c r="CV84" s="172">
        <v>0.82813999999999999</v>
      </c>
      <c r="CW84" s="172">
        <v>0.63380000000000003</v>
      </c>
    </row>
    <row r="85" spans="1:101">
      <c r="A85" s="171">
        <f t="shared" si="2"/>
        <v>735</v>
      </c>
      <c r="B85" s="171">
        <v>1</v>
      </c>
      <c r="C85" s="172">
        <v>0.89259999999999995</v>
      </c>
      <c r="D85" s="172">
        <v>0.77459999999999996</v>
      </c>
      <c r="E85" s="172">
        <v>0.25356000000000001</v>
      </c>
      <c r="F85" s="172">
        <v>0.52415</v>
      </c>
      <c r="G85" s="172">
        <v>0.93984999999999996</v>
      </c>
      <c r="H85" s="172">
        <v>0.82462000000000002</v>
      </c>
      <c r="I85" s="172">
        <v>0.46450000000000002</v>
      </c>
      <c r="J85" s="172">
        <v>0.65285000000000004</v>
      </c>
      <c r="K85" s="172">
        <v>5.9040000000000002E-2</v>
      </c>
      <c r="L85" s="172">
        <v>0.88290999999999997</v>
      </c>
      <c r="M85" s="172">
        <v>0.81403000000000003</v>
      </c>
      <c r="N85" s="172">
        <v>0.69274999999999998</v>
      </c>
      <c r="O85" s="172">
        <v>0.26407999999999998</v>
      </c>
      <c r="P85" s="172">
        <v>0.49490000000000001</v>
      </c>
      <c r="Q85" s="172">
        <v>0.64786999999999995</v>
      </c>
      <c r="R85" s="172">
        <v>0.65412999999999999</v>
      </c>
      <c r="S85" s="172">
        <v>0.79930000000000001</v>
      </c>
      <c r="T85" s="172">
        <v>0.4012</v>
      </c>
      <c r="U85" s="172">
        <v>0.51439999999999997</v>
      </c>
      <c r="V85" s="172">
        <v>0.89764999999999995</v>
      </c>
      <c r="W85" s="172">
        <v>0.91549999999999998</v>
      </c>
      <c r="X85" s="172">
        <v>0.85043000000000002</v>
      </c>
      <c r="Y85" s="172">
        <v>0.89029999999999998</v>
      </c>
      <c r="Z85" s="172">
        <v>0.83740000000000003</v>
      </c>
      <c r="AA85" s="172">
        <v>0.57032000000000005</v>
      </c>
      <c r="AB85" s="172">
        <v>0.90880000000000005</v>
      </c>
      <c r="AC85" s="172">
        <v>0.50880999999999998</v>
      </c>
      <c r="AD85" s="172">
        <v>0.11884</v>
      </c>
      <c r="AE85" s="172">
        <v>0.87028000000000005</v>
      </c>
      <c r="AF85" s="172">
        <v>0.39756000000000002</v>
      </c>
      <c r="AG85" s="172">
        <v>0.8306</v>
      </c>
      <c r="AH85" s="172">
        <v>0.85260000000000002</v>
      </c>
      <c r="AI85" s="172">
        <v>0.83692999999999995</v>
      </c>
      <c r="AJ85" s="172">
        <v>0.27417000000000002</v>
      </c>
      <c r="AK85" s="172">
        <v>0.10364</v>
      </c>
      <c r="AL85" s="172">
        <v>0.48065000000000002</v>
      </c>
      <c r="AM85" s="172">
        <v>0.75366999999999995</v>
      </c>
      <c r="AN85" s="172">
        <v>0.70452000000000004</v>
      </c>
      <c r="AO85" s="172">
        <v>8.6620000000000003E-2</v>
      </c>
      <c r="AP85" s="172">
        <v>0.184</v>
      </c>
      <c r="AQ85" s="172">
        <v>0.90410000000000001</v>
      </c>
      <c r="AR85" s="172">
        <v>0.60041999999999995</v>
      </c>
      <c r="AS85" s="172">
        <v>0.30730000000000002</v>
      </c>
      <c r="AT85" s="172">
        <v>5.1999999999999998E-2</v>
      </c>
      <c r="AU85" s="172">
        <v>0.18115999999999999</v>
      </c>
      <c r="AV85" s="172">
        <v>0.23080000000000001</v>
      </c>
      <c r="AW85" s="172">
        <v>0.8115</v>
      </c>
      <c r="AX85" s="172">
        <v>0.18243000000000001</v>
      </c>
      <c r="AY85" s="172">
        <v>0.12825</v>
      </c>
      <c r="AZ85" s="172">
        <v>0.14093</v>
      </c>
      <c r="BA85" s="172">
        <v>0.18282000000000001</v>
      </c>
      <c r="BB85" s="172">
        <v>6.3659999999999994E-2</v>
      </c>
      <c r="BC85" s="172">
        <v>7.2400000000000006E-2</v>
      </c>
      <c r="BD85" s="172">
        <v>0.62319999999999998</v>
      </c>
      <c r="BE85" s="172">
        <v>0.56547999999999998</v>
      </c>
      <c r="BF85" s="172">
        <v>0.19647000000000001</v>
      </c>
      <c r="BG85" s="172">
        <v>8.6599999999999996E-2</v>
      </c>
      <c r="BH85" s="172">
        <v>8.2019999999999996E-2</v>
      </c>
      <c r="BI85" s="172">
        <v>0.52049999999999996</v>
      </c>
      <c r="BJ85" s="172">
        <v>0.75043000000000004</v>
      </c>
      <c r="BK85" s="172">
        <v>0.38935999999999998</v>
      </c>
      <c r="BL85" s="172">
        <v>0.89603999999999995</v>
      </c>
      <c r="BM85" s="172">
        <v>0.16289999999999999</v>
      </c>
      <c r="BN85" s="172">
        <v>0.11115</v>
      </c>
      <c r="BO85" s="172">
        <v>1.2319999999999999E-2</v>
      </c>
      <c r="BP85" s="172">
        <v>5.96E-2</v>
      </c>
      <c r="BQ85" s="172">
        <v>6.7799999999999999E-2</v>
      </c>
      <c r="BR85" s="172">
        <v>0.22039</v>
      </c>
      <c r="BS85" s="172">
        <v>0.18942000000000001</v>
      </c>
      <c r="BT85" s="172">
        <v>0.28816999999999998</v>
      </c>
      <c r="BU85" s="172">
        <v>0.15140000000000001</v>
      </c>
      <c r="BV85" s="172">
        <v>0.45998</v>
      </c>
      <c r="BW85" s="172">
        <v>0.61712</v>
      </c>
      <c r="BX85" s="172">
        <v>0.50812999999999997</v>
      </c>
      <c r="BY85" s="172">
        <v>0.11600000000000001</v>
      </c>
      <c r="BZ85" s="172">
        <v>0.12970000000000001</v>
      </c>
      <c r="CA85" s="172">
        <v>0.29221999999999998</v>
      </c>
      <c r="CB85" s="172">
        <v>0.57054000000000005</v>
      </c>
      <c r="CC85" s="172">
        <v>0.86016000000000004</v>
      </c>
      <c r="CD85" s="172">
        <v>0.82240999999999997</v>
      </c>
      <c r="CE85" s="172">
        <v>0.49356</v>
      </c>
      <c r="CF85" s="172">
        <v>0.88139999999999996</v>
      </c>
      <c r="CG85" s="172">
        <v>0.70289999999999997</v>
      </c>
      <c r="CH85" s="172">
        <v>6.0010000000000001E-2</v>
      </c>
      <c r="CI85" s="172">
        <v>0.41998999999999997</v>
      </c>
      <c r="CJ85" s="172">
        <v>0.82489999999999997</v>
      </c>
      <c r="CK85" s="172">
        <v>0.17044999999999999</v>
      </c>
      <c r="CL85" s="172">
        <v>0.91086</v>
      </c>
      <c r="CM85" s="172">
        <v>0.74797000000000002</v>
      </c>
      <c r="CN85" s="172">
        <v>0.25119999999999998</v>
      </c>
      <c r="CO85" s="172">
        <v>0.54949000000000003</v>
      </c>
      <c r="CP85" s="172">
        <v>0.76441999999999999</v>
      </c>
      <c r="CQ85" s="172">
        <v>0.76570000000000005</v>
      </c>
      <c r="CR85" s="172">
        <v>0.83389000000000002</v>
      </c>
      <c r="CS85" s="172">
        <v>0.89786999999999995</v>
      </c>
      <c r="CT85" s="172">
        <v>0.91624000000000005</v>
      </c>
      <c r="CU85" s="172">
        <v>0.27279999999999999</v>
      </c>
      <c r="CV85" s="172">
        <v>0.82813999999999999</v>
      </c>
      <c r="CW85" s="172">
        <v>0.63380000000000003</v>
      </c>
    </row>
    <row r="86" spans="1:101">
      <c r="A86" s="171">
        <f t="shared" si="2"/>
        <v>740</v>
      </c>
      <c r="B86" s="171">
        <v>1</v>
      </c>
      <c r="C86" s="172">
        <v>0.89259999999999995</v>
      </c>
      <c r="D86" s="172">
        <v>0.77459999999999996</v>
      </c>
      <c r="E86" s="172">
        <v>0.26073000000000002</v>
      </c>
      <c r="F86" s="172">
        <v>0.52602000000000004</v>
      </c>
      <c r="G86" s="172">
        <v>0.94352999999999998</v>
      </c>
      <c r="H86" s="172">
        <v>0.84003000000000005</v>
      </c>
      <c r="I86" s="172">
        <v>0.46450000000000002</v>
      </c>
      <c r="J86" s="172">
        <v>0.65803999999999996</v>
      </c>
      <c r="K86" s="172">
        <v>5.8520000000000003E-2</v>
      </c>
      <c r="L86" s="172">
        <v>0.88290999999999997</v>
      </c>
      <c r="M86" s="172">
        <v>0.82540999999999998</v>
      </c>
      <c r="N86" s="172">
        <v>0.69379999999999997</v>
      </c>
      <c r="O86" s="172">
        <v>0.26375999999999999</v>
      </c>
      <c r="P86" s="172">
        <v>0.49490000000000001</v>
      </c>
      <c r="Q86" s="172">
        <v>0.65034999999999998</v>
      </c>
      <c r="R86" s="172">
        <v>0.66769999999999996</v>
      </c>
      <c r="S86" s="172">
        <v>0.81691000000000003</v>
      </c>
      <c r="T86" s="172">
        <v>0.4012</v>
      </c>
      <c r="U86" s="172">
        <v>0.51439999999999997</v>
      </c>
      <c r="V86" s="172">
        <v>0.90256999999999998</v>
      </c>
      <c r="W86" s="172">
        <v>0.91625999999999996</v>
      </c>
      <c r="X86" s="172">
        <v>0.85189999999999999</v>
      </c>
      <c r="Y86" s="172">
        <v>0.89073999999999998</v>
      </c>
      <c r="Z86" s="172">
        <v>0.83740000000000003</v>
      </c>
      <c r="AA86" s="172">
        <v>0.57740000000000002</v>
      </c>
      <c r="AB86" s="172">
        <v>0.90880000000000005</v>
      </c>
      <c r="AC86" s="172">
        <v>0.51493999999999995</v>
      </c>
      <c r="AD86" s="172">
        <v>0.1178</v>
      </c>
      <c r="AE86" s="172">
        <v>0.87424000000000002</v>
      </c>
      <c r="AF86" s="172">
        <v>0.40228999999999998</v>
      </c>
      <c r="AG86" s="172">
        <v>0.83067000000000002</v>
      </c>
      <c r="AH86" s="172">
        <v>0.85260000000000002</v>
      </c>
      <c r="AI86" s="172">
        <v>0.83904000000000001</v>
      </c>
      <c r="AJ86" s="172">
        <v>0.27417000000000002</v>
      </c>
      <c r="AK86" s="172">
        <v>0.10364</v>
      </c>
      <c r="AL86" s="172">
        <v>0.47310999999999998</v>
      </c>
      <c r="AM86" s="172">
        <v>0.79164000000000001</v>
      </c>
      <c r="AN86" s="172">
        <v>0.70818999999999999</v>
      </c>
      <c r="AO86" s="172">
        <v>8.6449999999999999E-2</v>
      </c>
      <c r="AP86" s="172">
        <v>0.18218000000000001</v>
      </c>
      <c r="AQ86" s="172">
        <v>0.90410000000000001</v>
      </c>
      <c r="AR86" s="172">
        <v>0.62733000000000005</v>
      </c>
      <c r="AS86" s="172">
        <v>0.30730000000000002</v>
      </c>
      <c r="AT86" s="172">
        <v>5.1999999999999998E-2</v>
      </c>
      <c r="AU86" s="172">
        <v>0.18747</v>
      </c>
      <c r="AV86" s="172">
        <v>0.23080000000000001</v>
      </c>
      <c r="AW86" s="172">
        <v>0.8115</v>
      </c>
      <c r="AX86" s="172">
        <v>0.18437000000000001</v>
      </c>
      <c r="AY86" s="172">
        <v>0.13195000000000001</v>
      </c>
      <c r="AZ86" s="172">
        <v>0.13754</v>
      </c>
      <c r="BA86" s="172">
        <v>0.17810000000000001</v>
      </c>
      <c r="BB86" s="172">
        <v>6.2019999999999999E-2</v>
      </c>
      <c r="BC86" s="172">
        <v>7.2400000000000006E-2</v>
      </c>
      <c r="BD86" s="172">
        <v>0.62319999999999998</v>
      </c>
      <c r="BE86" s="172">
        <v>0.58513999999999999</v>
      </c>
      <c r="BF86" s="172">
        <v>0.19647000000000001</v>
      </c>
      <c r="BG86" s="172">
        <v>8.6599999999999996E-2</v>
      </c>
      <c r="BH86" s="172">
        <v>8.1470000000000001E-2</v>
      </c>
      <c r="BI86" s="172">
        <v>0.52049999999999996</v>
      </c>
      <c r="BJ86" s="172">
        <v>0.76849999999999996</v>
      </c>
      <c r="BK86" s="172">
        <v>0.38667000000000001</v>
      </c>
      <c r="BL86" s="172">
        <v>0.91415000000000002</v>
      </c>
      <c r="BM86" s="172">
        <v>0.17424000000000001</v>
      </c>
      <c r="BN86" s="172">
        <v>0.11115</v>
      </c>
      <c r="BO86" s="172">
        <v>1.248E-2</v>
      </c>
      <c r="BP86" s="172">
        <v>5.96E-2</v>
      </c>
      <c r="BQ86" s="172">
        <v>6.7799999999999999E-2</v>
      </c>
      <c r="BR86" s="172">
        <v>0.21814</v>
      </c>
      <c r="BS86" s="172">
        <v>0.18762000000000001</v>
      </c>
      <c r="BT86" s="172">
        <v>0.28597</v>
      </c>
      <c r="BU86" s="172">
        <v>0.15140000000000001</v>
      </c>
      <c r="BV86" s="172">
        <v>0.46056000000000002</v>
      </c>
      <c r="BW86" s="172">
        <v>0.65946000000000005</v>
      </c>
      <c r="BX86" s="172">
        <v>0.56171000000000004</v>
      </c>
      <c r="BY86" s="172">
        <v>0.11600000000000001</v>
      </c>
      <c r="BZ86" s="172">
        <v>0.12970000000000001</v>
      </c>
      <c r="CA86" s="172">
        <v>0.28597</v>
      </c>
      <c r="CB86" s="172">
        <v>0.61746999999999996</v>
      </c>
      <c r="CC86" s="172">
        <v>0.86912999999999996</v>
      </c>
      <c r="CD86" s="172">
        <v>0.83267000000000002</v>
      </c>
      <c r="CE86" s="172">
        <v>0.49725000000000003</v>
      </c>
      <c r="CF86" s="172">
        <v>0.88139999999999996</v>
      </c>
      <c r="CG86" s="172">
        <v>0.70289999999999997</v>
      </c>
      <c r="CH86" s="172">
        <v>5.9589999999999997E-2</v>
      </c>
      <c r="CI86" s="172">
        <v>0.43223</v>
      </c>
      <c r="CJ86" s="172">
        <v>0.8306</v>
      </c>
      <c r="CK86" s="172">
        <v>0.16929</v>
      </c>
      <c r="CL86" s="172">
        <v>0.92466999999999999</v>
      </c>
      <c r="CM86" s="172">
        <v>0.77695999999999998</v>
      </c>
      <c r="CN86" s="172">
        <v>0.25119999999999998</v>
      </c>
      <c r="CO86" s="172">
        <v>0.54151000000000005</v>
      </c>
      <c r="CP86" s="172">
        <v>0.77403</v>
      </c>
      <c r="CQ86" s="172">
        <v>0.76658000000000004</v>
      </c>
      <c r="CR86" s="172">
        <v>0.85070999999999997</v>
      </c>
      <c r="CS86" s="172">
        <v>0.90176999999999996</v>
      </c>
      <c r="CT86" s="172">
        <v>0.91930000000000001</v>
      </c>
      <c r="CU86" s="172">
        <v>0.27279999999999999</v>
      </c>
      <c r="CV86" s="172">
        <v>0.82813999999999999</v>
      </c>
      <c r="CW86" s="172">
        <v>0.63380000000000003</v>
      </c>
    </row>
    <row r="87" spans="1:101">
      <c r="A87" s="171">
        <f t="shared" si="2"/>
        <v>745</v>
      </c>
      <c r="B87" s="171">
        <v>1</v>
      </c>
      <c r="C87" s="172">
        <v>0.89259999999999995</v>
      </c>
      <c r="D87" s="172">
        <v>0.77459999999999996</v>
      </c>
      <c r="E87" s="172">
        <v>0.26804</v>
      </c>
      <c r="F87" s="172">
        <v>0.52788999999999997</v>
      </c>
      <c r="G87" s="172">
        <v>0.94699999999999995</v>
      </c>
      <c r="H87" s="172">
        <v>0.85433000000000003</v>
      </c>
      <c r="I87" s="172">
        <v>0.46450000000000002</v>
      </c>
      <c r="J87" s="172">
        <v>0.66318999999999995</v>
      </c>
      <c r="K87" s="172">
        <v>5.8000000000000003E-2</v>
      </c>
      <c r="L87" s="172">
        <v>0.88290999999999997</v>
      </c>
      <c r="M87" s="172">
        <v>0.83623000000000003</v>
      </c>
      <c r="N87" s="172">
        <v>0.69484999999999997</v>
      </c>
      <c r="O87" s="172">
        <v>0.26345000000000002</v>
      </c>
      <c r="P87" s="172">
        <v>0.49490000000000001</v>
      </c>
      <c r="Q87" s="172">
        <v>0.65281999999999996</v>
      </c>
      <c r="R87" s="172">
        <v>0.68100000000000005</v>
      </c>
      <c r="S87" s="172">
        <v>0.83330000000000004</v>
      </c>
      <c r="T87" s="172">
        <v>0.4012</v>
      </c>
      <c r="U87" s="172">
        <v>0.51439999999999997</v>
      </c>
      <c r="V87" s="172">
        <v>0.90727999999999998</v>
      </c>
      <c r="W87" s="172">
        <v>0.91703000000000001</v>
      </c>
      <c r="X87" s="172">
        <v>0.85335000000000005</v>
      </c>
      <c r="Y87" s="172">
        <v>0.89141000000000004</v>
      </c>
      <c r="Z87" s="172">
        <v>0.83740000000000003</v>
      </c>
      <c r="AA87" s="172">
        <v>0.58445000000000003</v>
      </c>
      <c r="AB87" s="172">
        <v>0.90880000000000005</v>
      </c>
      <c r="AC87" s="172">
        <v>0.52105999999999997</v>
      </c>
      <c r="AD87" s="172">
        <v>0.11833</v>
      </c>
      <c r="AE87" s="172">
        <v>0.87809999999999999</v>
      </c>
      <c r="AF87" s="172">
        <v>0.40704000000000001</v>
      </c>
      <c r="AG87" s="172">
        <v>0.83074000000000003</v>
      </c>
      <c r="AH87" s="172">
        <v>0.85260000000000002</v>
      </c>
      <c r="AI87" s="172">
        <v>0.84114</v>
      </c>
      <c r="AJ87" s="172">
        <v>0.27417000000000002</v>
      </c>
      <c r="AK87" s="172">
        <v>0.10364</v>
      </c>
      <c r="AL87" s="172">
        <v>0.46557999999999999</v>
      </c>
      <c r="AM87" s="172">
        <v>0.82511999999999996</v>
      </c>
      <c r="AN87" s="172">
        <v>0.71182999999999996</v>
      </c>
      <c r="AO87" s="172">
        <v>8.6290000000000006E-2</v>
      </c>
      <c r="AP87" s="172">
        <v>0.18037</v>
      </c>
      <c r="AQ87" s="172">
        <v>0.90410000000000001</v>
      </c>
      <c r="AR87" s="172">
        <v>0.65347</v>
      </c>
      <c r="AS87" s="172">
        <v>0.30730000000000002</v>
      </c>
      <c r="AT87" s="172">
        <v>5.1999999999999998E-2</v>
      </c>
      <c r="AU87" s="172">
        <v>0.19525999999999999</v>
      </c>
      <c r="AV87" s="172">
        <v>0.23080000000000001</v>
      </c>
      <c r="AW87" s="172">
        <v>0.8115</v>
      </c>
      <c r="AX87" s="172">
        <v>0.18633</v>
      </c>
      <c r="AY87" s="172">
        <v>0.13574</v>
      </c>
      <c r="AZ87" s="172">
        <v>0.13421</v>
      </c>
      <c r="BA87" s="172">
        <v>0.17347000000000001</v>
      </c>
      <c r="BB87" s="172">
        <v>6.0409999999999998E-2</v>
      </c>
      <c r="BC87" s="172">
        <v>7.2400000000000006E-2</v>
      </c>
      <c r="BD87" s="172">
        <v>0.62319999999999998</v>
      </c>
      <c r="BE87" s="172">
        <v>0.61045000000000005</v>
      </c>
      <c r="BF87" s="172">
        <v>0.19647000000000001</v>
      </c>
      <c r="BG87" s="172">
        <v>8.6599999999999996E-2</v>
      </c>
      <c r="BH87" s="172">
        <v>8.0920000000000006E-2</v>
      </c>
      <c r="BI87" s="172">
        <v>0.52049999999999996</v>
      </c>
      <c r="BJ87" s="172">
        <v>0.79264999999999997</v>
      </c>
      <c r="BK87" s="172">
        <v>0.38399</v>
      </c>
      <c r="BL87" s="172">
        <v>0.92935999999999996</v>
      </c>
      <c r="BM87" s="172">
        <v>0.18618999999999999</v>
      </c>
      <c r="BN87" s="172">
        <v>0.11115</v>
      </c>
      <c r="BO87" s="172">
        <v>1.265E-2</v>
      </c>
      <c r="BP87" s="172">
        <v>5.96E-2</v>
      </c>
      <c r="BQ87" s="172">
        <v>6.7799999999999999E-2</v>
      </c>
      <c r="BR87" s="172">
        <v>0.21590000000000001</v>
      </c>
      <c r="BS87" s="172">
        <v>0.18584000000000001</v>
      </c>
      <c r="BT87" s="172">
        <v>0.28377000000000002</v>
      </c>
      <c r="BU87" s="172">
        <v>0.15140000000000001</v>
      </c>
      <c r="BV87" s="172">
        <v>0.46113999999999999</v>
      </c>
      <c r="BW87" s="172">
        <v>0.69940000000000002</v>
      </c>
      <c r="BX87" s="172">
        <v>0.61387999999999998</v>
      </c>
      <c r="BY87" s="172">
        <v>0.11600000000000001</v>
      </c>
      <c r="BZ87" s="172">
        <v>0.12970000000000001</v>
      </c>
      <c r="CA87" s="172">
        <v>0.27981</v>
      </c>
      <c r="CB87" s="172">
        <v>0.66232000000000002</v>
      </c>
      <c r="CC87" s="172">
        <v>0.87760000000000005</v>
      </c>
      <c r="CD87" s="172">
        <v>0.84211000000000003</v>
      </c>
      <c r="CE87" s="172">
        <v>0.50094000000000005</v>
      </c>
      <c r="CF87" s="172">
        <v>0.88139999999999996</v>
      </c>
      <c r="CG87" s="172">
        <v>0.70289999999999997</v>
      </c>
      <c r="CH87" s="172">
        <v>5.9180000000000003E-2</v>
      </c>
      <c r="CI87" s="172">
        <v>0.44455</v>
      </c>
      <c r="CJ87" s="172">
        <v>0.83616000000000001</v>
      </c>
      <c r="CK87" s="172">
        <v>0.16814000000000001</v>
      </c>
      <c r="CL87" s="172">
        <v>0.93649000000000004</v>
      </c>
      <c r="CM87" s="172">
        <v>0.80349999999999999</v>
      </c>
      <c r="CN87" s="172">
        <v>0.25119999999999998</v>
      </c>
      <c r="CO87" s="172">
        <v>0.53349999999999997</v>
      </c>
      <c r="CP87" s="172">
        <v>0.78334999999999999</v>
      </c>
      <c r="CQ87" s="172">
        <v>0.76746000000000003</v>
      </c>
      <c r="CR87" s="172">
        <v>0.86609999999999998</v>
      </c>
      <c r="CS87" s="172">
        <v>0.90552999999999995</v>
      </c>
      <c r="CT87" s="172">
        <v>0.92225999999999997</v>
      </c>
      <c r="CU87" s="172">
        <v>0.27279999999999999</v>
      </c>
      <c r="CV87" s="172">
        <v>0.82813999999999999</v>
      </c>
      <c r="CW87" s="172">
        <v>0.63380000000000003</v>
      </c>
    </row>
    <row r="88" spans="1:101">
      <c r="A88" s="171">
        <f t="shared" si="2"/>
        <v>750</v>
      </c>
      <c r="B88" s="171">
        <v>1</v>
      </c>
      <c r="C88" s="172">
        <v>0.89259999999999995</v>
      </c>
      <c r="D88" s="172">
        <v>0.77459999999999996</v>
      </c>
      <c r="E88" s="172">
        <v>0.27548</v>
      </c>
      <c r="F88" s="172">
        <v>0.52976000000000001</v>
      </c>
      <c r="G88" s="172">
        <v>0.95026999999999995</v>
      </c>
      <c r="H88" s="172">
        <v>0.86753999999999998</v>
      </c>
      <c r="I88" s="172">
        <v>0.46450000000000002</v>
      </c>
      <c r="J88" s="172">
        <v>0.66830000000000001</v>
      </c>
      <c r="K88" s="172">
        <v>5.7480000000000003E-2</v>
      </c>
      <c r="L88" s="172">
        <v>0.88290999999999997</v>
      </c>
      <c r="M88" s="172">
        <v>0.84650999999999998</v>
      </c>
      <c r="N88" s="172">
        <v>0.69589999999999996</v>
      </c>
      <c r="O88" s="172">
        <v>0.26312999999999998</v>
      </c>
      <c r="P88" s="172">
        <v>0.49490000000000001</v>
      </c>
      <c r="Q88" s="172">
        <v>0.65527999999999997</v>
      </c>
      <c r="R88" s="172">
        <v>0.69401000000000002</v>
      </c>
      <c r="S88" s="172">
        <v>0.84848999999999997</v>
      </c>
      <c r="T88" s="172">
        <v>0.4012</v>
      </c>
      <c r="U88" s="172">
        <v>0.51439999999999997</v>
      </c>
      <c r="V88" s="172">
        <v>0.91178000000000003</v>
      </c>
      <c r="W88" s="172">
        <v>0.91778000000000004</v>
      </c>
      <c r="X88" s="172">
        <v>0.8548</v>
      </c>
      <c r="Y88" s="172">
        <v>0.89200000000000002</v>
      </c>
      <c r="Z88" s="172">
        <v>0.83740000000000003</v>
      </c>
      <c r="AA88" s="172">
        <v>0.59145999999999999</v>
      </c>
      <c r="AB88" s="172">
        <v>0.90880000000000005</v>
      </c>
      <c r="AC88" s="172">
        <v>0.52717999999999998</v>
      </c>
      <c r="AD88" s="172">
        <v>0.1188</v>
      </c>
      <c r="AE88" s="172">
        <v>0.88185000000000002</v>
      </c>
      <c r="AF88" s="172">
        <v>0.41181000000000001</v>
      </c>
      <c r="AG88" s="172">
        <v>0.83081000000000005</v>
      </c>
      <c r="AH88" s="172">
        <v>0.85260000000000002</v>
      </c>
      <c r="AI88" s="172">
        <v>0.84321000000000002</v>
      </c>
      <c r="AJ88" s="172">
        <v>0.27417000000000002</v>
      </c>
      <c r="AK88" s="172">
        <v>0.10364</v>
      </c>
      <c r="AL88" s="172">
        <v>0.45806000000000002</v>
      </c>
      <c r="AM88" s="172">
        <v>0.85421000000000002</v>
      </c>
      <c r="AN88" s="172">
        <v>0.71543999999999996</v>
      </c>
      <c r="AO88" s="172">
        <v>8.6129999999999998E-2</v>
      </c>
      <c r="AP88" s="172">
        <v>0.17857000000000001</v>
      </c>
      <c r="AQ88" s="172">
        <v>0.90410000000000001</v>
      </c>
      <c r="AR88" s="172">
        <v>0.67871999999999999</v>
      </c>
      <c r="AS88" s="172">
        <v>0.30730000000000002</v>
      </c>
      <c r="AT88" s="172">
        <v>5.1999999999999998E-2</v>
      </c>
      <c r="AU88" s="172">
        <v>0.20319000000000001</v>
      </c>
      <c r="AV88" s="172">
        <v>0.23080000000000001</v>
      </c>
      <c r="AW88" s="172">
        <v>0.8115</v>
      </c>
      <c r="AX88" s="172">
        <v>0.18831000000000001</v>
      </c>
      <c r="AY88" s="172">
        <v>0.13961999999999999</v>
      </c>
      <c r="AZ88" s="172">
        <v>0.13095999999999999</v>
      </c>
      <c r="BA88" s="172">
        <v>0.16894000000000001</v>
      </c>
      <c r="BB88" s="172">
        <v>5.885E-2</v>
      </c>
      <c r="BC88" s="172">
        <v>7.2400000000000006E-2</v>
      </c>
      <c r="BD88" s="172">
        <v>0.62319999999999998</v>
      </c>
      <c r="BE88" s="172">
        <v>0.62990999999999997</v>
      </c>
      <c r="BF88" s="172">
        <v>0.19647000000000001</v>
      </c>
      <c r="BG88" s="172">
        <v>8.6599999999999996E-2</v>
      </c>
      <c r="BH88" s="172">
        <v>8.0369999999999997E-2</v>
      </c>
      <c r="BI88" s="172">
        <v>0.52049999999999996</v>
      </c>
      <c r="BJ88" s="172">
        <v>0.81152999999999997</v>
      </c>
      <c r="BK88" s="172">
        <v>0.38131999999999999</v>
      </c>
      <c r="BL88" s="172">
        <v>0.94203999999999999</v>
      </c>
      <c r="BM88" s="172">
        <v>0.19875999999999999</v>
      </c>
      <c r="BN88" s="172">
        <v>0.11115</v>
      </c>
      <c r="BO88" s="172">
        <v>1.281E-2</v>
      </c>
      <c r="BP88" s="172">
        <v>5.96E-2</v>
      </c>
      <c r="BQ88" s="172">
        <v>6.7799999999999999E-2</v>
      </c>
      <c r="BR88" s="172">
        <v>0.21368000000000001</v>
      </c>
      <c r="BS88" s="172">
        <v>0.18406</v>
      </c>
      <c r="BT88" s="172">
        <v>0.28159000000000001</v>
      </c>
      <c r="BU88" s="172">
        <v>0.15140000000000001</v>
      </c>
      <c r="BV88" s="172">
        <v>0.46172000000000002</v>
      </c>
      <c r="BW88" s="172">
        <v>0.73651999999999995</v>
      </c>
      <c r="BX88" s="172">
        <v>0.66356999999999999</v>
      </c>
      <c r="BY88" s="172">
        <v>0.11600000000000001</v>
      </c>
      <c r="BZ88" s="172">
        <v>0.12970000000000001</v>
      </c>
      <c r="CA88" s="172">
        <v>0.27372999999999997</v>
      </c>
      <c r="CB88" s="172">
        <v>0.70442000000000005</v>
      </c>
      <c r="CC88" s="172">
        <v>0.88558999999999999</v>
      </c>
      <c r="CD88" s="172">
        <v>0.84838999999999998</v>
      </c>
      <c r="CE88" s="172">
        <v>0.50463000000000002</v>
      </c>
      <c r="CF88" s="172">
        <v>0.88139999999999996</v>
      </c>
      <c r="CG88" s="172">
        <v>0.70289999999999997</v>
      </c>
      <c r="CH88" s="172">
        <v>5.8770000000000003E-2</v>
      </c>
      <c r="CI88" s="172">
        <v>0.45694000000000001</v>
      </c>
      <c r="CJ88" s="172">
        <v>0.84157000000000004</v>
      </c>
      <c r="CK88" s="172">
        <v>0.16700000000000001</v>
      </c>
      <c r="CL88" s="172">
        <v>0.94655999999999996</v>
      </c>
      <c r="CM88" s="172">
        <v>0.82757000000000003</v>
      </c>
      <c r="CN88" s="172">
        <v>0.25119999999999998</v>
      </c>
      <c r="CO88" s="172">
        <v>0.52547999999999995</v>
      </c>
      <c r="CP88" s="172">
        <v>0.79239000000000004</v>
      </c>
      <c r="CQ88" s="172">
        <v>0.76832999999999996</v>
      </c>
      <c r="CR88" s="172">
        <v>0.88012000000000001</v>
      </c>
      <c r="CS88" s="172">
        <v>0.90917000000000003</v>
      </c>
      <c r="CT88" s="172">
        <v>0.92513000000000001</v>
      </c>
      <c r="CU88" s="172">
        <v>0.27279999999999999</v>
      </c>
      <c r="CV88" s="172">
        <v>0.82813999999999999</v>
      </c>
      <c r="CW88" s="172">
        <v>0.63380000000000003</v>
      </c>
    </row>
    <row r="89" spans="1:101">
      <c r="A89" s="171">
        <f t="shared" si="2"/>
        <v>755</v>
      </c>
      <c r="B89" s="171">
        <v>1</v>
      </c>
      <c r="C89" s="172">
        <v>0.89259999999999995</v>
      </c>
      <c r="D89" s="172">
        <v>0.77459999999999996</v>
      </c>
      <c r="E89" s="172">
        <v>0.28305000000000002</v>
      </c>
      <c r="F89" s="172">
        <v>0.53163000000000005</v>
      </c>
      <c r="G89" s="172">
        <v>0.95335000000000003</v>
      </c>
      <c r="H89" s="172">
        <v>0.87973000000000001</v>
      </c>
      <c r="I89" s="172">
        <v>0.46450000000000002</v>
      </c>
      <c r="J89" s="172">
        <v>0.67337000000000002</v>
      </c>
      <c r="K89" s="172">
        <v>5.697E-2</v>
      </c>
      <c r="L89" s="172">
        <v>0.88290999999999997</v>
      </c>
      <c r="M89" s="172">
        <v>0.85624999999999996</v>
      </c>
      <c r="N89" s="172">
        <v>0.69694999999999996</v>
      </c>
      <c r="O89" s="172">
        <v>0.26282</v>
      </c>
      <c r="P89" s="172">
        <v>0.49490000000000001</v>
      </c>
      <c r="Q89" s="172">
        <v>0.65773000000000004</v>
      </c>
      <c r="R89" s="172">
        <v>0.70672000000000001</v>
      </c>
      <c r="S89" s="172">
        <v>0.86251999999999995</v>
      </c>
      <c r="T89" s="172">
        <v>0.4012</v>
      </c>
      <c r="U89" s="172">
        <v>0.51439999999999997</v>
      </c>
      <c r="V89" s="172">
        <v>0.91608999999999996</v>
      </c>
      <c r="W89" s="172">
        <v>0.91852999999999996</v>
      </c>
      <c r="X89" s="172">
        <v>0.85624</v>
      </c>
      <c r="Y89" s="172">
        <v>0.89212000000000002</v>
      </c>
      <c r="Z89" s="172">
        <v>0.83740000000000003</v>
      </c>
      <c r="AA89" s="172">
        <v>0.59843999999999997</v>
      </c>
      <c r="AB89" s="172">
        <v>0.90880000000000005</v>
      </c>
      <c r="AC89" s="172">
        <v>0.53329000000000004</v>
      </c>
      <c r="AD89" s="172">
        <v>0.11906</v>
      </c>
      <c r="AE89" s="172">
        <v>0.88551000000000002</v>
      </c>
      <c r="AF89" s="172">
        <v>0.41660000000000003</v>
      </c>
      <c r="AG89" s="172">
        <v>0.83087999999999995</v>
      </c>
      <c r="AH89" s="172">
        <v>0.85260000000000002</v>
      </c>
      <c r="AI89" s="172">
        <v>0.84524999999999995</v>
      </c>
      <c r="AJ89" s="172">
        <v>0.27417000000000002</v>
      </c>
      <c r="AK89" s="172">
        <v>0.10364</v>
      </c>
      <c r="AL89" s="172">
        <v>0.45057000000000003</v>
      </c>
      <c r="AM89" s="172">
        <v>0.87917000000000001</v>
      </c>
      <c r="AN89" s="172">
        <v>0.71902999999999995</v>
      </c>
      <c r="AO89" s="172">
        <v>8.5970000000000005E-2</v>
      </c>
      <c r="AP89" s="172">
        <v>0.17679</v>
      </c>
      <c r="AQ89" s="172">
        <v>0.90410000000000001</v>
      </c>
      <c r="AR89" s="172">
        <v>0.70296000000000003</v>
      </c>
      <c r="AS89" s="172">
        <v>0.30730000000000002</v>
      </c>
      <c r="AT89" s="172">
        <v>5.1999999999999998E-2</v>
      </c>
      <c r="AU89" s="172">
        <v>0.20930000000000001</v>
      </c>
      <c r="AV89" s="172">
        <v>0.23080000000000001</v>
      </c>
      <c r="AW89" s="172">
        <v>0.8115</v>
      </c>
      <c r="AX89" s="172">
        <v>0.1903</v>
      </c>
      <c r="AY89" s="172">
        <v>0.14359</v>
      </c>
      <c r="AZ89" s="172">
        <v>0.12776999999999999</v>
      </c>
      <c r="BA89" s="172">
        <v>0.16450000000000001</v>
      </c>
      <c r="BB89" s="172">
        <v>5.7320000000000003E-2</v>
      </c>
      <c r="BC89" s="172">
        <v>7.2400000000000006E-2</v>
      </c>
      <c r="BD89" s="172">
        <v>0.62319999999999998</v>
      </c>
      <c r="BE89" s="172">
        <v>0.63368999999999998</v>
      </c>
      <c r="BF89" s="172">
        <v>0.19647000000000001</v>
      </c>
      <c r="BG89" s="172">
        <v>8.6599999999999996E-2</v>
      </c>
      <c r="BH89" s="172">
        <v>7.9829999999999998E-2</v>
      </c>
      <c r="BI89" s="172">
        <v>0.52049999999999996</v>
      </c>
      <c r="BJ89" s="172">
        <v>0.81520999999999999</v>
      </c>
      <c r="BK89" s="172">
        <v>0.37864999999999999</v>
      </c>
      <c r="BL89" s="172">
        <v>0.95255999999999996</v>
      </c>
      <c r="BM89" s="172">
        <v>0.21196999999999999</v>
      </c>
      <c r="BN89" s="172">
        <v>0.11115</v>
      </c>
      <c r="BO89" s="172">
        <v>1.298E-2</v>
      </c>
      <c r="BP89" s="172">
        <v>5.96E-2</v>
      </c>
      <c r="BQ89" s="172">
        <v>6.7799999999999999E-2</v>
      </c>
      <c r="BR89" s="172">
        <v>0.21146999999999999</v>
      </c>
      <c r="BS89" s="172">
        <v>0.18229999999999999</v>
      </c>
      <c r="BT89" s="172">
        <v>0.27942</v>
      </c>
      <c r="BU89" s="172">
        <v>0.15140000000000001</v>
      </c>
      <c r="BV89" s="172">
        <v>0.46229999999999999</v>
      </c>
      <c r="BW89" s="172">
        <v>0.77056999999999998</v>
      </c>
      <c r="BX89" s="172">
        <v>0.70987999999999996</v>
      </c>
      <c r="BY89" s="172">
        <v>0.11600000000000001</v>
      </c>
      <c r="BZ89" s="172">
        <v>0.12970000000000001</v>
      </c>
      <c r="CA89" s="172">
        <v>0.26773999999999998</v>
      </c>
      <c r="CB89" s="172">
        <v>0.74331000000000003</v>
      </c>
      <c r="CC89" s="172">
        <v>0.89312999999999998</v>
      </c>
      <c r="CD89" s="172">
        <v>0.84957000000000005</v>
      </c>
      <c r="CE89" s="172">
        <v>0.50831999999999999</v>
      </c>
      <c r="CF89" s="172">
        <v>0.88139999999999996</v>
      </c>
      <c r="CG89" s="172">
        <v>0.70289999999999997</v>
      </c>
      <c r="CH89" s="172">
        <v>5.8360000000000002E-2</v>
      </c>
      <c r="CI89" s="172">
        <v>0.46938000000000002</v>
      </c>
      <c r="CJ89" s="172">
        <v>0.84682999999999997</v>
      </c>
      <c r="CK89" s="172">
        <v>0.16586000000000001</v>
      </c>
      <c r="CL89" s="172">
        <v>0.95511000000000001</v>
      </c>
      <c r="CM89" s="172">
        <v>0.84924999999999995</v>
      </c>
      <c r="CN89" s="172">
        <v>0.25119999999999998</v>
      </c>
      <c r="CO89" s="172">
        <v>0.51744000000000001</v>
      </c>
      <c r="CP89" s="172">
        <v>0.80115000000000003</v>
      </c>
      <c r="CQ89" s="172">
        <v>0.76919999999999999</v>
      </c>
      <c r="CR89" s="172">
        <v>0.89285999999999999</v>
      </c>
      <c r="CS89" s="172">
        <v>0.91266999999999998</v>
      </c>
      <c r="CT89" s="172">
        <v>0.92788999999999999</v>
      </c>
      <c r="CU89" s="172">
        <v>0.27279999999999999</v>
      </c>
      <c r="CV89" s="172">
        <v>0.82813999999999999</v>
      </c>
      <c r="CW89" s="172">
        <v>0.63380000000000003</v>
      </c>
    </row>
    <row r="90" spans="1:101">
      <c r="A90" s="171">
        <f t="shared" si="2"/>
        <v>760</v>
      </c>
      <c r="B90" s="171">
        <v>1</v>
      </c>
      <c r="C90" s="172">
        <v>0.89259999999999995</v>
      </c>
      <c r="D90" s="172">
        <v>0.77459999999999996</v>
      </c>
      <c r="E90" s="172">
        <v>0.29074</v>
      </c>
      <c r="F90" s="172">
        <v>0.53349999999999997</v>
      </c>
      <c r="G90" s="172">
        <v>0.95625000000000004</v>
      </c>
      <c r="H90" s="172">
        <v>0.89093999999999995</v>
      </c>
      <c r="I90" s="172">
        <v>0.46450000000000002</v>
      </c>
      <c r="J90" s="172">
        <v>0.6784</v>
      </c>
      <c r="K90" s="172">
        <v>5.6460000000000003E-2</v>
      </c>
      <c r="L90" s="172">
        <v>0.88290999999999997</v>
      </c>
      <c r="M90" s="172">
        <v>0.86546999999999996</v>
      </c>
      <c r="N90" s="172">
        <v>0.69799</v>
      </c>
      <c r="O90" s="172">
        <v>0.26250000000000001</v>
      </c>
      <c r="P90" s="172">
        <v>0.49490000000000001</v>
      </c>
      <c r="Q90" s="172">
        <v>0.66017999999999999</v>
      </c>
      <c r="R90" s="172">
        <v>0.71911999999999998</v>
      </c>
      <c r="S90" s="172">
        <v>0.87544999999999995</v>
      </c>
      <c r="T90" s="172">
        <v>0.4012</v>
      </c>
      <c r="U90" s="172">
        <v>0.51439999999999997</v>
      </c>
      <c r="V90" s="172">
        <v>0.92020000000000002</v>
      </c>
      <c r="W90" s="172">
        <v>0.91927000000000003</v>
      </c>
      <c r="X90" s="172">
        <v>0.85765999999999998</v>
      </c>
      <c r="Y90" s="172">
        <v>0.89200000000000002</v>
      </c>
      <c r="Z90" s="172">
        <v>0.83740000000000003</v>
      </c>
      <c r="AA90" s="172">
        <v>0.60536999999999996</v>
      </c>
      <c r="AB90" s="172">
        <v>0.90880000000000005</v>
      </c>
      <c r="AC90" s="172">
        <v>0.53939000000000004</v>
      </c>
      <c r="AD90" s="172">
        <v>0.1203</v>
      </c>
      <c r="AE90" s="172">
        <v>0.88905999999999996</v>
      </c>
      <c r="AF90" s="172">
        <v>0.4214</v>
      </c>
      <c r="AG90" s="172">
        <v>0.83094999999999997</v>
      </c>
      <c r="AH90" s="172">
        <v>0.85260000000000002</v>
      </c>
      <c r="AI90" s="172">
        <v>0.84728000000000003</v>
      </c>
      <c r="AJ90" s="172">
        <v>0.27417000000000002</v>
      </c>
      <c r="AK90" s="172">
        <v>0.10364</v>
      </c>
      <c r="AL90" s="172">
        <v>0.44309999999999999</v>
      </c>
      <c r="AM90" s="172">
        <v>0.90034999999999998</v>
      </c>
      <c r="AN90" s="172">
        <v>0.72258</v>
      </c>
      <c r="AO90" s="172">
        <v>8.5809999999999997E-2</v>
      </c>
      <c r="AP90" s="172">
        <v>0.17502000000000001</v>
      </c>
      <c r="AQ90" s="172">
        <v>0.90410000000000001</v>
      </c>
      <c r="AR90" s="172">
        <v>0.72611000000000003</v>
      </c>
      <c r="AS90" s="172">
        <v>0.30730000000000002</v>
      </c>
      <c r="AT90" s="172">
        <v>5.1999999999999998E-2</v>
      </c>
      <c r="AU90" s="172">
        <v>0.21407000000000001</v>
      </c>
      <c r="AV90" s="172">
        <v>0.23080000000000001</v>
      </c>
      <c r="AW90" s="172">
        <v>0.8115</v>
      </c>
      <c r="AX90" s="172">
        <v>0.1923</v>
      </c>
      <c r="AY90" s="172">
        <v>0.14766000000000001</v>
      </c>
      <c r="AZ90" s="172">
        <v>0.12464</v>
      </c>
      <c r="BA90" s="172">
        <v>0.16016</v>
      </c>
      <c r="BB90" s="172">
        <v>5.5829999999999998E-2</v>
      </c>
      <c r="BC90" s="172">
        <v>7.2400000000000006E-2</v>
      </c>
      <c r="BD90" s="172">
        <v>0.62319999999999998</v>
      </c>
      <c r="BE90" s="172">
        <v>0.62990999999999997</v>
      </c>
      <c r="BF90" s="172">
        <v>0.19647000000000001</v>
      </c>
      <c r="BG90" s="172">
        <v>8.6599999999999996E-2</v>
      </c>
      <c r="BH90" s="172">
        <v>7.9289999999999999E-2</v>
      </c>
      <c r="BI90" s="172">
        <v>0.52049999999999996</v>
      </c>
      <c r="BJ90" s="172">
        <v>0.81152999999999997</v>
      </c>
      <c r="BK90" s="172">
        <v>0.37598999999999999</v>
      </c>
      <c r="BL90" s="172">
        <v>0.96125000000000005</v>
      </c>
      <c r="BM90" s="172">
        <v>0.2258</v>
      </c>
      <c r="BN90" s="172">
        <v>0.11115</v>
      </c>
      <c r="BO90" s="172">
        <v>1.315E-2</v>
      </c>
      <c r="BP90" s="172">
        <v>5.96E-2</v>
      </c>
      <c r="BQ90" s="172">
        <v>6.7799999999999999E-2</v>
      </c>
      <c r="BR90" s="172">
        <v>0.20927999999999999</v>
      </c>
      <c r="BS90" s="172">
        <v>0.18054999999999999</v>
      </c>
      <c r="BT90" s="172">
        <v>0.27726000000000001</v>
      </c>
      <c r="BU90" s="172">
        <v>0.15140000000000001</v>
      </c>
      <c r="BV90" s="172">
        <v>0.46288000000000001</v>
      </c>
      <c r="BW90" s="172">
        <v>0.8014</v>
      </c>
      <c r="BX90" s="172">
        <v>0.75219999999999998</v>
      </c>
      <c r="BY90" s="172">
        <v>0.11600000000000001</v>
      </c>
      <c r="BZ90" s="172">
        <v>0.12970000000000001</v>
      </c>
      <c r="CA90" s="172">
        <v>0.26182</v>
      </c>
      <c r="CB90" s="172">
        <v>0.77868999999999999</v>
      </c>
      <c r="CC90" s="172">
        <v>0.90022999999999997</v>
      </c>
      <c r="CD90" s="172">
        <v>0.84838999999999998</v>
      </c>
      <c r="CE90" s="172">
        <v>0.51200999999999997</v>
      </c>
      <c r="CF90" s="172">
        <v>0.88139999999999996</v>
      </c>
      <c r="CG90" s="172">
        <v>0.70289999999999997</v>
      </c>
      <c r="CH90" s="172">
        <v>5.7950000000000002E-2</v>
      </c>
      <c r="CI90" s="172">
        <v>0.48186000000000001</v>
      </c>
      <c r="CJ90" s="172">
        <v>0.85194999999999999</v>
      </c>
      <c r="CK90" s="172">
        <v>0.16472999999999999</v>
      </c>
      <c r="CL90" s="172">
        <v>0.96235000000000004</v>
      </c>
      <c r="CM90" s="172">
        <v>0.86863999999999997</v>
      </c>
      <c r="CN90" s="172">
        <v>0.25119999999999998</v>
      </c>
      <c r="CO90" s="172">
        <v>0.50939999999999996</v>
      </c>
      <c r="CP90" s="172">
        <v>0.80962999999999996</v>
      </c>
      <c r="CQ90" s="172">
        <v>0.77007000000000003</v>
      </c>
      <c r="CR90" s="172">
        <v>0.90439999999999998</v>
      </c>
      <c r="CS90" s="172">
        <v>0.91605999999999999</v>
      </c>
      <c r="CT90" s="172">
        <v>0.93056000000000005</v>
      </c>
      <c r="CU90" s="172">
        <v>0.27279999999999999</v>
      </c>
      <c r="CV90" s="172">
        <v>0.82813999999999999</v>
      </c>
      <c r="CW90" s="172">
        <v>0.63380000000000003</v>
      </c>
    </row>
    <row r="91" spans="1:101">
      <c r="A91" s="171">
        <f t="shared" si="2"/>
        <v>765</v>
      </c>
      <c r="B91" s="171">
        <v>1</v>
      </c>
      <c r="C91" s="172">
        <v>0.89259999999999995</v>
      </c>
      <c r="D91" s="172">
        <v>0.77459999999999996</v>
      </c>
      <c r="E91" s="172">
        <v>0.29854999999999998</v>
      </c>
      <c r="F91" s="172">
        <v>0.53537000000000001</v>
      </c>
      <c r="G91" s="172">
        <v>0.95896999999999999</v>
      </c>
      <c r="H91" s="172">
        <v>0.90122000000000002</v>
      </c>
      <c r="I91" s="172">
        <v>0.46450000000000002</v>
      </c>
      <c r="J91" s="172">
        <v>0.68339000000000005</v>
      </c>
      <c r="K91" s="172">
        <v>5.5960000000000003E-2</v>
      </c>
      <c r="L91" s="172">
        <v>0.88290999999999997</v>
      </c>
      <c r="M91" s="172">
        <v>0.87419000000000002</v>
      </c>
      <c r="N91" s="172">
        <v>0.69903000000000004</v>
      </c>
      <c r="O91" s="172">
        <v>0.26218999999999998</v>
      </c>
      <c r="P91" s="172">
        <v>0.49490000000000001</v>
      </c>
      <c r="Q91" s="172">
        <v>0.66261999999999999</v>
      </c>
      <c r="R91" s="172">
        <v>0.73119000000000001</v>
      </c>
      <c r="S91" s="172">
        <v>0.88732</v>
      </c>
      <c r="T91" s="172">
        <v>0.4012</v>
      </c>
      <c r="U91" s="172">
        <v>0.51439999999999997</v>
      </c>
      <c r="V91" s="172">
        <v>0.92413000000000001</v>
      </c>
      <c r="W91" s="172">
        <v>0.92000999999999999</v>
      </c>
      <c r="X91" s="172">
        <v>0.85907</v>
      </c>
      <c r="Y91" s="172">
        <v>0.89195999999999998</v>
      </c>
      <c r="Z91" s="172">
        <v>0.83740000000000003</v>
      </c>
      <c r="AA91" s="172">
        <v>0.61226999999999998</v>
      </c>
      <c r="AB91" s="172">
        <v>0.90880000000000005</v>
      </c>
      <c r="AC91" s="172">
        <v>0.54547999999999996</v>
      </c>
      <c r="AD91" s="172">
        <v>0.12106</v>
      </c>
      <c r="AE91" s="172">
        <v>0.89251999999999998</v>
      </c>
      <c r="AF91" s="172">
        <v>0.42621999999999999</v>
      </c>
      <c r="AG91" s="172">
        <v>0.83101999999999998</v>
      </c>
      <c r="AH91" s="172">
        <v>0.85260000000000002</v>
      </c>
      <c r="AI91" s="172">
        <v>0.84928999999999999</v>
      </c>
      <c r="AJ91" s="172">
        <v>0.27417000000000002</v>
      </c>
      <c r="AK91" s="172">
        <v>0.10364</v>
      </c>
      <c r="AL91" s="172">
        <v>0.43562000000000001</v>
      </c>
      <c r="AM91" s="172">
        <v>0.91817000000000004</v>
      </c>
      <c r="AN91" s="172">
        <v>0.72614999999999996</v>
      </c>
      <c r="AO91" s="172">
        <v>8.5650000000000004E-2</v>
      </c>
      <c r="AP91" s="172">
        <v>0.17327000000000001</v>
      </c>
      <c r="AQ91" s="172">
        <v>0.90410000000000001</v>
      </c>
      <c r="AR91" s="172">
        <v>0.74809999999999999</v>
      </c>
      <c r="AS91" s="172">
        <v>0.30730000000000002</v>
      </c>
      <c r="AT91" s="172">
        <v>5.1999999999999998E-2</v>
      </c>
      <c r="AU91" s="172">
        <v>0.21864</v>
      </c>
      <c r="AV91" s="172">
        <v>0.23080000000000001</v>
      </c>
      <c r="AW91" s="172">
        <v>0.8115</v>
      </c>
      <c r="AX91" s="172">
        <v>0.19433</v>
      </c>
      <c r="AY91" s="172">
        <v>0.15182000000000001</v>
      </c>
      <c r="AZ91" s="172">
        <v>0.12159</v>
      </c>
      <c r="BA91" s="172">
        <v>0.15590999999999999</v>
      </c>
      <c r="BB91" s="172">
        <v>5.4379999999999998E-2</v>
      </c>
      <c r="BC91" s="172">
        <v>7.2400000000000006E-2</v>
      </c>
      <c r="BD91" s="172">
        <v>0.62319999999999998</v>
      </c>
      <c r="BE91" s="172">
        <v>0.62865000000000004</v>
      </c>
      <c r="BF91" s="172">
        <v>0.19647000000000001</v>
      </c>
      <c r="BG91" s="172">
        <v>8.6599999999999996E-2</v>
      </c>
      <c r="BH91" s="172">
        <v>7.8759999999999997E-2</v>
      </c>
      <c r="BI91" s="172">
        <v>0.52049999999999996</v>
      </c>
      <c r="BJ91" s="172">
        <v>0.81030000000000002</v>
      </c>
      <c r="BK91" s="172">
        <v>0.37334000000000001</v>
      </c>
      <c r="BL91" s="172">
        <v>0.96840000000000004</v>
      </c>
      <c r="BM91" s="172">
        <v>0.24026</v>
      </c>
      <c r="BN91" s="172">
        <v>0.11115</v>
      </c>
      <c r="BO91" s="172">
        <v>1.332E-2</v>
      </c>
      <c r="BP91" s="172">
        <v>5.96E-2</v>
      </c>
      <c r="BQ91" s="172">
        <v>6.7799999999999999E-2</v>
      </c>
      <c r="BR91" s="172">
        <v>0.20710999999999999</v>
      </c>
      <c r="BS91" s="172">
        <v>0.17882000000000001</v>
      </c>
      <c r="BT91" s="172">
        <v>0.27511000000000002</v>
      </c>
      <c r="BU91" s="172">
        <v>0.15140000000000001</v>
      </c>
      <c r="BV91" s="172">
        <v>0.46345999999999998</v>
      </c>
      <c r="BW91" s="172">
        <v>0.82899999999999996</v>
      </c>
      <c r="BX91" s="172">
        <v>0.79015999999999997</v>
      </c>
      <c r="BY91" s="172">
        <v>0.11600000000000001</v>
      </c>
      <c r="BZ91" s="172">
        <v>0.12970000000000001</v>
      </c>
      <c r="CA91" s="172">
        <v>0.25589000000000001</v>
      </c>
      <c r="CB91" s="172">
        <v>0.81042999999999998</v>
      </c>
      <c r="CC91" s="172">
        <v>0.90690000000000004</v>
      </c>
      <c r="CD91" s="172">
        <v>0.84799999999999998</v>
      </c>
      <c r="CE91" s="172">
        <v>0.51570000000000005</v>
      </c>
      <c r="CF91" s="172">
        <v>0.88139999999999996</v>
      </c>
      <c r="CG91" s="172">
        <v>0.70289999999999997</v>
      </c>
      <c r="CH91" s="172">
        <v>5.7549999999999997E-2</v>
      </c>
      <c r="CI91" s="172">
        <v>0.49436000000000002</v>
      </c>
      <c r="CJ91" s="172">
        <v>0.85692999999999997</v>
      </c>
      <c r="CK91" s="172">
        <v>0.16361000000000001</v>
      </c>
      <c r="CL91" s="172">
        <v>0.96845999999999999</v>
      </c>
      <c r="CM91" s="172">
        <v>0.88587000000000005</v>
      </c>
      <c r="CN91" s="172">
        <v>0.25119999999999998</v>
      </c>
      <c r="CO91" s="172">
        <v>0.50134999999999996</v>
      </c>
      <c r="CP91" s="172">
        <v>0.81816</v>
      </c>
      <c r="CQ91" s="172">
        <v>0.77093999999999996</v>
      </c>
      <c r="CR91" s="172">
        <v>0.91481000000000001</v>
      </c>
      <c r="CS91" s="172">
        <v>0.91932000000000003</v>
      </c>
      <c r="CT91" s="172">
        <v>0.93313999999999997</v>
      </c>
      <c r="CU91" s="172">
        <v>0.27279999999999999</v>
      </c>
      <c r="CV91" s="172">
        <v>0.82813999999999999</v>
      </c>
      <c r="CW91" s="172">
        <v>0.63380000000000003</v>
      </c>
    </row>
    <row r="92" spans="1:101">
      <c r="A92" s="171">
        <f t="shared" si="2"/>
        <v>770</v>
      </c>
      <c r="B92" s="171">
        <v>1</v>
      </c>
      <c r="C92" s="172">
        <v>0.89259999999999995</v>
      </c>
      <c r="D92" s="172">
        <v>0.77459999999999996</v>
      </c>
      <c r="E92" s="172">
        <v>0.30647999999999997</v>
      </c>
      <c r="F92" s="172">
        <v>0.53722999999999999</v>
      </c>
      <c r="G92" s="172">
        <v>0.96153</v>
      </c>
      <c r="H92" s="172">
        <v>0.91063000000000005</v>
      </c>
      <c r="I92" s="172">
        <v>0.46450000000000002</v>
      </c>
      <c r="J92" s="172">
        <v>0.68833999999999995</v>
      </c>
      <c r="K92" s="172">
        <v>5.5460000000000002E-2</v>
      </c>
      <c r="L92" s="172">
        <v>0.88290999999999997</v>
      </c>
      <c r="M92" s="172">
        <v>0.88241999999999998</v>
      </c>
      <c r="N92" s="172">
        <v>0.70006999999999997</v>
      </c>
      <c r="O92" s="172">
        <v>0.26186999999999999</v>
      </c>
      <c r="P92" s="172">
        <v>0.49490000000000001</v>
      </c>
      <c r="Q92" s="172">
        <v>0.66503999999999996</v>
      </c>
      <c r="R92" s="172">
        <v>0.74292000000000002</v>
      </c>
      <c r="S92" s="172">
        <v>0.89819000000000004</v>
      </c>
      <c r="T92" s="172">
        <v>0.4012</v>
      </c>
      <c r="U92" s="172">
        <v>0.51439999999999997</v>
      </c>
      <c r="V92" s="172">
        <v>0.92788000000000004</v>
      </c>
      <c r="W92" s="172">
        <v>0.92074</v>
      </c>
      <c r="X92" s="172">
        <v>0.86046999999999996</v>
      </c>
      <c r="Y92" s="172">
        <v>0.89200000000000002</v>
      </c>
      <c r="Z92" s="172">
        <v>0.83740000000000003</v>
      </c>
      <c r="AA92" s="172">
        <v>0.61911000000000005</v>
      </c>
      <c r="AB92" s="172">
        <v>0.90880000000000005</v>
      </c>
      <c r="AC92" s="172">
        <v>0.55154999999999998</v>
      </c>
      <c r="AD92" s="172">
        <v>0.12099</v>
      </c>
      <c r="AE92" s="172">
        <v>0.89588999999999996</v>
      </c>
      <c r="AF92" s="172">
        <v>0.43104999999999999</v>
      </c>
      <c r="AG92" s="172">
        <v>0.83109</v>
      </c>
      <c r="AH92" s="172">
        <v>0.85260000000000002</v>
      </c>
      <c r="AI92" s="172">
        <v>0.85126999999999997</v>
      </c>
      <c r="AJ92" s="172">
        <v>0.27417000000000002</v>
      </c>
      <c r="AK92" s="172">
        <v>0.10364</v>
      </c>
      <c r="AL92" s="172">
        <v>0.42817</v>
      </c>
      <c r="AM92" s="172">
        <v>0.93303000000000003</v>
      </c>
      <c r="AN92" s="172">
        <v>0.72967000000000004</v>
      </c>
      <c r="AO92" s="172">
        <v>8.5489999999999997E-2</v>
      </c>
      <c r="AP92" s="172">
        <v>0.17152999999999999</v>
      </c>
      <c r="AQ92" s="172">
        <v>0.90410000000000001</v>
      </c>
      <c r="AR92" s="172">
        <v>0.76888999999999996</v>
      </c>
      <c r="AS92" s="172">
        <v>0.30730000000000002</v>
      </c>
      <c r="AT92" s="172">
        <v>5.1999999999999998E-2</v>
      </c>
      <c r="AU92" s="172">
        <v>0.21997</v>
      </c>
      <c r="AV92" s="172">
        <v>0.23080000000000001</v>
      </c>
      <c r="AW92" s="172">
        <v>0.8115</v>
      </c>
      <c r="AX92" s="172">
        <v>0.19636999999999999</v>
      </c>
      <c r="AY92" s="172">
        <v>0.15608</v>
      </c>
      <c r="AZ92" s="172">
        <v>0.11859</v>
      </c>
      <c r="BA92" s="172">
        <v>0.15175</v>
      </c>
      <c r="BB92" s="172">
        <v>5.296E-2</v>
      </c>
      <c r="BC92" s="172">
        <v>7.2400000000000006E-2</v>
      </c>
      <c r="BD92" s="172">
        <v>0.62319999999999998</v>
      </c>
      <c r="BE92" s="172">
        <v>0.62990999999999997</v>
      </c>
      <c r="BF92" s="172">
        <v>0.19647000000000001</v>
      </c>
      <c r="BG92" s="172">
        <v>8.6599999999999996E-2</v>
      </c>
      <c r="BH92" s="172">
        <v>7.8219999999999998E-2</v>
      </c>
      <c r="BI92" s="172">
        <v>0.52049999999999996</v>
      </c>
      <c r="BJ92" s="172">
        <v>0.81152999999999997</v>
      </c>
      <c r="BK92" s="172">
        <v>0.37069999999999997</v>
      </c>
      <c r="BL92" s="172">
        <v>0.97426999999999997</v>
      </c>
      <c r="BM92" s="172">
        <v>0.25534000000000001</v>
      </c>
      <c r="BN92" s="172">
        <v>0.11115</v>
      </c>
      <c r="BO92" s="172">
        <v>1.35E-2</v>
      </c>
      <c r="BP92" s="172">
        <v>5.96E-2</v>
      </c>
      <c r="BQ92" s="172">
        <v>6.7799999999999999E-2</v>
      </c>
      <c r="BR92" s="172">
        <v>0.20494999999999999</v>
      </c>
      <c r="BS92" s="172">
        <v>0.17709</v>
      </c>
      <c r="BT92" s="172">
        <v>0.27295999999999998</v>
      </c>
      <c r="BU92" s="172">
        <v>0.15140000000000001</v>
      </c>
      <c r="BV92" s="172">
        <v>0.46404000000000001</v>
      </c>
      <c r="BW92" s="172">
        <v>0.85348000000000002</v>
      </c>
      <c r="BX92" s="172">
        <v>0.82367999999999997</v>
      </c>
      <c r="BY92" s="172">
        <v>0.11600000000000001</v>
      </c>
      <c r="BZ92" s="172">
        <v>0.12970000000000001</v>
      </c>
      <c r="CA92" s="172">
        <v>0.25007000000000001</v>
      </c>
      <c r="CB92" s="172">
        <v>0.83857000000000004</v>
      </c>
      <c r="CC92" s="172">
        <v>0.91317000000000004</v>
      </c>
      <c r="CD92" s="172">
        <v>0.84838999999999998</v>
      </c>
      <c r="CE92" s="172">
        <v>0.51937999999999995</v>
      </c>
      <c r="CF92" s="172">
        <v>0.88139999999999996</v>
      </c>
      <c r="CG92" s="172">
        <v>0.70289999999999997</v>
      </c>
      <c r="CH92" s="172">
        <v>5.7149999999999999E-2</v>
      </c>
      <c r="CI92" s="172">
        <v>0.50687000000000004</v>
      </c>
      <c r="CJ92" s="172">
        <v>0.86177000000000004</v>
      </c>
      <c r="CK92" s="172">
        <v>0.16249</v>
      </c>
      <c r="CL92" s="172">
        <v>0.97360000000000002</v>
      </c>
      <c r="CM92" s="172">
        <v>0.90110000000000001</v>
      </c>
      <c r="CN92" s="172">
        <v>0.25119999999999998</v>
      </c>
      <c r="CO92" s="172">
        <v>0.49329000000000001</v>
      </c>
      <c r="CP92" s="172">
        <v>0.82632000000000005</v>
      </c>
      <c r="CQ92" s="172">
        <v>0.77181</v>
      </c>
      <c r="CR92" s="172">
        <v>0.92418</v>
      </c>
      <c r="CS92" s="172">
        <v>0.92247000000000001</v>
      </c>
      <c r="CT92" s="172">
        <v>0.93562999999999996</v>
      </c>
      <c r="CU92" s="172">
        <v>0.27279999999999999</v>
      </c>
      <c r="CV92" s="172">
        <v>0.82813999999999999</v>
      </c>
      <c r="CW92" s="172">
        <v>0.63380000000000003</v>
      </c>
    </row>
    <row r="93" spans="1:101">
      <c r="A93" s="171">
        <f t="shared" si="2"/>
        <v>775</v>
      </c>
      <c r="B93" s="171">
        <v>1</v>
      </c>
      <c r="C93" s="172">
        <v>0.89259999999999995</v>
      </c>
      <c r="D93" s="172">
        <v>0.77459999999999996</v>
      </c>
      <c r="E93" s="172">
        <v>0.31452000000000002</v>
      </c>
      <c r="F93" s="172">
        <v>0.53910000000000002</v>
      </c>
      <c r="G93" s="172">
        <v>0.96394000000000002</v>
      </c>
      <c r="H93" s="172">
        <v>0.91922999999999999</v>
      </c>
      <c r="I93" s="172">
        <v>0.46450000000000002</v>
      </c>
      <c r="J93" s="172">
        <v>0.69325000000000003</v>
      </c>
      <c r="K93" s="172">
        <v>5.4960000000000002E-2</v>
      </c>
      <c r="L93" s="172">
        <v>0.88290999999999997</v>
      </c>
      <c r="M93" s="172">
        <v>0.89017999999999997</v>
      </c>
      <c r="N93" s="172">
        <v>0.70111000000000001</v>
      </c>
      <c r="O93" s="172">
        <v>0.26156000000000001</v>
      </c>
      <c r="P93" s="172">
        <v>0.49490000000000001</v>
      </c>
      <c r="Q93" s="172">
        <v>0.66746000000000005</v>
      </c>
      <c r="R93" s="172">
        <v>0.75431999999999999</v>
      </c>
      <c r="S93" s="172">
        <v>0.90812000000000004</v>
      </c>
      <c r="T93" s="172">
        <v>0.4012</v>
      </c>
      <c r="U93" s="172">
        <v>0.51439999999999997</v>
      </c>
      <c r="V93" s="172">
        <v>0.93145999999999995</v>
      </c>
      <c r="W93" s="172">
        <v>0.92145999999999995</v>
      </c>
      <c r="X93" s="172">
        <v>0.86185999999999996</v>
      </c>
      <c r="Y93" s="172">
        <v>0.89204000000000006</v>
      </c>
      <c r="Z93" s="172">
        <v>0.83740000000000003</v>
      </c>
      <c r="AA93" s="172">
        <v>0.62592000000000003</v>
      </c>
      <c r="AB93" s="172">
        <v>0.90880000000000005</v>
      </c>
      <c r="AC93" s="172">
        <v>0.55761000000000005</v>
      </c>
      <c r="AD93" s="172">
        <v>0.1212</v>
      </c>
      <c r="AE93" s="172">
        <v>0.89915999999999996</v>
      </c>
      <c r="AF93" s="172">
        <v>0.43589</v>
      </c>
      <c r="AG93" s="172">
        <v>0.83116000000000001</v>
      </c>
      <c r="AH93" s="172">
        <v>0.85260000000000002</v>
      </c>
      <c r="AI93" s="172">
        <v>0.85323000000000004</v>
      </c>
      <c r="AJ93" s="172">
        <v>0.27417000000000002</v>
      </c>
      <c r="AK93" s="172">
        <v>0.10364</v>
      </c>
      <c r="AL93" s="172">
        <v>0.42076000000000002</v>
      </c>
      <c r="AM93" s="172">
        <v>0.94535999999999998</v>
      </c>
      <c r="AN93" s="172">
        <v>0.73316000000000003</v>
      </c>
      <c r="AO93" s="172">
        <v>8.5330000000000003E-2</v>
      </c>
      <c r="AP93" s="172">
        <v>0.16980999999999999</v>
      </c>
      <c r="AQ93" s="172">
        <v>0.90410000000000001</v>
      </c>
      <c r="AR93" s="172">
        <v>0.78844999999999998</v>
      </c>
      <c r="AS93" s="172">
        <v>0.30730000000000002</v>
      </c>
      <c r="AT93" s="172">
        <v>5.1999999999999998E-2</v>
      </c>
      <c r="AU93" s="172">
        <v>0.21784000000000001</v>
      </c>
      <c r="AV93" s="172">
        <v>0.23080000000000001</v>
      </c>
      <c r="AW93" s="172">
        <v>0.8115</v>
      </c>
      <c r="AX93" s="172">
        <v>0.19842000000000001</v>
      </c>
      <c r="AY93" s="172">
        <v>0.16044</v>
      </c>
      <c r="AZ93" s="172">
        <v>0.11566</v>
      </c>
      <c r="BA93" s="172">
        <v>0.14768999999999999</v>
      </c>
      <c r="BB93" s="172">
        <v>5.1580000000000001E-2</v>
      </c>
      <c r="BC93" s="172">
        <v>7.2400000000000006E-2</v>
      </c>
      <c r="BD93" s="172">
        <v>0.62319999999999998</v>
      </c>
      <c r="BE93" s="172">
        <v>0.63117000000000001</v>
      </c>
      <c r="BF93" s="172">
        <v>0.19647000000000001</v>
      </c>
      <c r="BG93" s="172">
        <v>8.6599999999999996E-2</v>
      </c>
      <c r="BH93" s="172">
        <v>7.7689999999999995E-2</v>
      </c>
      <c r="BI93" s="172">
        <v>0.52049999999999996</v>
      </c>
      <c r="BJ93" s="172">
        <v>0.81276000000000004</v>
      </c>
      <c r="BK93" s="172">
        <v>0.36806</v>
      </c>
      <c r="BL93" s="172">
        <v>0.97907</v>
      </c>
      <c r="BM93" s="172">
        <v>0.27101999999999998</v>
      </c>
      <c r="BN93" s="172">
        <v>0.11115</v>
      </c>
      <c r="BO93" s="172">
        <v>1.3679999999999999E-2</v>
      </c>
      <c r="BP93" s="172">
        <v>5.96E-2</v>
      </c>
      <c r="BQ93" s="172">
        <v>6.7799999999999999E-2</v>
      </c>
      <c r="BR93" s="172">
        <v>0.20282</v>
      </c>
      <c r="BS93" s="172">
        <v>0.17538000000000001</v>
      </c>
      <c r="BT93" s="172">
        <v>0.27083000000000002</v>
      </c>
      <c r="BU93" s="172">
        <v>0.15140000000000001</v>
      </c>
      <c r="BV93" s="172">
        <v>0.46461999999999998</v>
      </c>
      <c r="BW93" s="172">
        <v>0.87497000000000003</v>
      </c>
      <c r="BX93" s="172">
        <v>0.85284000000000004</v>
      </c>
      <c r="BY93" s="172">
        <v>0.11600000000000001</v>
      </c>
      <c r="BZ93" s="172">
        <v>0.12970000000000001</v>
      </c>
      <c r="CA93" s="172">
        <v>0.24437</v>
      </c>
      <c r="CB93" s="172">
        <v>0.86323000000000005</v>
      </c>
      <c r="CC93" s="172">
        <v>0.91905999999999999</v>
      </c>
      <c r="CD93" s="172">
        <v>0.84877999999999998</v>
      </c>
      <c r="CE93" s="172">
        <v>0.52307000000000003</v>
      </c>
      <c r="CF93" s="172">
        <v>0.88139999999999996</v>
      </c>
      <c r="CG93" s="172">
        <v>0.70289999999999997</v>
      </c>
      <c r="CH93" s="172">
        <v>5.6750000000000002E-2</v>
      </c>
      <c r="CI93" s="172">
        <v>0.51937999999999995</v>
      </c>
      <c r="CJ93" s="172">
        <v>0.86646999999999996</v>
      </c>
      <c r="CK93" s="172">
        <v>0.16138</v>
      </c>
      <c r="CL93" s="172">
        <v>0.97792999999999997</v>
      </c>
      <c r="CM93" s="172">
        <v>0.91449000000000003</v>
      </c>
      <c r="CN93" s="172">
        <v>0.25119999999999998</v>
      </c>
      <c r="CO93" s="172">
        <v>0.48522999999999999</v>
      </c>
      <c r="CP93" s="172">
        <v>0.83411000000000002</v>
      </c>
      <c r="CQ93" s="172">
        <v>0.77266999999999997</v>
      </c>
      <c r="CR93" s="172">
        <v>0.93259000000000003</v>
      </c>
      <c r="CS93" s="172">
        <v>0.92551000000000005</v>
      </c>
      <c r="CT93" s="172">
        <v>0.93803000000000003</v>
      </c>
      <c r="CU93" s="172">
        <v>0.27279999999999999</v>
      </c>
      <c r="CV93" s="172">
        <v>0.82813999999999999</v>
      </c>
      <c r="CW93" s="172">
        <v>0.63380000000000003</v>
      </c>
    </row>
    <row r="94" spans="1:101">
      <c r="A94" s="171">
        <f t="shared" si="2"/>
        <v>780</v>
      </c>
      <c r="B94" s="171">
        <v>1</v>
      </c>
      <c r="C94" s="172">
        <v>0.89259999999999995</v>
      </c>
      <c r="D94" s="172">
        <v>0.77459999999999996</v>
      </c>
      <c r="E94" s="172">
        <v>0.32268000000000002</v>
      </c>
      <c r="F94" s="172">
        <v>0.54096</v>
      </c>
      <c r="G94" s="172">
        <v>0.96619999999999995</v>
      </c>
      <c r="H94" s="172">
        <v>0.92706</v>
      </c>
      <c r="I94" s="172">
        <v>0.46450000000000002</v>
      </c>
      <c r="J94" s="172">
        <v>0.69811000000000001</v>
      </c>
      <c r="K94" s="172">
        <v>5.4469999999999998E-2</v>
      </c>
      <c r="L94" s="172">
        <v>0.88290999999999997</v>
      </c>
      <c r="M94" s="172">
        <v>0.89748000000000006</v>
      </c>
      <c r="N94" s="172">
        <v>0.70215000000000005</v>
      </c>
      <c r="O94" s="172">
        <v>0.26124000000000003</v>
      </c>
      <c r="P94" s="172">
        <v>0.49490000000000001</v>
      </c>
      <c r="Q94" s="172">
        <v>0.66986999999999997</v>
      </c>
      <c r="R94" s="172">
        <v>0.76536999999999999</v>
      </c>
      <c r="S94" s="172">
        <v>0.91717000000000004</v>
      </c>
      <c r="T94" s="172">
        <v>0.4012</v>
      </c>
      <c r="U94" s="172">
        <v>0.51439999999999997</v>
      </c>
      <c r="V94" s="172">
        <v>0.93486999999999998</v>
      </c>
      <c r="W94" s="172">
        <v>0.92218</v>
      </c>
      <c r="X94" s="172">
        <v>0.86323000000000005</v>
      </c>
      <c r="Y94" s="172">
        <v>0.89200000000000002</v>
      </c>
      <c r="Z94" s="172">
        <v>0.83740000000000003</v>
      </c>
      <c r="AA94" s="172">
        <v>0.63266999999999995</v>
      </c>
      <c r="AB94" s="172">
        <v>0.90880000000000005</v>
      </c>
      <c r="AC94" s="172">
        <v>0.56364999999999998</v>
      </c>
      <c r="AD94" s="172">
        <v>0.12123</v>
      </c>
      <c r="AE94" s="172">
        <v>0.90232999999999997</v>
      </c>
      <c r="AF94" s="172">
        <v>0.44074000000000002</v>
      </c>
      <c r="AG94" s="172">
        <v>0.83123000000000002</v>
      </c>
      <c r="AH94" s="172">
        <v>0.85260000000000002</v>
      </c>
      <c r="AI94" s="172">
        <v>0.85516999999999999</v>
      </c>
      <c r="AJ94" s="172">
        <v>0.27417000000000002</v>
      </c>
      <c r="AK94" s="172">
        <v>0.10364</v>
      </c>
      <c r="AL94" s="172">
        <v>0.41338999999999998</v>
      </c>
      <c r="AM94" s="172">
        <v>0.95552999999999999</v>
      </c>
      <c r="AN94" s="172">
        <v>0.73660999999999999</v>
      </c>
      <c r="AO94" s="172">
        <v>8.5169999999999996E-2</v>
      </c>
      <c r="AP94" s="172">
        <v>0.16808999999999999</v>
      </c>
      <c r="AQ94" s="172">
        <v>0.90410000000000001</v>
      </c>
      <c r="AR94" s="172">
        <v>0.80676999999999999</v>
      </c>
      <c r="AS94" s="172">
        <v>0.30730000000000002</v>
      </c>
      <c r="AT94" s="172">
        <v>5.1999999999999998E-2</v>
      </c>
      <c r="AU94" s="172">
        <v>0.21926000000000001</v>
      </c>
      <c r="AV94" s="172">
        <v>0.23080000000000001</v>
      </c>
      <c r="AW94" s="172">
        <v>0.8115</v>
      </c>
      <c r="AX94" s="172">
        <v>0.20049</v>
      </c>
      <c r="AY94" s="172">
        <v>0.16489000000000001</v>
      </c>
      <c r="AZ94" s="172">
        <v>0.1128</v>
      </c>
      <c r="BA94" s="172">
        <v>0.14371</v>
      </c>
      <c r="BB94" s="172">
        <v>5.0229999999999997E-2</v>
      </c>
      <c r="BC94" s="172">
        <v>7.2400000000000006E-2</v>
      </c>
      <c r="BD94" s="172">
        <v>0.62319999999999998</v>
      </c>
      <c r="BE94" s="172">
        <v>0.62990999999999997</v>
      </c>
      <c r="BF94" s="172">
        <v>0.19647000000000001</v>
      </c>
      <c r="BG94" s="172">
        <v>8.6599999999999996E-2</v>
      </c>
      <c r="BH94" s="172">
        <v>7.7170000000000002E-2</v>
      </c>
      <c r="BI94" s="172">
        <v>0.52049999999999996</v>
      </c>
      <c r="BJ94" s="172">
        <v>0.81152999999999997</v>
      </c>
      <c r="BK94" s="172">
        <v>0.36543999999999999</v>
      </c>
      <c r="BL94" s="172">
        <v>0.98299000000000003</v>
      </c>
      <c r="BM94" s="172">
        <v>0.2873</v>
      </c>
      <c r="BN94" s="172">
        <v>0.11115</v>
      </c>
      <c r="BO94" s="172">
        <v>1.3860000000000001E-2</v>
      </c>
      <c r="BP94" s="172">
        <v>5.96E-2</v>
      </c>
      <c r="BQ94" s="172">
        <v>6.7799999999999999E-2</v>
      </c>
      <c r="BR94" s="172">
        <v>0.20069000000000001</v>
      </c>
      <c r="BS94" s="172">
        <v>0.17369000000000001</v>
      </c>
      <c r="BT94" s="172">
        <v>0.26871</v>
      </c>
      <c r="BU94" s="172">
        <v>0.15140000000000001</v>
      </c>
      <c r="BV94" s="172">
        <v>0.46518999999999999</v>
      </c>
      <c r="BW94" s="172">
        <v>0.89371</v>
      </c>
      <c r="BX94" s="172">
        <v>0.87788999999999995</v>
      </c>
      <c r="BY94" s="172">
        <v>0.11600000000000001</v>
      </c>
      <c r="BZ94" s="172">
        <v>0.12970000000000001</v>
      </c>
      <c r="CA94" s="172">
        <v>0.23877999999999999</v>
      </c>
      <c r="CB94" s="172">
        <v>0.88465000000000005</v>
      </c>
      <c r="CC94" s="172">
        <v>0.92457999999999996</v>
      </c>
      <c r="CD94" s="172">
        <v>0.84838999999999998</v>
      </c>
      <c r="CE94" s="172">
        <v>0.52675000000000005</v>
      </c>
      <c r="CF94" s="172">
        <v>0.88139999999999996</v>
      </c>
      <c r="CG94" s="172">
        <v>0.70289999999999997</v>
      </c>
      <c r="CH94" s="172">
        <v>5.6349999999999997E-2</v>
      </c>
      <c r="CI94" s="172">
        <v>0.53185000000000004</v>
      </c>
      <c r="CJ94" s="172">
        <v>0.87102999999999997</v>
      </c>
      <c r="CK94" s="172">
        <v>0.16027</v>
      </c>
      <c r="CL94" s="172">
        <v>0.98155999999999999</v>
      </c>
      <c r="CM94" s="172">
        <v>0.92620999999999998</v>
      </c>
      <c r="CN94" s="172">
        <v>0.25119999999999998</v>
      </c>
      <c r="CO94" s="172">
        <v>0.47717999999999999</v>
      </c>
      <c r="CP94" s="172">
        <v>0.84153999999999995</v>
      </c>
      <c r="CQ94" s="172">
        <v>0.77353000000000005</v>
      </c>
      <c r="CR94" s="172">
        <v>0.94013999999999998</v>
      </c>
      <c r="CS94" s="172">
        <v>0.92844000000000004</v>
      </c>
      <c r="CT94" s="172">
        <v>0.94035000000000002</v>
      </c>
      <c r="CU94" s="172">
        <v>0.27279999999999999</v>
      </c>
      <c r="CV94" s="172">
        <v>0.82813999999999999</v>
      </c>
      <c r="CW94" s="172">
        <v>0.63380000000000003</v>
      </c>
    </row>
    <row r="95" spans="1:101">
      <c r="A95" s="228">
        <f t="shared" ref="A95:A104" si="3">A94+5</f>
        <v>785</v>
      </c>
      <c r="B95" s="246">
        <v>1</v>
      </c>
      <c r="C95" s="247">
        <v>0.89259999999999995</v>
      </c>
      <c r="D95" s="247">
        <v>0.77459999999999996</v>
      </c>
      <c r="E95" s="247">
        <v>0.32268000000000002</v>
      </c>
      <c r="F95" s="247">
        <v>0.54096</v>
      </c>
      <c r="G95" s="247">
        <v>0.96619999999999995</v>
      </c>
      <c r="H95" s="247">
        <v>0.92706</v>
      </c>
      <c r="I95" s="247">
        <v>0.46450000000000002</v>
      </c>
      <c r="J95" s="247">
        <v>0.69811000000000001</v>
      </c>
      <c r="K95" s="247">
        <v>5.4469999999999998E-2</v>
      </c>
      <c r="L95" s="247">
        <v>0.88290999999999997</v>
      </c>
      <c r="M95" s="247">
        <v>0.89748000000000006</v>
      </c>
      <c r="N95" s="247">
        <v>0.70215000000000005</v>
      </c>
      <c r="O95" s="247">
        <v>0.26124000000000003</v>
      </c>
      <c r="P95" s="247">
        <v>0.49490000000000001</v>
      </c>
      <c r="Q95" s="247">
        <v>0.66986999999999997</v>
      </c>
      <c r="R95" s="247">
        <v>0.76536999999999999</v>
      </c>
      <c r="S95" s="247">
        <v>0.91717000000000004</v>
      </c>
      <c r="T95" s="247">
        <v>0.4012</v>
      </c>
      <c r="U95" s="247">
        <v>0.51439999999999997</v>
      </c>
      <c r="V95" s="247">
        <v>0.93486999999999998</v>
      </c>
      <c r="W95" s="247">
        <v>0.92218</v>
      </c>
      <c r="X95" s="247">
        <v>0.86323000000000005</v>
      </c>
      <c r="Y95" s="247">
        <v>0.89200000000000002</v>
      </c>
      <c r="Z95" s="247">
        <v>0.83740000000000003</v>
      </c>
      <c r="AA95" s="247">
        <v>0.63266999999999995</v>
      </c>
      <c r="AB95" s="247">
        <v>0.90880000000000005</v>
      </c>
      <c r="AC95" s="247">
        <v>0.56364999999999998</v>
      </c>
      <c r="AD95" s="247">
        <v>0.12123</v>
      </c>
      <c r="AE95" s="247">
        <v>0.90232999999999997</v>
      </c>
      <c r="AF95" s="247">
        <v>0.44074000000000002</v>
      </c>
      <c r="AG95" s="247">
        <v>0.83123000000000002</v>
      </c>
      <c r="AH95" s="247">
        <v>0.85260000000000002</v>
      </c>
      <c r="AI95" s="247">
        <v>0.85516999999999999</v>
      </c>
      <c r="AJ95" s="247">
        <v>0.27417000000000002</v>
      </c>
      <c r="AK95" s="247">
        <v>0.10364</v>
      </c>
      <c r="AL95" s="247">
        <v>0.41338999999999998</v>
      </c>
      <c r="AM95" s="247">
        <v>0.95552999999999999</v>
      </c>
      <c r="AN95" s="247">
        <v>0.73660999999999999</v>
      </c>
      <c r="AO95" s="247">
        <v>8.5169999999999996E-2</v>
      </c>
      <c r="AP95" s="247">
        <v>0.16808999999999999</v>
      </c>
      <c r="AQ95" s="247">
        <v>0.90410000000000001</v>
      </c>
      <c r="AR95" s="247">
        <v>0.80676999999999999</v>
      </c>
      <c r="AS95" s="247">
        <v>0.30730000000000002</v>
      </c>
      <c r="AT95" s="247">
        <v>5.1999999999999998E-2</v>
      </c>
      <c r="AU95" s="247">
        <v>0.21926000000000001</v>
      </c>
      <c r="AV95" s="247">
        <v>0.23080000000000001</v>
      </c>
      <c r="AW95" s="247">
        <v>0.8115</v>
      </c>
      <c r="AX95" s="247">
        <v>0.20049</v>
      </c>
      <c r="AY95" s="247">
        <v>0.16489000000000001</v>
      </c>
      <c r="AZ95" s="247">
        <v>0.1128</v>
      </c>
      <c r="BA95" s="247">
        <v>0.14371</v>
      </c>
      <c r="BB95" s="247">
        <v>5.0229999999999997E-2</v>
      </c>
      <c r="BC95" s="247">
        <v>7.2400000000000006E-2</v>
      </c>
      <c r="BD95" s="247">
        <v>0.62319999999999998</v>
      </c>
      <c r="BE95" s="247">
        <v>0.62990999999999997</v>
      </c>
      <c r="BF95" s="247">
        <v>0.19647000000000001</v>
      </c>
      <c r="BG95" s="247">
        <v>8.6599999999999996E-2</v>
      </c>
      <c r="BH95" s="247">
        <v>7.7170000000000002E-2</v>
      </c>
      <c r="BI95" s="247">
        <v>0.52049999999999996</v>
      </c>
      <c r="BJ95" s="247">
        <v>0.81152999999999997</v>
      </c>
      <c r="BK95" s="247">
        <v>0.36543999999999999</v>
      </c>
      <c r="BL95" s="247">
        <v>0.98299000000000003</v>
      </c>
      <c r="BM95" s="247">
        <v>0.2873</v>
      </c>
      <c r="BN95" s="247">
        <v>0.11115</v>
      </c>
      <c r="BO95" s="247">
        <v>1.3860000000000001E-2</v>
      </c>
      <c r="BP95" s="247">
        <v>5.96E-2</v>
      </c>
      <c r="BQ95" s="247">
        <v>6.7799999999999999E-2</v>
      </c>
      <c r="BR95" s="247">
        <v>0.20069000000000001</v>
      </c>
      <c r="BS95" s="247">
        <v>0.17369000000000001</v>
      </c>
      <c r="BT95" s="247">
        <v>0.26871</v>
      </c>
      <c r="BU95" s="247">
        <v>0.15140000000000001</v>
      </c>
      <c r="BV95" s="247">
        <v>0.46518999999999999</v>
      </c>
      <c r="BW95" s="247">
        <v>0.89371</v>
      </c>
      <c r="BX95" s="247">
        <v>0.87788999999999995</v>
      </c>
      <c r="BY95" s="247">
        <v>0.11600000000000001</v>
      </c>
      <c r="BZ95" s="247">
        <v>0.12970000000000001</v>
      </c>
      <c r="CA95" s="247">
        <v>0.23877999999999999</v>
      </c>
      <c r="CB95" s="247">
        <v>0.88465000000000005</v>
      </c>
      <c r="CC95" s="247">
        <v>0.92457999999999996</v>
      </c>
      <c r="CD95" s="247">
        <v>0.84838999999999998</v>
      </c>
      <c r="CE95" s="247">
        <v>0.52675000000000005</v>
      </c>
      <c r="CF95" s="247">
        <v>0.88139999999999996</v>
      </c>
      <c r="CG95" s="247">
        <v>0.70289999999999997</v>
      </c>
      <c r="CH95" s="247">
        <v>5.6349999999999997E-2</v>
      </c>
      <c r="CI95" s="247">
        <v>0.53185000000000004</v>
      </c>
      <c r="CJ95" s="247">
        <v>0.87102999999999997</v>
      </c>
      <c r="CK95" s="247">
        <v>0.16027</v>
      </c>
      <c r="CL95" s="247">
        <v>0.98155999999999999</v>
      </c>
      <c r="CM95" s="247">
        <v>0.92620999999999998</v>
      </c>
      <c r="CN95" s="247">
        <v>0.25119999999999998</v>
      </c>
      <c r="CO95" s="247">
        <v>0.47717999999999999</v>
      </c>
      <c r="CP95" s="247">
        <v>0.84153999999999995</v>
      </c>
      <c r="CQ95" s="247">
        <v>0.77353000000000005</v>
      </c>
      <c r="CR95" s="247">
        <v>0.94013999999999998</v>
      </c>
      <c r="CS95" s="247">
        <v>0.92844000000000004</v>
      </c>
      <c r="CT95" s="247">
        <v>0.94035000000000002</v>
      </c>
      <c r="CU95" s="247">
        <v>0.27279999999999999</v>
      </c>
      <c r="CV95" s="247">
        <v>0.82813999999999999</v>
      </c>
      <c r="CW95" s="247">
        <v>0.63380000000000003</v>
      </c>
    </row>
    <row r="96" spans="1:101">
      <c r="A96" s="228">
        <f t="shared" si="3"/>
        <v>790</v>
      </c>
      <c r="B96" s="246">
        <v>1</v>
      </c>
      <c r="C96" s="247">
        <v>0.89259999999999995</v>
      </c>
      <c r="D96" s="247">
        <v>0.77459999999999996</v>
      </c>
      <c r="E96" s="247">
        <v>0.32268000000000002</v>
      </c>
      <c r="F96" s="247">
        <v>0.54096</v>
      </c>
      <c r="G96" s="247">
        <v>0.96619999999999995</v>
      </c>
      <c r="H96" s="247">
        <v>0.92706</v>
      </c>
      <c r="I96" s="247">
        <v>0.46450000000000002</v>
      </c>
      <c r="J96" s="247">
        <v>0.69811000000000001</v>
      </c>
      <c r="K96" s="247">
        <v>5.4469999999999998E-2</v>
      </c>
      <c r="L96" s="247">
        <v>0.88290999999999997</v>
      </c>
      <c r="M96" s="247">
        <v>0.89748000000000006</v>
      </c>
      <c r="N96" s="247">
        <v>0.70215000000000005</v>
      </c>
      <c r="O96" s="247">
        <v>0.26124000000000003</v>
      </c>
      <c r="P96" s="247">
        <v>0.49490000000000001</v>
      </c>
      <c r="Q96" s="247">
        <v>0.66986999999999997</v>
      </c>
      <c r="R96" s="247">
        <v>0.76536999999999999</v>
      </c>
      <c r="S96" s="247">
        <v>0.91717000000000004</v>
      </c>
      <c r="T96" s="247">
        <v>0.4012</v>
      </c>
      <c r="U96" s="247">
        <v>0.51439999999999997</v>
      </c>
      <c r="V96" s="247">
        <v>0.93486999999999998</v>
      </c>
      <c r="W96" s="247">
        <v>0.92218</v>
      </c>
      <c r="X96" s="247">
        <v>0.86323000000000005</v>
      </c>
      <c r="Y96" s="247">
        <v>0.89200000000000002</v>
      </c>
      <c r="Z96" s="247">
        <v>0.83740000000000003</v>
      </c>
      <c r="AA96" s="247">
        <v>0.63266999999999995</v>
      </c>
      <c r="AB96" s="247">
        <v>0.90880000000000005</v>
      </c>
      <c r="AC96" s="247">
        <v>0.56364999999999998</v>
      </c>
      <c r="AD96" s="247">
        <v>0.12123</v>
      </c>
      <c r="AE96" s="247">
        <v>0.90232999999999997</v>
      </c>
      <c r="AF96" s="247">
        <v>0.44074000000000002</v>
      </c>
      <c r="AG96" s="247">
        <v>0.83123000000000002</v>
      </c>
      <c r="AH96" s="247">
        <v>0.85260000000000002</v>
      </c>
      <c r="AI96" s="247">
        <v>0.85516999999999999</v>
      </c>
      <c r="AJ96" s="247">
        <v>0.27417000000000002</v>
      </c>
      <c r="AK96" s="247">
        <v>0.10364</v>
      </c>
      <c r="AL96" s="247">
        <v>0.41338999999999998</v>
      </c>
      <c r="AM96" s="247">
        <v>0.95552999999999999</v>
      </c>
      <c r="AN96" s="247">
        <v>0.73660999999999999</v>
      </c>
      <c r="AO96" s="247">
        <v>8.5169999999999996E-2</v>
      </c>
      <c r="AP96" s="247">
        <v>0.16808999999999999</v>
      </c>
      <c r="AQ96" s="247">
        <v>0.90410000000000001</v>
      </c>
      <c r="AR96" s="247">
        <v>0.80676999999999999</v>
      </c>
      <c r="AS96" s="247">
        <v>0.30730000000000002</v>
      </c>
      <c r="AT96" s="247">
        <v>5.1999999999999998E-2</v>
      </c>
      <c r="AU96" s="247">
        <v>0.21926000000000001</v>
      </c>
      <c r="AV96" s="247">
        <v>0.23080000000000001</v>
      </c>
      <c r="AW96" s="247">
        <v>0.8115</v>
      </c>
      <c r="AX96" s="247">
        <v>0.20049</v>
      </c>
      <c r="AY96" s="247">
        <v>0.16489000000000001</v>
      </c>
      <c r="AZ96" s="247">
        <v>0.1128</v>
      </c>
      <c r="BA96" s="247">
        <v>0.14371</v>
      </c>
      <c r="BB96" s="247">
        <v>5.0229999999999997E-2</v>
      </c>
      <c r="BC96" s="247">
        <v>7.2400000000000006E-2</v>
      </c>
      <c r="BD96" s="247">
        <v>0.62319999999999998</v>
      </c>
      <c r="BE96" s="247">
        <v>0.62990999999999997</v>
      </c>
      <c r="BF96" s="247">
        <v>0.19647000000000001</v>
      </c>
      <c r="BG96" s="247">
        <v>8.6599999999999996E-2</v>
      </c>
      <c r="BH96" s="247">
        <v>7.7170000000000002E-2</v>
      </c>
      <c r="BI96" s="247">
        <v>0.52049999999999996</v>
      </c>
      <c r="BJ96" s="247">
        <v>0.81152999999999997</v>
      </c>
      <c r="BK96" s="247">
        <v>0.36543999999999999</v>
      </c>
      <c r="BL96" s="247">
        <v>0.98299000000000003</v>
      </c>
      <c r="BM96" s="247">
        <v>0.2873</v>
      </c>
      <c r="BN96" s="247">
        <v>0.11115</v>
      </c>
      <c r="BO96" s="247">
        <v>1.3860000000000001E-2</v>
      </c>
      <c r="BP96" s="247">
        <v>5.96E-2</v>
      </c>
      <c r="BQ96" s="247">
        <v>6.7799999999999999E-2</v>
      </c>
      <c r="BR96" s="247">
        <v>0.20069000000000001</v>
      </c>
      <c r="BS96" s="247">
        <v>0.17369000000000001</v>
      </c>
      <c r="BT96" s="247">
        <v>0.26871</v>
      </c>
      <c r="BU96" s="247">
        <v>0.15140000000000001</v>
      </c>
      <c r="BV96" s="247">
        <v>0.46518999999999999</v>
      </c>
      <c r="BW96" s="247">
        <v>0.89371</v>
      </c>
      <c r="BX96" s="247">
        <v>0.87788999999999995</v>
      </c>
      <c r="BY96" s="247">
        <v>0.11600000000000001</v>
      </c>
      <c r="BZ96" s="247">
        <v>0.12970000000000001</v>
      </c>
      <c r="CA96" s="247">
        <v>0.23877999999999999</v>
      </c>
      <c r="CB96" s="247">
        <v>0.88465000000000005</v>
      </c>
      <c r="CC96" s="247">
        <v>0.92457999999999996</v>
      </c>
      <c r="CD96" s="247">
        <v>0.84838999999999998</v>
      </c>
      <c r="CE96" s="247">
        <v>0.52675000000000005</v>
      </c>
      <c r="CF96" s="247">
        <v>0.88139999999999996</v>
      </c>
      <c r="CG96" s="247">
        <v>0.70289999999999997</v>
      </c>
      <c r="CH96" s="247">
        <v>5.6349999999999997E-2</v>
      </c>
      <c r="CI96" s="247">
        <v>0.53185000000000004</v>
      </c>
      <c r="CJ96" s="247">
        <v>0.87102999999999997</v>
      </c>
      <c r="CK96" s="247">
        <v>0.16027</v>
      </c>
      <c r="CL96" s="247">
        <v>0.98155999999999999</v>
      </c>
      <c r="CM96" s="247">
        <v>0.92620999999999998</v>
      </c>
      <c r="CN96" s="247">
        <v>0.25119999999999998</v>
      </c>
      <c r="CO96" s="247">
        <v>0.47717999999999999</v>
      </c>
      <c r="CP96" s="247">
        <v>0.84153999999999995</v>
      </c>
      <c r="CQ96" s="247">
        <v>0.77353000000000005</v>
      </c>
      <c r="CR96" s="247">
        <v>0.94013999999999998</v>
      </c>
      <c r="CS96" s="247">
        <v>0.92844000000000004</v>
      </c>
      <c r="CT96" s="247">
        <v>0.94035000000000002</v>
      </c>
      <c r="CU96" s="247">
        <v>0.27279999999999999</v>
      </c>
      <c r="CV96" s="247">
        <v>0.82813999999999999</v>
      </c>
      <c r="CW96" s="247">
        <v>0.63380000000000003</v>
      </c>
    </row>
    <row r="97" spans="1:101">
      <c r="A97" s="228">
        <f t="shared" si="3"/>
        <v>795</v>
      </c>
      <c r="B97" s="246">
        <v>1</v>
      </c>
      <c r="C97" s="247">
        <v>0.89259999999999995</v>
      </c>
      <c r="D97" s="247">
        <v>0.77459999999999996</v>
      </c>
      <c r="E97" s="247">
        <v>0.32268000000000002</v>
      </c>
      <c r="F97" s="247">
        <v>0.54096</v>
      </c>
      <c r="G97" s="247">
        <v>0.96619999999999995</v>
      </c>
      <c r="H97" s="247">
        <v>0.92706</v>
      </c>
      <c r="I97" s="247">
        <v>0.46450000000000002</v>
      </c>
      <c r="J97" s="247">
        <v>0.69811000000000001</v>
      </c>
      <c r="K97" s="247">
        <v>5.4469999999999998E-2</v>
      </c>
      <c r="L97" s="247">
        <v>0.88290999999999997</v>
      </c>
      <c r="M97" s="247">
        <v>0.89748000000000006</v>
      </c>
      <c r="N97" s="247">
        <v>0.70215000000000005</v>
      </c>
      <c r="O97" s="247">
        <v>0.26124000000000003</v>
      </c>
      <c r="P97" s="247">
        <v>0.49490000000000001</v>
      </c>
      <c r="Q97" s="247">
        <v>0.66986999999999997</v>
      </c>
      <c r="R97" s="247">
        <v>0.76536999999999999</v>
      </c>
      <c r="S97" s="247">
        <v>0.91717000000000004</v>
      </c>
      <c r="T97" s="247">
        <v>0.4012</v>
      </c>
      <c r="U97" s="247">
        <v>0.51439999999999997</v>
      </c>
      <c r="V97" s="247">
        <v>0.93486999999999998</v>
      </c>
      <c r="W97" s="247">
        <v>0.92218</v>
      </c>
      <c r="X97" s="247">
        <v>0.86323000000000005</v>
      </c>
      <c r="Y97" s="247">
        <v>0.89200000000000002</v>
      </c>
      <c r="Z97" s="247">
        <v>0.83740000000000003</v>
      </c>
      <c r="AA97" s="247">
        <v>0.63266999999999995</v>
      </c>
      <c r="AB97" s="247">
        <v>0.90880000000000005</v>
      </c>
      <c r="AC97" s="247">
        <v>0.56364999999999998</v>
      </c>
      <c r="AD97" s="247">
        <v>0.12123</v>
      </c>
      <c r="AE97" s="247">
        <v>0.90232999999999997</v>
      </c>
      <c r="AF97" s="247">
        <v>0.44074000000000002</v>
      </c>
      <c r="AG97" s="247">
        <v>0.83123000000000002</v>
      </c>
      <c r="AH97" s="247">
        <v>0.85260000000000002</v>
      </c>
      <c r="AI97" s="247">
        <v>0.85516999999999999</v>
      </c>
      <c r="AJ97" s="247">
        <v>0.27417000000000002</v>
      </c>
      <c r="AK97" s="247">
        <v>0.10364</v>
      </c>
      <c r="AL97" s="247">
        <v>0.41338999999999998</v>
      </c>
      <c r="AM97" s="247">
        <v>0.95552999999999999</v>
      </c>
      <c r="AN97" s="247">
        <v>0.73660999999999999</v>
      </c>
      <c r="AO97" s="247">
        <v>8.5169999999999996E-2</v>
      </c>
      <c r="AP97" s="247">
        <v>0.16808999999999999</v>
      </c>
      <c r="AQ97" s="247">
        <v>0.90410000000000001</v>
      </c>
      <c r="AR97" s="247">
        <v>0.80676999999999999</v>
      </c>
      <c r="AS97" s="247">
        <v>0.30730000000000002</v>
      </c>
      <c r="AT97" s="247">
        <v>5.1999999999999998E-2</v>
      </c>
      <c r="AU97" s="247">
        <v>0.21926000000000001</v>
      </c>
      <c r="AV97" s="247">
        <v>0.23080000000000001</v>
      </c>
      <c r="AW97" s="247">
        <v>0.8115</v>
      </c>
      <c r="AX97" s="247">
        <v>0.20049</v>
      </c>
      <c r="AY97" s="247">
        <v>0.16489000000000001</v>
      </c>
      <c r="AZ97" s="247">
        <v>0.1128</v>
      </c>
      <c r="BA97" s="247">
        <v>0.14371</v>
      </c>
      <c r="BB97" s="247">
        <v>5.0229999999999997E-2</v>
      </c>
      <c r="BC97" s="247">
        <v>7.2400000000000006E-2</v>
      </c>
      <c r="BD97" s="247">
        <v>0.62319999999999998</v>
      </c>
      <c r="BE97" s="247">
        <v>0.62990999999999997</v>
      </c>
      <c r="BF97" s="247">
        <v>0.19647000000000001</v>
      </c>
      <c r="BG97" s="247">
        <v>8.6599999999999996E-2</v>
      </c>
      <c r="BH97" s="247">
        <v>7.7170000000000002E-2</v>
      </c>
      <c r="BI97" s="247">
        <v>0.52049999999999996</v>
      </c>
      <c r="BJ97" s="247">
        <v>0.81152999999999997</v>
      </c>
      <c r="BK97" s="247">
        <v>0.36543999999999999</v>
      </c>
      <c r="BL97" s="247">
        <v>0.98299000000000003</v>
      </c>
      <c r="BM97" s="247">
        <v>0.2873</v>
      </c>
      <c r="BN97" s="247">
        <v>0.11115</v>
      </c>
      <c r="BO97" s="247">
        <v>1.3860000000000001E-2</v>
      </c>
      <c r="BP97" s="247">
        <v>5.96E-2</v>
      </c>
      <c r="BQ97" s="247">
        <v>6.7799999999999999E-2</v>
      </c>
      <c r="BR97" s="247">
        <v>0.20069000000000001</v>
      </c>
      <c r="BS97" s="247">
        <v>0.17369000000000001</v>
      </c>
      <c r="BT97" s="247">
        <v>0.26871</v>
      </c>
      <c r="BU97" s="247">
        <v>0.15140000000000001</v>
      </c>
      <c r="BV97" s="247">
        <v>0.46518999999999999</v>
      </c>
      <c r="BW97" s="247">
        <v>0.89371</v>
      </c>
      <c r="BX97" s="247">
        <v>0.87788999999999995</v>
      </c>
      <c r="BY97" s="247">
        <v>0.11600000000000001</v>
      </c>
      <c r="BZ97" s="247">
        <v>0.12970000000000001</v>
      </c>
      <c r="CA97" s="247">
        <v>0.23877999999999999</v>
      </c>
      <c r="CB97" s="247">
        <v>0.88465000000000005</v>
      </c>
      <c r="CC97" s="247">
        <v>0.92457999999999996</v>
      </c>
      <c r="CD97" s="247">
        <v>0.84838999999999998</v>
      </c>
      <c r="CE97" s="247">
        <v>0.52675000000000005</v>
      </c>
      <c r="CF97" s="247">
        <v>0.88139999999999996</v>
      </c>
      <c r="CG97" s="247">
        <v>0.70289999999999997</v>
      </c>
      <c r="CH97" s="247">
        <v>5.6349999999999997E-2</v>
      </c>
      <c r="CI97" s="247">
        <v>0.53185000000000004</v>
      </c>
      <c r="CJ97" s="247">
        <v>0.87102999999999997</v>
      </c>
      <c r="CK97" s="247">
        <v>0.16027</v>
      </c>
      <c r="CL97" s="247">
        <v>0.98155999999999999</v>
      </c>
      <c r="CM97" s="247">
        <v>0.92620999999999998</v>
      </c>
      <c r="CN97" s="247">
        <v>0.25119999999999998</v>
      </c>
      <c r="CO97" s="247">
        <v>0.47717999999999999</v>
      </c>
      <c r="CP97" s="247">
        <v>0.84153999999999995</v>
      </c>
      <c r="CQ97" s="247">
        <v>0.77353000000000005</v>
      </c>
      <c r="CR97" s="247">
        <v>0.94013999999999998</v>
      </c>
      <c r="CS97" s="247">
        <v>0.92844000000000004</v>
      </c>
      <c r="CT97" s="247">
        <v>0.94035000000000002</v>
      </c>
      <c r="CU97" s="247">
        <v>0.27279999999999999</v>
      </c>
      <c r="CV97" s="247">
        <v>0.82813999999999999</v>
      </c>
      <c r="CW97" s="247">
        <v>0.63380000000000003</v>
      </c>
    </row>
    <row r="98" spans="1:101">
      <c r="A98" s="228">
        <f t="shared" si="3"/>
        <v>800</v>
      </c>
      <c r="B98" s="246">
        <v>1</v>
      </c>
      <c r="C98" s="247">
        <v>0.89259999999999995</v>
      </c>
      <c r="D98" s="247">
        <v>0.77459999999999996</v>
      </c>
      <c r="E98" s="247">
        <v>0.32268000000000002</v>
      </c>
      <c r="F98" s="247">
        <v>0.54096</v>
      </c>
      <c r="G98" s="247">
        <v>0.96619999999999995</v>
      </c>
      <c r="H98" s="247">
        <v>0.92706</v>
      </c>
      <c r="I98" s="247">
        <v>0.46450000000000002</v>
      </c>
      <c r="J98" s="247">
        <v>0.69811000000000001</v>
      </c>
      <c r="K98" s="247">
        <v>5.4469999999999998E-2</v>
      </c>
      <c r="L98" s="247">
        <v>0.88290999999999997</v>
      </c>
      <c r="M98" s="247">
        <v>0.89748000000000006</v>
      </c>
      <c r="N98" s="247">
        <v>0.70215000000000005</v>
      </c>
      <c r="O98" s="247">
        <v>0.26124000000000003</v>
      </c>
      <c r="P98" s="247">
        <v>0.49490000000000001</v>
      </c>
      <c r="Q98" s="247">
        <v>0.66986999999999997</v>
      </c>
      <c r="R98" s="247">
        <v>0.76536999999999999</v>
      </c>
      <c r="S98" s="247">
        <v>0.91717000000000004</v>
      </c>
      <c r="T98" s="247">
        <v>0.4012</v>
      </c>
      <c r="U98" s="247">
        <v>0.51439999999999997</v>
      </c>
      <c r="V98" s="247">
        <v>0.93486999999999998</v>
      </c>
      <c r="W98" s="247">
        <v>0.92218</v>
      </c>
      <c r="X98" s="247">
        <v>0.86323000000000005</v>
      </c>
      <c r="Y98" s="247">
        <v>0.89200000000000002</v>
      </c>
      <c r="Z98" s="247">
        <v>0.83740000000000003</v>
      </c>
      <c r="AA98" s="247">
        <v>0.63266999999999995</v>
      </c>
      <c r="AB98" s="247">
        <v>0.90880000000000005</v>
      </c>
      <c r="AC98" s="247">
        <v>0.56364999999999998</v>
      </c>
      <c r="AD98" s="247">
        <v>0.12123</v>
      </c>
      <c r="AE98" s="247">
        <v>0.90232999999999997</v>
      </c>
      <c r="AF98" s="247">
        <v>0.44074000000000002</v>
      </c>
      <c r="AG98" s="247">
        <v>0.83123000000000002</v>
      </c>
      <c r="AH98" s="247">
        <v>0.85260000000000002</v>
      </c>
      <c r="AI98" s="247">
        <v>0.85516999999999999</v>
      </c>
      <c r="AJ98" s="247">
        <v>0.27417000000000002</v>
      </c>
      <c r="AK98" s="247">
        <v>0.10364</v>
      </c>
      <c r="AL98" s="247">
        <v>0.41338999999999998</v>
      </c>
      <c r="AM98" s="247">
        <v>0.95552999999999999</v>
      </c>
      <c r="AN98" s="247">
        <v>0.73660999999999999</v>
      </c>
      <c r="AO98" s="247">
        <v>8.5169999999999996E-2</v>
      </c>
      <c r="AP98" s="247">
        <v>0.16808999999999999</v>
      </c>
      <c r="AQ98" s="247">
        <v>0.90410000000000001</v>
      </c>
      <c r="AR98" s="247">
        <v>0.80676999999999999</v>
      </c>
      <c r="AS98" s="247">
        <v>0.30730000000000002</v>
      </c>
      <c r="AT98" s="247">
        <v>5.1999999999999998E-2</v>
      </c>
      <c r="AU98" s="247">
        <v>0.21926000000000001</v>
      </c>
      <c r="AV98" s="247">
        <v>0.23080000000000001</v>
      </c>
      <c r="AW98" s="247">
        <v>0.8115</v>
      </c>
      <c r="AX98" s="247">
        <v>0.20049</v>
      </c>
      <c r="AY98" s="247">
        <v>0.16489000000000001</v>
      </c>
      <c r="AZ98" s="247">
        <v>0.1128</v>
      </c>
      <c r="BA98" s="247">
        <v>0.14371</v>
      </c>
      <c r="BB98" s="247">
        <v>5.0229999999999997E-2</v>
      </c>
      <c r="BC98" s="247">
        <v>7.2400000000000006E-2</v>
      </c>
      <c r="BD98" s="247">
        <v>0.62319999999999998</v>
      </c>
      <c r="BE98" s="247">
        <v>0.62990999999999997</v>
      </c>
      <c r="BF98" s="247">
        <v>0.19647000000000001</v>
      </c>
      <c r="BG98" s="247">
        <v>8.6599999999999996E-2</v>
      </c>
      <c r="BH98" s="247">
        <v>7.7170000000000002E-2</v>
      </c>
      <c r="BI98" s="247">
        <v>0.52049999999999996</v>
      </c>
      <c r="BJ98" s="247">
        <v>0.81152999999999997</v>
      </c>
      <c r="BK98" s="247">
        <v>0.36543999999999999</v>
      </c>
      <c r="BL98" s="247">
        <v>0.98299000000000003</v>
      </c>
      <c r="BM98" s="247">
        <v>0.2873</v>
      </c>
      <c r="BN98" s="247">
        <v>0.11115</v>
      </c>
      <c r="BO98" s="247">
        <v>1.3860000000000001E-2</v>
      </c>
      <c r="BP98" s="247">
        <v>5.96E-2</v>
      </c>
      <c r="BQ98" s="247">
        <v>6.7799999999999999E-2</v>
      </c>
      <c r="BR98" s="247">
        <v>0.20069000000000001</v>
      </c>
      <c r="BS98" s="247">
        <v>0.17369000000000001</v>
      </c>
      <c r="BT98" s="247">
        <v>0.26871</v>
      </c>
      <c r="BU98" s="247">
        <v>0.15140000000000001</v>
      </c>
      <c r="BV98" s="247">
        <v>0.46518999999999999</v>
      </c>
      <c r="BW98" s="247">
        <v>0.89371</v>
      </c>
      <c r="BX98" s="247">
        <v>0.87788999999999995</v>
      </c>
      <c r="BY98" s="247">
        <v>0.11600000000000001</v>
      </c>
      <c r="BZ98" s="247">
        <v>0.12970000000000001</v>
      </c>
      <c r="CA98" s="247">
        <v>0.23877999999999999</v>
      </c>
      <c r="CB98" s="247">
        <v>0.88465000000000005</v>
      </c>
      <c r="CC98" s="247">
        <v>0.92457999999999996</v>
      </c>
      <c r="CD98" s="247">
        <v>0.84838999999999998</v>
      </c>
      <c r="CE98" s="247">
        <v>0.52675000000000005</v>
      </c>
      <c r="CF98" s="247">
        <v>0.88139999999999996</v>
      </c>
      <c r="CG98" s="247">
        <v>0.70289999999999997</v>
      </c>
      <c r="CH98" s="247">
        <v>5.6349999999999997E-2</v>
      </c>
      <c r="CI98" s="247">
        <v>0.53185000000000004</v>
      </c>
      <c r="CJ98" s="247">
        <v>0.87102999999999997</v>
      </c>
      <c r="CK98" s="247">
        <v>0.16027</v>
      </c>
      <c r="CL98" s="247">
        <v>0.98155999999999999</v>
      </c>
      <c r="CM98" s="247">
        <v>0.92620999999999998</v>
      </c>
      <c r="CN98" s="247">
        <v>0.25119999999999998</v>
      </c>
      <c r="CO98" s="247">
        <v>0.47717999999999999</v>
      </c>
      <c r="CP98" s="247">
        <v>0.84153999999999995</v>
      </c>
      <c r="CQ98" s="247">
        <v>0.77353000000000005</v>
      </c>
      <c r="CR98" s="247">
        <v>0.94013999999999998</v>
      </c>
      <c r="CS98" s="247">
        <v>0.92844000000000004</v>
      </c>
      <c r="CT98" s="247">
        <v>0.94035000000000002</v>
      </c>
      <c r="CU98" s="247">
        <v>0.27279999999999999</v>
      </c>
      <c r="CV98" s="247">
        <v>0.82813999999999999</v>
      </c>
      <c r="CW98" s="247">
        <v>0.63380000000000003</v>
      </c>
    </row>
    <row r="99" spans="1:101">
      <c r="A99" s="228">
        <f t="shared" si="3"/>
        <v>805</v>
      </c>
      <c r="B99" s="246">
        <v>1</v>
      </c>
      <c r="C99" s="247">
        <v>0.89259999999999995</v>
      </c>
      <c r="D99" s="247">
        <v>0.77459999999999996</v>
      </c>
      <c r="E99" s="247">
        <v>0.32268000000000002</v>
      </c>
      <c r="F99" s="247">
        <v>0.54096</v>
      </c>
      <c r="G99" s="247">
        <v>0.96619999999999995</v>
      </c>
      <c r="H99" s="247">
        <v>0.92706</v>
      </c>
      <c r="I99" s="247">
        <v>0.46450000000000002</v>
      </c>
      <c r="J99" s="247">
        <v>0.69811000000000001</v>
      </c>
      <c r="K99" s="247">
        <v>5.4469999999999998E-2</v>
      </c>
      <c r="L99" s="247">
        <v>0.88290999999999997</v>
      </c>
      <c r="M99" s="247">
        <v>0.89748000000000006</v>
      </c>
      <c r="N99" s="247">
        <v>0.70215000000000005</v>
      </c>
      <c r="O99" s="247">
        <v>0.26124000000000003</v>
      </c>
      <c r="P99" s="247">
        <v>0.49490000000000001</v>
      </c>
      <c r="Q99" s="247">
        <v>0.66986999999999997</v>
      </c>
      <c r="R99" s="247">
        <v>0.76536999999999999</v>
      </c>
      <c r="S99" s="247">
        <v>0.91717000000000004</v>
      </c>
      <c r="T99" s="247">
        <v>0.4012</v>
      </c>
      <c r="U99" s="247">
        <v>0.51439999999999997</v>
      </c>
      <c r="V99" s="247">
        <v>0.93486999999999998</v>
      </c>
      <c r="W99" s="247">
        <v>0.92218</v>
      </c>
      <c r="X99" s="247">
        <v>0.86323000000000005</v>
      </c>
      <c r="Y99" s="247">
        <v>0.89200000000000002</v>
      </c>
      <c r="Z99" s="247">
        <v>0.83740000000000003</v>
      </c>
      <c r="AA99" s="247">
        <v>0.63266999999999995</v>
      </c>
      <c r="AB99" s="247">
        <v>0.90880000000000005</v>
      </c>
      <c r="AC99" s="247">
        <v>0.56364999999999998</v>
      </c>
      <c r="AD99" s="247">
        <v>0.12123</v>
      </c>
      <c r="AE99" s="247">
        <v>0.90232999999999997</v>
      </c>
      <c r="AF99" s="247">
        <v>0.44074000000000002</v>
      </c>
      <c r="AG99" s="247">
        <v>0.83123000000000002</v>
      </c>
      <c r="AH99" s="247">
        <v>0.85260000000000002</v>
      </c>
      <c r="AI99" s="247">
        <v>0.85516999999999999</v>
      </c>
      <c r="AJ99" s="247">
        <v>0.27417000000000002</v>
      </c>
      <c r="AK99" s="247">
        <v>0.10364</v>
      </c>
      <c r="AL99" s="247">
        <v>0.41338999999999998</v>
      </c>
      <c r="AM99" s="247">
        <v>0.95552999999999999</v>
      </c>
      <c r="AN99" s="247">
        <v>0.73660999999999999</v>
      </c>
      <c r="AO99" s="247">
        <v>8.5169999999999996E-2</v>
      </c>
      <c r="AP99" s="247">
        <v>0.16808999999999999</v>
      </c>
      <c r="AQ99" s="247">
        <v>0.90410000000000001</v>
      </c>
      <c r="AR99" s="247">
        <v>0.80676999999999999</v>
      </c>
      <c r="AS99" s="247">
        <v>0.30730000000000002</v>
      </c>
      <c r="AT99" s="247">
        <v>5.1999999999999998E-2</v>
      </c>
      <c r="AU99" s="247">
        <v>0.21926000000000001</v>
      </c>
      <c r="AV99" s="247">
        <v>0.23080000000000001</v>
      </c>
      <c r="AW99" s="247">
        <v>0.8115</v>
      </c>
      <c r="AX99" s="247">
        <v>0.20049</v>
      </c>
      <c r="AY99" s="247">
        <v>0.16489000000000001</v>
      </c>
      <c r="AZ99" s="247">
        <v>0.1128</v>
      </c>
      <c r="BA99" s="247">
        <v>0.14371</v>
      </c>
      <c r="BB99" s="247">
        <v>5.0229999999999997E-2</v>
      </c>
      <c r="BC99" s="247">
        <v>7.2400000000000006E-2</v>
      </c>
      <c r="BD99" s="247">
        <v>0.62319999999999998</v>
      </c>
      <c r="BE99" s="247">
        <v>0.62990999999999997</v>
      </c>
      <c r="BF99" s="247">
        <v>0.19647000000000001</v>
      </c>
      <c r="BG99" s="247">
        <v>8.6599999999999996E-2</v>
      </c>
      <c r="BH99" s="247">
        <v>7.7170000000000002E-2</v>
      </c>
      <c r="BI99" s="247">
        <v>0.52049999999999996</v>
      </c>
      <c r="BJ99" s="247">
        <v>0.81152999999999997</v>
      </c>
      <c r="BK99" s="247">
        <v>0.36543999999999999</v>
      </c>
      <c r="BL99" s="247">
        <v>0.98299000000000003</v>
      </c>
      <c r="BM99" s="247">
        <v>0.2873</v>
      </c>
      <c r="BN99" s="247">
        <v>0.11115</v>
      </c>
      <c r="BO99" s="247">
        <v>1.3860000000000001E-2</v>
      </c>
      <c r="BP99" s="247">
        <v>5.96E-2</v>
      </c>
      <c r="BQ99" s="247">
        <v>6.7799999999999999E-2</v>
      </c>
      <c r="BR99" s="247">
        <v>0.20069000000000001</v>
      </c>
      <c r="BS99" s="247">
        <v>0.17369000000000001</v>
      </c>
      <c r="BT99" s="247">
        <v>0.26871</v>
      </c>
      <c r="BU99" s="247">
        <v>0.15140000000000001</v>
      </c>
      <c r="BV99" s="247">
        <v>0.46518999999999999</v>
      </c>
      <c r="BW99" s="247">
        <v>0.89371</v>
      </c>
      <c r="BX99" s="247">
        <v>0.87788999999999995</v>
      </c>
      <c r="BY99" s="247">
        <v>0.11600000000000001</v>
      </c>
      <c r="BZ99" s="247">
        <v>0.12970000000000001</v>
      </c>
      <c r="CA99" s="247">
        <v>0.23877999999999999</v>
      </c>
      <c r="CB99" s="247">
        <v>0.88465000000000005</v>
      </c>
      <c r="CC99" s="247">
        <v>0.92457999999999996</v>
      </c>
      <c r="CD99" s="247">
        <v>0.84838999999999998</v>
      </c>
      <c r="CE99" s="247">
        <v>0.52675000000000005</v>
      </c>
      <c r="CF99" s="247">
        <v>0.88139999999999996</v>
      </c>
      <c r="CG99" s="247">
        <v>0.70289999999999997</v>
      </c>
      <c r="CH99" s="247">
        <v>5.6349999999999997E-2</v>
      </c>
      <c r="CI99" s="247">
        <v>0.53185000000000004</v>
      </c>
      <c r="CJ99" s="247">
        <v>0.87102999999999997</v>
      </c>
      <c r="CK99" s="247">
        <v>0.16027</v>
      </c>
      <c r="CL99" s="247">
        <v>0.98155999999999999</v>
      </c>
      <c r="CM99" s="247">
        <v>0.92620999999999998</v>
      </c>
      <c r="CN99" s="247">
        <v>0.25119999999999998</v>
      </c>
      <c r="CO99" s="247">
        <v>0.47717999999999999</v>
      </c>
      <c r="CP99" s="247">
        <v>0.84153999999999995</v>
      </c>
      <c r="CQ99" s="247">
        <v>0.77353000000000005</v>
      </c>
      <c r="CR99" s="247">
        <v>0.94013999999999998</v>
      </c>
      <c r="CS99" s="247">
        <v>0.92844000000000004</v>
      </c>
      <c r="CT99" s="247">
        <v>0.94035000000000002</v>
      </c>
      <c r="CU99" s="247">
        <v>0.27279999999999999</v>
      </c>
      <c r="CV99" s="247">
        <v>0.82813999999999999</v>
      </c>
      <c r="CW99" s="247">
        <v>0.63380000000000003</v>
      </c>
    </row>
    <row r="100" spans="1:101">
      <c r="A100" s="228">
        <f t="shared" si="3"/>
        <v>810</v>
      </c>
      <c r="B100" s="246">
        <v>1</v>
      </c>
      <c r="C100" s="247">
        <v>0.89259999999999995</v>
      </c>
      <c r="D100" s="247">
        <v>0.77459999999999996</v>
      </c>
      <c r="E100" s="247">
        <v>0.32268000000000002</v>
      </c>
      <c r="F100" s="247">
        <v>0.54096</v>
      </c>
      <c r="G100" s="247">
        <v>0.96619999999999995</v>
      </c>
      <c r="H100" s="247">
        <v>0.92706</v>
      </c>
      <c r="I100" s="247">
        <v>0.46450000000000002</v>
      </c>
      <c r="J100" s="247">
        <v>0.69811000000000001</v>
      </c>
      <c r="K100" s="247">
        <v>5.4469999999999998E-2</v>
      </c>
      <c r="L100" s="247">
        <v>0.88290999999999997</v>
      </c>
      <c r="M100" s="247">
        <v>0.89748000000000006</v>
      </c>
      <c r="N100" s="247">
        <v>0.70215000000000005</v>
      </c>
      <c r="O100" s="247">
        <v>0.26124000000000003</v>
      </c>
      <c r="P100" s="247">
        <v>0.49490000000000001</v>
      </c>
      <c r="Q100" s="247">
        <v>0.66986999999999997</v>
      </c>
      <c r="R100" s="247">
        <v>0.76536999999999999</v>
      </c>
      <c r="S100" s="247">
        <v>0.91717000000000004</v>
      </c>
      <c r="T100" s="247">
        <v>0.4012</v>
      </c>
      <c r="U100" s="247">
        <v>0.51439999999999997</v>
      </c>
      <c r="V100" s="247">
        <v>0.93486999999999998</v>
      </c>
      <c r="W100" s="247">
        <v>0.92218</v>
      </c>
      <c r="X100" s="247">
        <v>0.86323000000000005</v>
      </c>
      <c r="Y100" s="247">
        <v>0.89200000000000002</v>
      </c>
      <c r="Z100" s="247">
        <v>0.83740000000000003</v>
      </c>
      <c r="AA100" s="247">
        <v>0.63266999999999995</v>
      </c>
      <c r="AB100" s="247">
        <v>0.90880000000000005</v>
      </c>
      <c r="AC100" s="247">
        <v>0.56364999999999998</v>
      </c>
      <c r="AD100" s="247">
        <v>0.12123</v>
      </c>
      <c r="AE100" s="247">
        <v>0.90232999999999997</v>
      </c>
      <c r="AF100" s="247">
        <v>0.44074000000000002</v>
      </c>
      <c r="AG100" s="247">
        <v>0.83123000000000002</v>
      </c>
      <c r="AH100" s="247">
        <v>0.85260000000000002</v>
      </c>
      <c r="AI100" s="247">
        <v>0.85516999999999999</v>
      </c>
      <c r="AJ100" s="247">
        <v>0.27417000000000002</v>
      </c>
      <c r="AK100" s="247">
        <v>0.10364</v>
      </c>
      <c r="AL100" s="247">
        <v>0.41338999999999998</v>
      </c>
      <c r="AM100" s="247">
        <v>0.95552999999999999</v>
      </c>
      <c r="AN100" s="247">
        <v>0.73660999999999999</v>
      </c>
      <c r="AO100" s="247">
        <v>8.5169999999999996E-2</v>
      </c>
      <c r="AP100" s="247">
        <v>0.16808999999999999</v>
      </c>
      <c r="AQ100" s="247">
        <v>0.90410000000000001</v>
      </c>
      <c r="AR100" s="247">
        <v>0.80676999999999999</v>
      </c>
      <c r="AS100" s="247">
        <v>0.30730000000000002</v>
      </c>
      <c r="AT100" s="247">
        <v>5.1999999999999998E-2</v>
      </c>
      <c r="AU100" s="247">
        <v>0.21926000000000001</v>
      </c>
      <c r="AV100" s="247">
        <v>0.23080000000000001</v>
      </c>
      <c r="AW100" s="247">
        <v>0.8115</v>
      </c>
      <c r="AX100" s="247">
        <v>0.20049</v>
      </c>
      <c r="AY100" s="247">
        <v>0.16489000000000001</v>
      </c>
      <c r="AZ100" s="247">
        <v>0.1128</v>
      </c>
      <c r="BA100" s="247">
        <v>0.14371</v>
      </c>
      <c r="BB100" s="247">
        <v>5.0229999999999997E-2</v>
      </c>
      <c r="BC100" s="247">
        <v>7.2400000000000006E-2</v>
      </c>
      <c r="BD100" s="247">
        <v>0.62319999999999998</v>
      </c>
      <c r="BE100" s="247">
        <v>0.62990999999999997</v>
      </c>
      <c r="BF100" s="247">
        <v>0.19647000000000001</v>
      </c>
      <c r="BG100" s="247">
        <v>8.6599999999999996E-2</v>
      </c>
      <c r="BH100" s="247">
        <v>7.7170000000000002E-2</v>
      </c>
      <c r="BI100" s="247">
        <v>0.52049999999999996</v>
      </c>
      <c r="BJ100" s="247">
        <v>0.81152999999999997</v>
      </c>
      <c r="BK100" s="247">
        <v>0.36543999999999999</v>
      </c>
      <c r="BL100" s="247">
        <v>0.98299000000000003</v>
      </c>
      <c r="BM100" s="247">
        <v>0.2873</v>
      </c>
      <c r="BN100" s="247">
        <v>0.11115</v>
      </c>
      <c r="BO100" s="247">
        <v>1.3860000000000001E-2</v>
      </c>
      <c r="BP100" s="247">
        <v>5.96E-2</v>
      </c>
      <c r="BQ100" s="247">
        <v>6.7799999999999999E-2</v>
      </c>
      <c r="BR100" s="247">
        <v>0.20069000000000001</v>
      </c>
      <c r="BS100" s="247">
        <v>0.17369000000000001</v>
      </c>
      <c r="BT100" s="247">
        <v>0.26871</v>
      </c>
      <c r="BU100" s="247">
        <v>0.15140000000000001</v>
      </c>
      <c r="BV100" s="247">
        <v>0.46518999999999999</v>
      </c>
      <c r="BW100" s="247">
        <v>0.89371</v>
      </c>
      <c r="BX100" s="247">
        <v>0.87788999999999995</v>
      </c>
      <c r="BY100" s="247">
        <v>0.11600000000000001</v>
      </c>
      <c r="BZ100" s="247">
        <v>0.12970000000000001</v>
      </c>
      <c r="CA100" s="247">
        <v>0.23877999999999999</v>
      </c>
      <c r="CB100" s="247">
        <v>0.88465000000000005</v>
      </c>
      <c r="CC100" s="247">
        <v>0.92457999999999996</v>
      </c>
      <c r="CD100" s="247">
        <v>0.84838999999999998</v>
      </c>
      <c r="CE100" s="247">
        <v>0.52675000000000005</v>
      </c>
      <c r="CF100" s="247">
        <v>0.88139999999999996</v>
      </c>
      <c r="CG100" s="247">
        <v>0.70289999999999997</v>
      </c>
      <c r="CH100" s="247">
        <v>5.6349999999999997E-2</v>
      </c>
      <c r="CI100" s="247">
        <v>0.53185000000000004</v>
      </c>
      <c r="CJ100" s="247">
        <v>0.87102999999999997</v>
      </c>
      <c r="CK100" s="247">
        <v>0.16027</v>
      </c>
      <c r="CL100" s="247">
        <v>0.98155999999999999</v>
      </c>
      <c r="CM100" s="247">
        <v>0.92620999999999998</v>
      </c>
      <c r="CN100" s="247">
        <v>0.25119999999999998</v>
      </c>
      <c r="CO100" s="247">
        <v>0.47717999999999999</v>
      </c>
      <c r="CP100" s="247">
        <v>0.84153999999999995</v>
      </c>
      <c r="CQ100" s="247">
        <v>0.77353000000000005</v>
      </c>
      <c r="CR100" s="247">
        <v>0.94013999999999998</v>
      </c>
      <c r="CS100" s="247">
        <v>0.92844000000000004</v>
      </c>
      <c r="CT100" s="247">
        <v>0.94035000000000002</v>
      </c>
      <c r="CU100" s="247">
        <v>0.27279999999999999</v>
      </c>
      <c r="CV100" s="247">
        <v>0.82813999999999999</v>
      </c>
      <c r="CW100" s="247">
        <v>0.63380000000000003</v>
      </c>
    </row>
    <row r="101" spans="1:101">
      <c r="A101" s="228">
        <f t="shared" si="3"/>
        <v>815</v>
      </c>
      <c r="B101" s="246">
        <v>1</v>
      </c>
      <c r="C101" s="247">
        <v>0.89259999999999995</v>
      </c>
      <c r="D101" s="247">
        <v>0.77459999999999996</v>
      </c>
      <c r="E101" s="247">
        <v>0.32268000000000002</v>
      </c>
      <c r="F101" s="247">
        <v>0.54096</v>
      </c>
      <c r="G101" s="247">
        <v>0.96619999999999995</v>
      </c>
      <c r="H101" s="247">
        <v>0.92706</v>
      </c>
      <c r="I101" s="247">
        <v>0.46450000000000002</v>
      </c>
      <c r="J101" s="247">
        <v>0.69811000000000001</v>
      </c>
      <c r="K101" s="247">
        <v>5.4469999999999998E-2</v>
      </c>
      <c r="L101" s="247">
        <v>0.88290999999999997</v>
      </c>
      <c r="M101" s="247">
        <v>0.89748000000000006</v>
      </c>
      <c r="N101" s="247">
        <v>0.70215000000000005</v>
      </c>
      <c r="O101" s="247">
        <v>0.26124000000000003</v>
      </c>
      <c r="P101" s="247">
        <v>0.49490000000000001</v>
      </c>
      <c r="Q101" s="247">
        <v>0.66986999999999997</v>
      </c>
      <c r="R101" s="247">
        <v>0.76536999999999999</v>
      </c>
      <c r="S101" s="247">
        <v>0.91717000000000004</v>
      </c>
      <c r="T101" s="247">
        <v>0.4012</v>
      </c>
      <c r="U101" s="247">
        <v>0.51439999999999997</v>
      </c>
      <c r="V101" s="247">
        <v>0.93486999999999998</v>
      </c>
      <c r="W101" s="247">
        <v>0.92218</v>
      </c>
      <c r="X101" s="247">
        <v>0.86323000000000005</v>
      </c>
      <c r="Y101" s="247">
        <v>0.89200000000000002</v>
      </c>
      <c r="Z101" s="247">
        <v>0.83740000000000003</v>
      </c>
      <c r="AA101" s="247">
        <v>0.63266999999999995</v>
      </c>
      <c r="AB101" s="247">
        <v>0.90880000000000005</v>
      </c>
      <c r="AC101" s="247">
        <v>0.56364999999999998</v>
      </c>
      <c r="AD101" s="247">
        <v>0.12123</v>
      </c>
      <c r="AE101" s="247">
        <v>0.90232999999999997</v>
      </c>
      <c r="AF101" s="247">
        <v>0.44074000000000002</v>
      </c>
      <c r="AG101" s="247">
        <v>0.83123000000000002</v>
      </c>
      <c r="AH101" s="247">
        <v>0.85260000000000002</v>
      </c>
      <c r="AI101" s="247">
        <v>0.85516999999999999</v>
      </c>
      <c r="AJ101" s="247">
        <v>0.27417000000000002</v>
      </c>
      <c r="AK101" s="247">
        <v>0.10364</v>
      </c>
      <c r="AL101" s="247">
        <v>0.41338999999999998</v>
      </c>
      <c r="AM101" s="247">
        <v>0.95552999999999999</v>
      </c>
      <c r="AN101" s="247">
        <v>0.73660999999999999</v>
      </c>
      <c r="AO101" s="247">
        <v>8.5169999999999996E-2</v>
      </c>
      <c r="AP101" s="247">
        <v>0.16808999999999999</v>
      </c>
      <c r="AQ101" s="247">
        <v>0.90410000000000001</v>
      </c>
      <c r="AR101" s="247">
        <v>0.80676999999999999</v>
      </c>
      <c r="AS101" s="247">
        <v>0.30730000000000002</v>
      </c>
      <c r="AT101" s="247">
        <v>5.1999999999999998E-2</v>
      </c>
      <c r="AU101" s="247">
        <v>0.21926000000000001</v>
      </c>
      <c r="AV101" s="247">
        <v>0.23080000000000001</v>
      </c>
      <c r="AW101" s="247">
        <v>0.8115</v>
      </c>
      <c r="AX101" s="247">
        <v>0.20049</v>
      </c>
      <c r="AY101" s="247">
        <v>0.16489000000000001</v>
      </c>
      <c r="AZ101" s="247">
        <v>0.1128</v>
      </c>
      <c r="BA101" s="247">
        <v>0.14371</v>
      </c>
      <c r="BB101" s="247">
        <v>5.0229999999999997E-2</v>
      </c>
      <c r="BC101" s="247">
        <v>7.2400000000000006E-2</v>
      </c>
      <c r="BD101" s="247">
        <v>0.62319999999999998</v>
      </c>
      <c r="BE101" s="247">
        <v>0.62990999999999997</v>
      </c>
      <c r="BF101" s="247">
        <v>0.19647000000000001</v>
      </c>
      <c r="BG101" s="247">
        <v>8.6599999999999996E-2</v>
      </c>
      <c r="BH101" s="247">
        <v>7.7170000000000002E-2</v>
      </c>
      <c r="BI101" s="247">
        <v>0.52049999999999996</v>
      </c>
      <c r="BJ101" s="247">
        <v>0.81152999999999997</v>
      </c>
      <c r="BK101" s="247">
        <v>0.36543999999999999</v>
      </c>
      <c r="BL101" s="247">
        <v>0.98299000000000003</v>
      </c>
      <c r="BM101" s="247">
        <v>0.2873</v>
      </c>
      <c r="BN101" s="247">
        <v>0.11115</v>
      </c>
      <c r="BO101" s="247">
        <v>1.3860000000000001E-2</v>
      </c>
      <c r="BP101" s="247">
        <v>5.96E-2</v>
      </c>
      <c r="BQ101" s="247">
        <v>6.7799999999999999E-2</v>
      </c>
      <c r="BR101" s="247">
        <v>0.20069000000000001</v>
      </c>
      <c r="BS101" s="247">
        <v>0.17369000000000001</v>
      </c>
      <c r="BT101" s="247">
        <v>0.26871</v>
      </c>
      <c r="BU101" s="247">
        <v>0.15140000000000001</v>
      </c>
      <c r="BV101" s="247">
        <v>0.46518999999999999</v>
      </c>
      <c r="BW101" s="247">
        <v>0.89371</v>
      </c>
      <c r="BX101" s="247">
        <v>0.87788999999999995</v>
      </c>
      <c r="BY101" s="247">
        <v>0.11600000000000001</v>
      </c>
      <c r="BZ101" s="247">
        <v>0.12970000000000001</v>
      </c>
      <c r="CA101" s="247">
        <v>0.23877999999999999</v>
      </c>
      <c r="CB101" s="247">
        <v>0.88465000000000005</v>
      </c>
      <c r="CC101" s="247">
        <v>0.92457999999999996</v>
      </c>
      <c r="CD101" s="247">
        <v>0.84838999999999998</v>
      </c>
      <c r="CE101" s="247">
        <v>0.52675000000000005</v>
      </c>
      <c r="CF101" s="247">
        <v>0.88139999999999996</v>
      </c>
      <c r="CG101" s="247">
        <v>0.70289999999999997</v>
      </c>
      <c r="CH101" s="247">
        <v>5.6349999999999997E-2</v>
      </c>
      <c r="CI101" s="247">
        <v>0.53185000000000004</v>
      </c>
      <c r="CJ101" s="247">
        <v>0.87102999999999997</v>
      </c>
      <c r="CK101" s="247">
        <v>0.16027</v>
      </c>
      <c r="CL101" s="247">
        <v>0.98155999999999999</v>
      </c>
      <c r="CM101" s="247">
        <v>0.92620999999999998</v>
      </c>
      <c r="CN101" s="247">
        <v>0.25119999999999998</v>
      </c>
      <c r="CO101" s="247">
        <v>0.47717999999999999</v>
      </c>
      <c r="CP101" s="247">
        <v>0.84153999999999995</v>
      </c>
      <c r="CQ101" s="247">
        <v>0.77353000000000005</v>
      </c>
      <c r="CR101" s="247">
        <v>0.94013999999999998</v>
      </c>
      <c r="CS101" s="247">
        <v>0.92844000000000004</v>
      </c>
      <c r="CT101" s="247">
        <v>0.94035000000000002</v>
      </c>
      <c r="CU101" s="247">
        <v>0.27279999999999999</v>
      </c>
      <c r="CV101" s="247">
        <v>0.82813999999999999</v>
      </c>
      <c r="CW101" s="247">
        <v>0.63380000000000003</v>
      </c>
    </row>
    <row r="102" spans="1:101">
      <c r="A102" s="228">
        <f t="shared" si="3"/>
        <v>820</v>
      </c>
      <c r="B102" s="246">
        <v>1</v>
      </c>
      <c r="C102" s="247">
        <v>0.89259999999999995</v>
      </c>
      <c r="D102" s="247">
        <v>0.77459999999999996</v>
      </c>
      <c r="E102" s="247">
        <v>0.32268000000000002</v>
      </c>
      <c r="F102" s="247">
        <v>0.54096</v>
      </c>
      <c r="G102" s="247">
        <v>0.96619999999999995</v>
      </c>
      <c r="H102" s="247">
        <v>0.92706</v>
      </c>
      <c r="I102" s="247">
        <v>0.46450000000000002</v>
      </c>
      <c r="J102" s="247">
        <v>0.69811000000000001</v>
      </c>
      <c r="K102" s="247">
        <v>5.4469999999999998E-2</v>
      </c>
      <c r="L102" s="247">
        <v>0.88290999999999997</v>
      </c>
      <c r="M102" s="247">
        <v>0.89748000000000006</v>
      </c>
      <c r="N102" s="247">
        <v>0.70215000000000005</v>
      </c>
      <c r="O102" s="247">
        <v>0.26124000000000003</v>
      </c>
      <c r="P102" s="247">
        <v>0.49490000000000001</v>
      </c>
      <c r="Q102" s="247">
        <v>0.66986999999999997</v>
      </c>
      <c r="R102" s="247">
        <v>0.76536999999999999</v>
      </c>
      <c r="S102" s="247">
        <v>0.91717000000000004</v>
      </c>
      <c r="T102" s="247">
        <v>0.4012</v>
      </c>
      <c r="U102" s="247">
        <v>0.51439999999999997</v>
      </c>
      <c r="V102" s="247">
        <v>0.93486999999999998</v>
      </c>
      <c r="W102" s="247">
        <v>0.92218</v>
      </c>
      <c r="X102" s="247">
        <v>0.86323000000000005</v>
      </c>
      <c r="Y102" s="247">
        <v>0.89200000000000002</v>
      </c>
      <c r="Z102" s="247">
        <v>0.83740000000000003</v>
      </c>
      <c r="AA102" s="247">
        <v>0.63266999999999995</v>
      </c>
      <c r="AB102" s="247">
        <v>0.90880000000000005</v>
      </c>
      <c r="AC102" s="247">
        <v>0.56364999999999998</v>
      </c>
      <c r="AD102" s="247">
        <v>0.12123</v>
      </c>
      <c r="AE102" s="247">
        <v>0.90232999999999997</v>
      </c>
      <c r="AF102" s="247">
        <v>0.44074000000000002</v>
      </c>
      <c r="AG102" s="247">
        <v>0.83123000000000002</v>
      </c>
      <c r="AH102" s="247">
        <v>0.85260000000000002</v>
      </c>
      <c r="AI102" s="247">
        <v>0.85516999999999999</v>
      </c>
      <c r="AJ102" s="247">
        <v>0.27417000000000002</v>
      </c>
      <c r="AK102" s="247">
        <v>0.10364</v>
      </c>
      <c r="AL102" s="247">
        <v>0.41338999999999998</v>
      </c>
      <c r="AM102" s="247">
        <v>0.95552999999999999</v>
      </c>
      <c r="AN102" s="247">
        <v>0.73660999999999999</v>
      </c>
      <c r="AO102" s="247">
        <v>8.5169999999999996E-2</v>
      </c>
      <c r="AP102" s="247">
        <v>0.16808999999999999</v>
      </c>
      <c r="AQ102" s="247">
        <v>0.90410000000000001</v>
      </c>
      <c r="AR102" s="247">
        <v>0.80676999999999999</v>
      </c>
      <c r="AS102" s="247">
        <v>0.30730000000000002</v>
      </c>
      <c r="AT102" s="247">
        <v>5.1999999999999998E-2</v>
      </c>
      <c r="AU102" s="247">
        <v>0.21926000000000001</v>
      </c>
      <c r="AV102" s="247">
        <v>0.23080000000000001</v>
      </c>
      <c r="AW102" s="247">
        <v>0.8115</v>
      </c>
      <c r="AX102" s="247">
        <v>0.20049</v>
      </c>
      <c r="AY102" s="247">
        <v>0.16489000000000001</v>
      </c>
      <c r="AZ102" s="247">
        <v>0.1128</v>
      </c>
      <c r="BA102" s="247">
        <v>0.14371</v>
      </c>
      <c r="BB102" s="247">
        <v>5.0229999999999997E-2</v>
      </c>
      <c r="BC102" s="247">
        <v>7.2400000000000006E-2</v>
      </c>
      <c r="BD102" s="247">
        <v>0.62319999999999998</v>
      </c>
      <c r="BE102" s="247">
        <v>0.62990999999999997</v>
      </c>
      <c r="BF102" s="247">
        <v>0.19647000000000001</v>
      </c>
      <c r="BG102" s="247">
        <v>8.6599999999999996E-2</v>
      </c>
      <c r="BH102" s="247">
        <v>7.7170000000000002E-2</v>
      </c>
      <c r="BI102" s="247">
        <v>0.52049999999999996</v>
      </c>
      <c r="BJ102" s="247">
        <v>0.81152999999999997</v>
      </c>
      <c r="BK102" s="247">
        <v>0.36543999999999999</v>
      </c>
      <c r="BL102" s="247">
        <v>0.98299000000000003</v>
      </c>
      <c r="BM102" s="247">
        <v>0.2873</v>
      </c>
      <c r="BN102" s="247">
        <v>0.11115</v>
      </c>
      <c r="BO102" s="247">
        <v>1.3860000000000001E-2</v>
      </c>
      <c r="BP102" s="247">
        <v>5.96E-2</v>
      </c>
      <c r="BQ102" s="247">
        <v>6.7799999999999999E-2</v>
      </c>
      <c r="BR102" s="247">
        <v>0.20069000000000001</v>
      </c>
      <c r="BS102" s="247">
        <v>0.17369000000000001</v>
      </c>
      <c r="BT102" s="247">
        <v>0.26871</v>
      </c>
      <c r="BU102" s="247">
        <v>0.15140000000000001</v>
      </c>
      <c r="BV102" s="247">
        <v>0.46518999999999999</v>
      </c>
      <c r="BW102" s="247">
        <v>0.89371</v>
      </c>
      <c r="BX102" s="247">
        <v>0.87788999999999995</v>
      </c>
      <c r="BY102" s="247">
        <v>0.11600000000000001</v>
      </c>
      <c r="BZ102" s="247">
        <v>0.12970000000000001</v>
      </c>
      <c r="CA102" s="247">
        <v>0.23877999999999999</v>
      </c>
      <c r="CB102" s="247">
        <v>0.88465000000000005</v>
      </c>
      <c r="CC102" s="247">
        <v>0.92457999999999996</v>
      </c>
      <c r="CD102" s="247">
        <v>0.84838999999999998</v>
      </c>
      <c r="CE102" s="247">
        <v>0.52675000000000005</v>
      </c>
      <c r="CF102" s="247">
        <v>0.88139999999999996</v>
      </c>
      <c r="CG102" s="247">
        <v>0.70289999999999997</v>
      </c>
      <c r="CH102" s="247">
        <v>5.6349999999999997E-2</v>
      </c>
      <c r="CI102" s="247">
        <v>0.53185000000000004</v>
      </c>
      <c r="CJ102" s="247">
        <v>0.87102999999999997</v>
      </c>
      <c r="CK102" s="247">
        <v>0.16027</v>
      </c>
      <c r="CL102" s="247">
        <v>0.98155999999999999</v>
      </c>
      <c r="CM102" s="247">
        <v>0.92620999999999998</v>
      </c>
      <c r="CN102" s="247">
        <v>0.25119999999999998</v>
      </c>
      <c r="CO102" s="247">
        <v>0.47717999999999999</v>
      </c>
      <c r="CP102" s="247">
        <v>0.84153999999999995</v>
      </c>
      <c r="CQ102" s="247">
        <v>0.77353000000000005</v>
      </c>
      <c r="CR102" s="247">
        <v>0.94013999999999998</v>
      </c>
      <c r="CS102" s="247">
        <v>0.92844000000000004</v>
      </c>
      <c r="CT102" s="247">
        <v>0.94035000000000002</v>
      </c>
      <c r="CU102" s="247">
        <v>0.27279999999999999</v>
      </c>
      <c r="CV102" s="247">
        <v>0.82813999999999999</v>
      </c>
      <c r="CW102" s="247">
        <v>0.63380000000000003</v>
      </c>
    </row>
    <row r="103" spans="1:101">
      <c r="A103" s="228">
        <f t="shared" si="3"/>
        <v>825</v>
      </c>
      <c r="B103" s="246">
        <v>1</v>
      </c>
      <c r="C103" s="247">
        <v>0.89259999999999995</v>
      </c>
      <c r="D103" s="247">
        <v>0.77459999999999996</v>
      </c>
      <c r="E103" s="247">
        <v>0.32268000000000002</v>
      </c>
      <c r="F103" s="247">
        <v>0.54096</v>
      </c>
      <c r="G103" s="247">
        <v>0.96619999999999995</v>
      </c>
      <c r="H103" s="247">
        <v>0.92706</v>
      </c>
      <c r="I103" s="247">
        <v>0.46450000000000002</v>
      </c>
      <c r="J103" s="247">
        <v>0.69811000000000001</v>
      </c>
      <c r="K103" s="247">
        <v>5.4469999999999998E-2</v>
      </c>
      <c r="L103" s="247">
        <v>0.88290999999999997</v>
      </c>
      <c r="M103" s="247">
        <v>0.89748000000000006</v>
      </c>
      <c r="N103" s="247">
        <v>0.70215000000000005</v>
      </c>
      <c r="O103" s="247">
        <v>0.26124000000000003</v>
      </c>
      <c r="P103" s="247">
        <v>0.49490000000000001</v>
      </c>
      <c r="Q103" s="247">
        <v>0.66986999999999997</v>
      </c>
      <c r="R103" s="247">
        <v>0.76536999999999999</v>
      </c>
      <c r="S103" s="247">
        <v>0.91717000000000004</v>
      </c>
      <c r="T103" s="247">
        <v>0.4012</v>
      </c>
      <c r="U103" s="247">
        <v>0.51439999999999997</v>
      </c>
      <c r="V103" s="247">
        <v>0.93486999999999998</v>
      </c>
      <c r="W103" s="247">
        <v>0.92218</v>
      </c>
      <c r="X103" s="247">
        <v>0.86323000000000005</v>
      </c>
      <c r="Y103" s="247">
        <v>0.89200000000000002</v>
      </c>
      <c r="Z103" s="247">
        <v>0.83740000000000003</v>
      </c>
      <c r="AA103" s="247">
        <v>0.63266999999999995</v>
      </c>
      <c r="AB103" s="247">
        <v>0.90880000000000005</v>
      </c>
      <c r="AC103" s="247">
        <v>0.56364999999999998</v>
      </c>
      <c r="AD103" s="247">
        <v>0.12123</v>
      </c>
      <c r="AE103" s="247">
        <v>0.90232999999999997</v>
      </c>
      <c r="AF103" s="247">
        <v>0.44074000000000002</v>
      </c>
      <c r="AG103" s="247">
        <v>0.83123000000000002</v>
      </c>
      <c r="AH103" s="247">
        <v>0.85260000000000002</v>
      </c>
      <c r="AI103" s="247">
        <v>0.85516999999999999</v>
      </c>
      <c r="AJ103" s="247">
        <v>0.27417000000000002</v>
      </c>
      <c r="AK103" s="247">
        <v>0.10364</v>
      </c>
      <c r="AL103" s="247">
        <v>0.41338999999999998</v>
      </c>
      <c r="AM103" s="247">
        <v>0.95552999999999999</v>
      </c>
      <c r="AN103" s="247">
        <v>0.73660999999999999</v>
      </c>
      <c r="AO103" s="247">
        <v>8.5169999999999996E-2</v>
      </c>
      <c r="AP103" s="247">
        <v>0.16808999999999999</v>
      </c>
      <c r="AQ103" s="247">
        <v>0.90410000000000001</v>
      </c>
      <c r="AR103" s="247">
        <v>0.80676999999999999</v>
      </c>
      <c r="AS103" s="247">
        <v>0.30730000000000002</v>
      </c>
      <c r="AT103" s="247">
        <v>5.1999999999999998E-2</v>
      </c>
      <c r="AU103" s="247">
        <v>0.21926000000000001</v>
      </c>
      <c r="AV103" s="247">
        <v>0.23080000000000001</v>
      </c>
      <c r="AW103" s="247">
        <v>0.8115</v>
      </c>
      <c r="AX103" s="247">
        <v>0.20049</v>
      </c>
      <c r="AY103" s="247">
        <v>0.16489000000000001</v>
      </c>
      <c r="AZ103" s="247">
        <v>0.1128</v>
      </c>
      <c r="BA103" s="247">
        <v>0.14371</v>
      </c>
      <c r="BB103" s="247">
        <v>5.0229999999999997E-2</v>
      </c>
      <c r="BC103" s="247">
        <v>7.2400000000000006E-2</v>
      </c>
      <c r="BD103" s="247">
        <v>0.62319999999999998</v>
      </c>
      <c r="BE103" s="247">
        <v>0.62990999999999997</v>
      </c>
      <c r="BF103" s="247">
        <v>0.19647000000000001</v>
      </c>
      <c r="BG103" s="247">
        <v>8.6599999999999996E-2</v>
      </c>
      <c r="BH103" s="247">
        <v>7.7170000000000002E-2</v>
      </c>
      <c r="BI103" s="247">
        <v>0.52049999999999996</v>
      </c>
      <c r="BJ103" s="247">
        <v>0.81152999999999997</v>
      </c>
      <c r="BK103" s="247">
        <v>0.36543999999999999</v>
      </c>
      <c r="BL103" s="247">
        <v>0.98299000000000003</v>
      </c>
      <c r="BM103" s="247">
        <v>0.2873</v>
      </c>
      <c r="BN103" s="247">
        <v>0.11115</v>
      </c>
      <c r="BO103" s="247">
        <v>1.3860000000000001E-2</v>
      </c>
      <c r="BP103" s="247">
        <v>5.96E-2</v>
      </c>
      <c r="BQ103" s="247">
        <v>6.7799999999999999E-2</v>
      </c>
      <c r="BR103" s="247">
        <v>0.20069000000000001</v>
      </c>
      <c r="BS103" s="247">
        <v>0.17369000000000001</v>
      </c>
      <c r="BT103" s="247">
        <v>0.26871</v>
      </c>
      <c r="BU103" s="247">
        <v>0.15140000000000001</v>
      </c>
      <c r="BV103" s="247">
        <v>0.46518999999999999</v>
      </c>
      <c r="BW103" s="247">
        <v>0.89371</v>
      </c>
      <c r="BX103" s="247">
        <v>0.87788999999999995</v>
      </c>
      <c r="BY103" s="247">
        <v>0.11600000000000001</v>
      </c>
      <c r="BZ103" s="247">
        <v>0.12970000000000001</v>
      </c>
      <c r="CA103" s="247">
        <v>0.23877999999999999</v>
      </c>
      <c r="CB103" s="247">
        <v>0.88465000000000005</v>
      </c>
      <c r="CC103" s="247">
        <v>0.92457999999999996</v>
      </c>
      <c r="CD103" s="247">
        <v>0.84838999999999998</v>
      </c>
      <c r="CE103" s="247">
        <v>0.52675000000000005</v>
      </c>
      <c r="CF103" s="247">
        <v>0.88139999999999996</v>
      </c>
      <c r="CG103" s="247">
        <v>0.70289999999999997</v>
      </c>
      <c r="CH103" s="247">
        <v>5.6349999999999997E-2</v>
      </c>
      <c r="CI103" s="247">
        <v>0.53185000000000004</v>
      </c>
      <c r="CJ103" s="247">
        <v>0.87102999999999997</v>
      </c>
      <c r="CK103" s="247">
        <v>0.16027</v>
      </c>
      <c r="CL103" s="247">
        <v>0.98155999999999999</v>
      </c>
      <c r="CM103" s="247">
        <v>0.92620999999999998</v>
      </c>
      <c r="CN103" s="247">
        <v>0.25119999999999998</v>
      </c>
      <c r="CO103" s="247">
        <v>0.47717999999999999</v>
      </c>
      <c r="CP103" s="247">
        <v>0.84153999999999995</v>
      </c>
      <c r="CQ103" s="247">
        <v>0.77353000000000005</v>
      </c>
      <c r="CR103" s="247">
        <v>0.94013999999999998</v>
      </c>
      <c r="CS103" s="247">
        <v>0.92844000000000004</v>
      </c>
      <c r="CT103" s="247">
        <v>0.94035000000000002</v>
      </c>
      <c r="CU103" s="247">
        <v>0.27279999999999999</v>
      </c>
      <c r="CV103" s="247">
        <v>0.82813999999999999</v>
      </c>
      <c r="CW103" s="247">
        <v>0.63380000000000003</v>
      </c>
    </row>
    <row r="104" spans="1:101">
      <c r="A104" s="228">
        <f t="shared" si="3"/>
        <v>830</v>
      </c>
      <c r="B104" s="246">
        <v>1</v>
      </c>
      <c r="C104" s="247">
        <v>0.89259999999999995</v>
      </c>
      <c r="D104" s="247">
        <v>0.77459999999999996</v>
      </c>
      <c r="E104" s="247">
        <v>0.32268000000000002</v>
      </c>
      <c r="F104" s="247">
        <v>0.54096</v>
      </c>
      <c r="G104" s="247">
        <v>0.96619999999999995</v>
      </c>
      <c r="H104" s="247">
        <v>0.92706</v>
      </c>
      <c r="I104" s="247">
        <v>0.46450000000000002</v>
      </c>
      <c r="J104" s="247">
        <v>0.69811000000000001</v>
      </c>
      <c r="K104" s="247">
        <v>5.4469999999999998E-2</v>
      </c>
      <c r="L104" s="247">
        <v>0.88290999999999997</v>
      </c>
      <c r="M104" s="247">
        <v>0.89748000000000006</v>
      </c>
      <c r="N104" s="247">
        <v>0.70215000000000005</v>
      </c>
      <c r="O104" s="247">
        <v>0.26124000000000003</v>
      </c>
      <c r="P104" s="247">
        <v>0.49490000000000001</v>
      </c>
      <c r="Q104" s="247">
        <v>0.66986999999999997</v>
      </c>
      <c r="R104" s="247">
        <v>0.76536999999999999</v>
      </c>
      <c r="S104" s="247">
        <v>0.91717000000000004</v>
      </c>
      <c r="T104" s="247">
        <v>0.4012</v>
      </c>
      <c r="U104" s="247">
        <v>0.51439999999999997</v>
      </c>
      <c r="V104" s="247">
        <v>0.93486999999999998</v>
      </c>
      <c r="W104" s="247">
        <v>0.92218</v>
      </c>
      <c r="X104" s="247">
        <v>0.86323000000000005</v>
      </c>
      <c r="Y104" s="247">
        <v>0.89200000000000002</v>
      </c>
      <c r="Z104" s="247">
        <v>0.83740000000000003</v>
      </c>
      <c r="AA104" s="247">
        <v>0.63266999999999995</v>
      </c>
      <c r="AB104" s="247">
        <v>0.90880000000000005</v>
      </c>
      <c r="AC104" s="247">
        <v>0.56364999999999998</v>
      </c>
      <c r="AD104" s="247">
        <v>0.12123</v>
      </c>
      <c r="AE104" s="247">
        <v>0.90232999999999997</v>
      </c>
      <c r="AF104" s="247">
        <v>0.44074000000000002</v>
      </c>
      <c r="AG104" s="247">
        <v>0.83123000000000002</v>
      </c>
      <c r="AH104" s="247">
        <v>0.85260000000000002</v>
      </c>
      <c r="AI104" s="247">
        <v>0.85516999999999999</v>
      </c>
      <c r="AJ104" s="247">
        <v>0.27417000000000002</v>
      </c>
      <c r="AK104" s="247">
        <v>0.10364</v>
      </c>
      <c r="AL104" s="247">
        <v>0.41338999999999998</v>
      </c>
      <c r="AM104" s="247">
        <v>0.95552999999999999</v>
      </c>
      <c r="AN104" s="247">
        <v>0.73660999999999999</v>
      </c>
      <c r="AO104" s="247">
        <v>8.5169999999999996E-2</v>
      </c>
      <c r="AP104" s="247">
        <v>0.16808999999999999</v>
      </c>
      <c r="AQ104" s="247">
        <v>0.90410000000000001</v>
      </c>
      <c r="AR104" s="247">
        <v>0.80676999999999999</v>
      </c>
      <c r="AS104" s="247">
        <v>0.30730000000000002</v>
      </c>
      <c r="AT104" s="247">
        <v>5.1999999999999998E-2</v>
      </c>
      <c r="AU104" s="247">
        <v>0.21926000000000001</v>
      </c>
      <c r="AV104" s="247">
        <v>0.23080000000000001</v>
      </c>
      <c r="AW104" s="247">
        <v>0.8115</v>
      </c>
      <c r="AX104" s="247">
        <v>0.20049</v>
      </c>
      <c r="AY104" s="247">
        <v>0.16489000000000001</v>
      </c>
      <c r="AZ104" s="247">
        <v>0.1128</v>
      </c>
      <c r="BA104" s="247">
        <v>0.14371</v>
      </c>
      <c r="BB104" s="247">
        <v>5.0229999999999997E-2</v>
      </c>
      <c r="BC104" s="247">
        <v>7.2400000000000006E-2</v>
      </c>
      <c r="BD104" s="247">
        <v>0.62319999999999998</v>
      </c>
      <c r="BE104" s="247">
        <v>0.62990999999999997</v>
      </c>
      <c r="BF104" s="247">
        <v>0.19647000000000001</v>
      </c>
      <c r="BG104" s="247">
        <v>8.6599999999999996E-2</v>
      </c>
      <c r="BH104" s="247">
        <v>7.7170000000000002E-2</v>
      </c>
      <c r="BI104" s="247">
        <v>0.52049999999999996</v>
      </c>
      <c r="BJ104" s="247">
        <v>0.81152999999999997</v>
      </c>
      <c r="BK104" s="247">
        <v>0.36543999999999999</v>
      </c>
      <c r="BL104" s="247">
        <v>0.98299000000000003</v>
      </c>
      <c r="BM104" s="247">
        <v>0.2873</v>
      </c>
      <c r="BN104" s="247">
        <v>0.11115</v>
      </c>
      <c r="BO104" s="247">
        <v>1.3860000000000001E-2</v>
      </c>
      <c r="BP104" s="247">
        <v>5.96E-2</v>
      </c>
      <c r="BQ104" s="247">
        <v>6.7799999999999999E-2</v>
      </c>
      <c r="BR104" s="247">
        <v>0.20069000000000001</v>
      </c>
      <c r="BS104" s="247">
        <v>0.17369000000000001</v>
      </c>
      <c r="BT104" s="247">
        <v>0.26871</v>
      </c>
      <c r="BU104" s="247">
        <v>0.15140000000000001</v>
      </c>
      <c r="BV104" s="247">
        <v>0.46518999999999999</v>
      </c>
      <c r="BW104" s="247">
        <v>0.89371</v>
      </c>
      <c r="BX104" s="247">
        <v>0.87788999999999995</v>
      </c>
      <c r="BY104" s="247">
        <v>0.11600000000000001</v>
      </c>
      <c r="BZ104" s="247">
        <v>0.12970000000000001</v>
      </c>
      <c r="CA104" s="247">
        <v>0.23877999999999999</v>
      </c>
      <c r="CB104" s="247">
        <v>0.88465000000000005</v>
      </c>
      <c r="CC104" s="247">
        <v>0.92457999999999996</v>
      </c>
      <c r="CD104" s="247">
        <v>0.84838999999999998</v>
      </c>
      <c r="CE104" s="247">
        <v>0.52675000000000005</v>
      </c>
      <c r="CF104" s="247">
        <v>0.88139999999999996</v>
      </c>
      <c r="CG104" s="247">
        <v>0.70289999999999997</v>
      </c>
      <c r="CH104" s="247">
        <v>5.6349999999999997E-2</v>
      </c>
      <c r="CI104" s="247">
        <v>0.53185000000000004</v>
      </c>
      <c r="CJ104" s="247">
        <v>0.87102999999999997</v>
      </c>
      <c r="CK104" s="247">
        <v>0.16027</v>
      </c>
      <c r="CL104" s="247">
        <v>0.98155999999999999</v>
      </c>
      <c r="CM104" s="247">
        <v>0.92620999999999998</v>
      </c>
      <c r="CN104" s="247">
        <v>0.25119999999999998</v>
      </c>
      <c r="CO104" s="247">
        <v>0.47717999999999999</v>
      </c>
      <c r="CP104" s="247">
        <v>0.84153999999999995</v>
      </c>
      <c r="CQ104" s="247">
        <v>0.77353000000000005</v>
      </c>
      <c r="CR104" s="247">
        <v>0.94013999999999998</v>
      </c>
      <c r="CS104" s="247">
        <v>0.92844000000000004</v>
      </c>
      <c r="CT104" s="247">
        <v>0.94035000000000002</v>
      </c>
      <c r="CU104" s="247">
        <v>0.27279999999999999</v>
      </c>
      <c r="CV104" s="247">
        <v>0.82813999999999999</v>
      </c>
      <c r="CW104" s="247">
        <v>0.63380000000000003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80"/>
  <sheetViews>
    <sheetView workbookViewId="0">
      <selection activeCell="H20" sqref="H20"/>
    </sheetView>
  </sheetViews>
  <sheetFormatPr defaultColWidth="11.453125" defaultRowHeight="12.5"/>
  <cols>
    <col min="1" max="1" width="12.453125" style="6" customWidth="1"/>
    <col min="2" max="2" width="9.6328125" style="9" customWidth="1"/>
    <col min="3" max="3" width="10.08984375" style="18" customWidth="1"/>
    <col min="4" max="4" width="12.08984375" style="10" customWidth="1"/>
    <col min="5" max="6" width="10.453125" style="10" customWidth="1"/>
    <col min="7" max="7" width="3" style="11" customWidth="1"/>
    <col min="8" max="8" width="9.36328125" style="11" customWidth="1"/>
    <col min="9" max="9" width="10.6328125" style="6" customWidth="1"/>
    <col min="10" max="10" width="9.08984375" style="18" customWidth="1"/>
    <col min="11" max="11" width="3" style="18" customWidth="1"/>
    <col min="12" max="12" width="3.90625" style="21" customWidth="1"/>
    <col min="13" max="13" width="9.08984375" style="11" customWidth="1"/>
    <col min="14" max="14" width="10.36328125" style="16" customWidth="1"/>
    <col min="15" max="15" width="5.453125" style="6" customWidth="1"/>
    <col min="16" max="16" width="7" style="17" customWidth="1"/>
    <col min="17" max="19" width="7.453125" style="6" customWidth="1"/>
    <col min="20" max="20" width="8" style="6" customWidth="1"/>
    <col min="21" max="21" width="8.453125" style="6" customWidth="1"/>
    <col min="22" max="23" width="10.90625" style="18" customWidth="1"/>
    <col min="24" max="26" width="11.453125" style="6" customWidth="1"/>
    <col min="27" max="27" width="10.6328125" style="6" customWidth="1"/>
    <col min="28" max="28" width="7.90625" style="6" customWidth="1"/>
    <col min="29" max="29" width="11.453125" style="6" customWidth="1"/>
    <col min="30" max="32" width="8.6328125" style="19" customWidth="1"/>
    <col min="33" max="34" width="8.6328125" style="6" customWidth="1"/>
    <col min="35" max="256" width="11.453125" style="6"/>
    <col min="257" max="257" width="12.453125" style="6" customWidth="1"/>
    <col min="258" max="258" width="9.6328125" style="6" customWidth="1"/>
    <col min="259" max="259" width="10.08984375" style="6" customWidth="1"/>
    <col min="260" max="262" width="10.453125" style="6" customWidth="1"/>
    <col min="263" max="263" width="3" style="6" customWidth="1"/>
    <col min="264" max="264" width="9.36328125" style="6" customWidth="1"/>
    <col min="265" max="265" width="10.6328125" style="6" customWidth="1"/>
    <col min="266" max="266" width="9.08984375" style="6" customWidth="1"/>
    <col min="267" max="267" width="3" style="6" customWidth="1"/>
    <col min="268" max="268" width="3.90625" style="6" customWidth="1"/>
    <col min="269" max="269" width="9.08984375" style="6" customWidth="1"/>
    <col min="270" max="270" width="10.36328125" style="6" customWidth="1"/>
    <col min="271" max="271" width="5.453125" style="6" customWidth="1"/>
    <col min="272" max="272" width="7" style="6" customWidth="1"/>
    <col min="273" max="275" width="7.453125" style="6" customWidth="1"/>
    <col min="276" max="276" width="8" style="6" customWidth="1"/>
    <col min="277" max="277" width="8.453125" style="6" customWidth="1"/>
    <col min="278" max="279" width="10.90625" style="6" customWidth="1"/>
    <col min="280" max="282" width="11.453125" style="6" customWidth="1"/>
    <col min="283" max="283" width="10.6328125" style="6" customWidth="1"/>
    <col min="284" max="284" width="7.90625" style="6" customWidth="1"/>
    <col min="285" max="285" width="11.453125" style="6" customWidth="1"/>
    <col min="286" max="290" width="8.6328125" style="6" customWidth="1"/>
    <col min="291" max="512" width="11.453125" style="6"/>
    <col min="513" max="513" width="12.453125" style="6" customWidth="1"/>
    <col min="514" max="514" width="9.6328125" style="6" customWidth="1"/>
    <col min="515" max="515" width="10.08984375" style="6" customWidth="1"/>
    <col min="516" max="518" width="10.453125" style="6" customWidth="1"/>
    <col min="519" max="519" width="3" style="6" customWidth="1"/>
    <col min="520" max="520" width="9.36328125" style="6" customWidth="1"/>
    <col min="521" max="521" width="10.6328125" style="6" customWidth="1"/>
    <col min="522" max="522" width="9.08984375" style="6" customWidth="1"/>
    <col min="523" max="523" width="3" style="6" customWidth="1"/>
    <col min="524" max="524" width="3.90625" style="6" customWidth="1"/>
    <col min="525" max="525" width="9.08984375" style="6" customWidth="1"/>
    <col min="526" max="526" width="10.36328125" style="6" customWidth="1"/>
    <col min="527" max="527" width="5.453125" style="6" customWidth="1"/>
    <col min="528" max="528" width="7" style="6" customWidth="1"/>
    <col min="529" max="531" width="7.453125" style="6" customWidth="1"/>
    <col min="532" max="532" width="8" style="6" customWidth="1"/>
    <col min="533" max="533" width="8.453125" style="6" customWidth="1"/>
    <col min="534" max="535" width="10.90625" style="6" customWidth="1"/>
    <col min="536" max="538" width="11.453125" style="6" customWidth="1"/>
    <col min="539" max="539" width="10.6328125" style="6" customWidth="1"/>
    <col min="540" max="540" width="7.90625" style="6" customWidth="1"/>
    <col min="541" max="541" width="11.453125" style="6" customWidth="1"/>
    <col min="542" max="546" width="8.6328125" style="6" customWidth="1"/>
    <col min="547" max="768" width="11.453125" style="6"/>
    <col min="769" max="769" width="12.453125" style="6" customWidth="1"/>
    <col min="770" max="770" width="9.6328125" style="6" customWidth="1"/>
    <col min="771" max="771" width="10.08984375" style="6" customWidth="1"/>
    <col min="772" max="774" width="10.453125" style="6" customWidth="1"/>
    <col min="775" max="775" width="3" style="6" customWidth="1"/>
    <col min="776" max="776" width="9.36328125" style="6" customWidth="1"/>
    <col min="777" max="777" width="10.6328125" style="6" customWidth="1"/>
    <col min="778" max="778" width="9.08984375" style="6" customWidth="1"/>
    <col min="779" max="779" width="3" style="6" customWidth="1"/>
    <col min="780" max="780" width="3.90625" style="6" customWidth="1"/>
    <col min="781" max="781" width="9.08984375" style="6" customWidth="1"/>
    <col min="782" max="782" width="10.36328125" style="6" customWidth="1"/>
    <col min="783" max="783" width="5.453125" style="6" customWidth="1"/>
    <col min="784" max="784" width="7" style="6" customWidth="1"/>
    <col min="785" max="787" width="7.453125" style="6" customWidth="1"/>
    <col min="788" max="788" width="8" style="6" customWidth="1"/>
    <col min="789" max="789" width="8.453125" style="6" customWidth="1"/>
    <col min="790" max="791" width="10.90625" style="6" customWidth="1"/>
    <col min="792" max="794" width="11.453125" style="6" customWidth="1"/>
    <col min="795" max="795" width="10.6328125" style="6" customWidth="1"/>
    <col min="796" max="796" width="7.90625" style="6" customWidth="1"/>
    <col min="797" max="797" width="11.453125" style="6" customWidth="1"/>
    <col min="798" max="802" width="8.6328125" style="6" customWidth="1"/>
    <col min="803" max="1024" width="11.453125" style="6"/>
    <col min="1025" max="1025" width="12.453125" style="6" customWidth="1"/>
    <col min="1026" max="1026" width="9.6328125" style="6" customWidth="1"/>
    <col min="1027" max="1027" width="10.08984375" style="6" customWidth="1"/>
    <col min="1028" max="1030" width="10.453125" style="6" customWidth="1"/>
    <col min="1031" max="1031" width="3" style="6" customWidth="1"/>
    <col min="1032" max="1032" width="9.36328125" style="6" customWidth="1"/>
    <col min="1033" max="1033" width="10.6328125" style="6" customWidth="1"/>
    <col min="1034" max="1034" width="9.08984375" style="6" customWidth="1"/>
    <col min="1035" max="1035" width="3" style="6" customWidth="1"/>
    <col min="1036" max="1036" width="3.90625" style="6" customWidth="1"/>
    <col min="1037" max="1037" width="9.08984375" style="6" customWidth="1"/>
    <col min="1038" max="1038" width="10.36328125" style="6" customWidth="1"/>
    <col min="1039" max="1039" width="5.453125" style="6" customWidth="1"/>
    <col min="1040" max="1040" width="7" style="6" customWidth="1"/>
    <col min="1041" max="1043" width="7.453125" style="6" customWidth="1"/>
    <col min="1044" max="1044" width="8" style="6" customWidth="1"/>
    <col min="1045" max="1045" width="8.453125" style="6" customWidth="1"/>
    <col min="1046" max="1047" width="10.90625" style="6" customWidth="1"/>
    <col min="1048" max="1050" width="11.453125" style="6" customWidth="1"/>
    <col min="1051" max="1051" width="10.6328125" style="6" customWidth="1"/>
    <col min="1052" max="1052" width="7.90625" style="6" customWidth="1"/>
    <col min="1053" max="1053" width="11.453125" style="6" customWidth="1"/>
    <col min="1054" max="1058" width="8.6328125" style="6" customWidth="1"/>
    <col min="1059" max="1280" width="11.453125" style="6"/>
    <col min="1281" max="1281" width="12.453125" style="6" customWidth="1"/>
    <col min="1282" max="1282" width="9.6328125" style="6" customWidth="1"/>
    <col min="1283" max="1283" width="10.08984375" style="6" customWidth="1"/>
    <col min="1284" max="1286" width="10.453125" style="6" customWidth="1"/>
    <col min="1287" max="1287" width="3" style="6" customWidth="1"/>
    <col min="1288" max="1288" width="9.36328125" style="6" customWidth="1"/>
    <col min="1289" max="1289" width="10.6328125" style="6" customWidth="1"/>
    <col min="1290" max="1290" width="9.08984375" style="6" customWidth="1"/>
    <col min="1291" max="1291" width="3" style="6" customWidth="1"/>
    <col min="1292" max="1292" width="3.90625" style="6" customWidth="1"/>
    <col min="1293" max="1293" width="9.08984375" style="6" customWidth="1"/>
    <col min="1294" max="1294" width="10.36328125" style="6" customWidth="1"/>
    <col min="1295" max="1295" width="5.453125" style="6" customWidth="1"/>
    <col min="1296" max="1296" width="7" style="6" customWidth="1"/>
    <col min="1297" max="1299" width="7.453125" style="6" customWidth="1"/>
    <col min="1300" max="1300" width="8" style="6" customWidth="1"/>
    <col min="1301" max="1301" width="8.453125" style="6" customWidth="1"/>
    <col min="1302" max="1303" width="10.90625" style="6" customWidth="1"/>
    <col min="1304" max="1306" width="11.453125" style="6" customWidth="1"/>
    <col min="1307" max="1307" width="10.6328125" style="6" customWidth="1"/>
    <col min="1308" max="1308" width="7.90625" style="6" customWidth="1"/>
    <col min="1309" max="1309" width="11.453125" style="6" customWidth="1"/>
    <col min="1310" max="1314" width="8.6328125" style="6" customWidth="1"/>
    <col min="1315" max="1536" width="11.453125" style="6"/>
    <col min="1537" max="1537" width="12.453125" style="6" customWidth="1"/>
    <col min="1538" max="1538" width="9.6328125" style="6" customWidth="1"/>
    <col min="1539" max="1539" width="10.08984375" style="6" customWidth="1"/>
    <col min="1540" max="1542" width="10.453125" style="6" customWidth="1"/>
    <col min="1543" max="1543" width="3" style="6" customWidth="1"/>
    <col min="1544" max="1544" width="9.36328125" style="6" customWidth="1"/>
    <col min="1545" max="1545" width="10.6328125" style="6" customWidth="1"/>
    <col min="1546" max="1546" width="9.08984375" style="6" customWidth="1"/>
    <col min="1547" max="1547" width="3" style="6" customWidth="1"/>
    <col min="1548" max="1548" width="3.90625" style="6" customWidth="1"/>
    <col min="1549" max="1549" width="9.08984375" style="6" customWidth="1"/>
    <col min="1550" max="1550" width="10.36328125" style="6" customWidth="1"/>
    <col min="1551" max="1551" width="5.453125" style="6" customWidth="1"/>
    <col min="1552" max="1552" width="7" style="6" customWidth="1"/>
    <col min="1553" max="1555" width="7.453125" style="6" customWidth="1"/>
    <col min="1556" max="1556" width="8" style="6" customWidth="1"/>
    <col min="1557" max="1557" width="8.453125" style="6" customWidth="1"/>
    <col min="1558" max="1559" width="10.90625" style="6" customWidth="1"/>
    <col min="1560" max="1562" width="11.453125" style="6" customWidth="1"/>
    <col min="1563" max="1563" width="10.6328125" style="6" customWidth="1"/>
    <col min="1564" max="1564" width="7.90625" style="6" customWidth="1"/>
    <col min="1565" max="1565" width="11.453125" style="6" customWidth="1"/>
    <col min="1566" max="1570" width="8.6328125" style="6" customWidth="1"/>
    <col min="1571" max="1792" width="11.453125" style="6"/>
    <col min="1793" max="1793" width="12.453125" style="6" customWidth="1"/>
    <col min="1794" max="1794" width="9.6328125" style="6" customWidth="1"/>
    <col min="1795" max="1795" width="10.08984375" style="6" customWidth="1"/>
    <col min="1796" max="1798" width="10.453125" style="6" customWidth="1"/>
    <col min="1799" max="1799" width="3" style="6" customWidth="1"/>
    <col min="1800" max="1800" width="9.36328125" style="6" customWidth="1"/>
    <col min="1801" max="1801" width="10.6328125" style="6" customWidth="1"/>
    <col min="1802" max="1802" width="9.08984375" style="6" customWidth="1"/>
    <col min="1803" max="1803" width="3" style="6" customWidth="1"/>
    <col min="1804" max="1804" width="3.90625" style="6" customWidth="1"/>
    <col min="1805" max="1805" width="9.08984375" style="6" customWidth="1"/>
    <col min="1806" max="1806" width="10.36328125" style="6" customWidth="1"/>
    <col min="1807" max="1807" width="5.453125" style="6" customWidth="1"/>
    <col min="1808" max="1808" width="7" style="6" customWidth="1"/>
    <col min="1809" max="1811" width="7.453125" style="6" customWidth="1"/>
    <col min="1812" max="1812" width="8" style="6" customWidth="1"/>
    <col min="1813" max="1813" width="8.453125" style="6" customWidth="1"/>
    <col min="1814" max="1815" width="10.90625" style="6" customWidth="1"/>
    <col min="1816" max="1818" width="11.453125" style="6" customWidth="1"/>
    <col min="1819" max="1819" width="10.6328125" style="6" customWidth="1"/>
    <col min="1820" max="1820" width="7.90625" style="6" customWidth="1"/>
    <col min="1821" max="1821" width="11.453125" style="6" customWidth="1"/>
    <col min="1822" max="1826" width="8.6328125" style="6" customWidth="1"/>
    <col min="1827" max="2048" width="11.453125" style="6"/>
    <col min="2049" max="2049" width="12.453125" style="6" customWidth="1"/>
    <col min="2050" max="2050" width="9.6328125" style="6" customWidth="1"/>
    <col min="2051" max="2051" width="10.08984375" style="6" customWidth="1"/>
    <col min="2052" max="2054" width="10.453125" style="6" customWidth="1"/>
    <col min="2055" max="2055" width="3" style="6" customWidth="1"/>
    <col min="2056" max="2056" width="9.36328125" style="6" customWidth="1"/>
    <col min="2057" max="2057" width="10.6328125" style="6" customWidth="1"/>
    <col min="2058" max="2058" width="9.08984375" style="6" customWidth="1"/>
    <col min="2059" max="2059" width="3" style="6" customWidth="1"/>
    <col min="2060" max="2060" width="3.90625" style="6" customWidth="1"/>
    <col min="2061" max="2061" width="9.08984375" style="6" customWidth="1"/>
    <col min="2062" max="2062" width="10.36328125" style="6" customWidth="1"/>
    <col min="2063" max="2063" width="5.453125" style="6" customWidth="1"/>
    <col min="2064" max="2064" width="7" style="6" customWidth="1"/>
    <col min="2065" max="2067" width="7.453125" style="6" customWidth="1"/>
    <col min="2068" max="2068" width="8" style="6" customWidth="1"/>
    <col min="2069" max="2069" width="8.453125" style="6" customWidth="1"/>
    <col min="2070" max="2071" width="10.90625" style="6" customWidth="1"/>
    <col min="2072" max="2074" width="11.453125" style="6" customWidth="1"/>
    <col min="2075" max="2075" width="10.6328125" style="6" customWidth="1"/>
    <col min="2076" max="2076" width="7.90625" style="6" customWidth="1"/>
    <col min="2077" max="2077" width="11.453125" style="6" customWidth="1"/>
    <col min="2078" max="2082" width="8.6328125" style="6" customWidth="1"/>
    <col min="2083" max="2304" width="11.453125" style="6"/>
    <col min="2305" max="2305" width="12.453125" style="6" customWidth="1"/>
    <col min="2306" max="2306" width="9.6328125" style="6" customWidth="1"/>
    <col min="2307" max="2307" width="10.08984375" style="6" customWidth="1"/>
    <col min="2308" max="2310" width="10.453125" style="6" customWidth="1"/>
    <col min="2311" max="2311" width="3" style="6" customWidth="1"/>
    <col min="2312" max="2312" width="9.36328125" style="6" customWidth="1"/>
    <col min="2313" max="2313" width="10.6328125" style="6" customWidth="1"/>
    <col min="2314" max="2314" width="9.08984375" style="6" customWidth="1"/>
    <col min="2315" max="2315" width="3" style="6" customWidth="1"/>
    <col min="2316" max="2316" width="3.90625" style="6" customWidth="1"/>
    <col min="2317" max="2317" width="9.08984375" style="6" customWidth="1"/>
    <col min="2318" max="2318" width="10.36328125" style="6" customWidth="1"/>
    <col min="2319" max="2319" width="5.453125" style="6" customWidth="1"/>
    <col min="2320" max="2320" width="7" style="6" customWidth="1"/>
    <col min="2321" max="2323" width="7.453125" style="6" customWidth="1"/>
    <col min="2324" max="2324" width="8" style="6" customWidth="1"/>
    <col min="2325" max="2325" width="8.453125" style="6" customWidth="1"/>
    <col min="2326" max="2327" width="10.90625" style="6" customWidth="1"/>
    <col min="2328" max="2330" width="11.453125" style="6" customWidth="1"/>
    <col min="2331" max="2331" width="10.6328125" style="6" customWidth="1"/>
    <col min="2332" max="2332" width="7.90625" style="6" customWidth="1"/>
    <col min="2333" max="2333" width="11.453125" style="6" customWidth="1"/>
    <col min="2334" max="2338" width="8.6328125" style="6" customWidth="1"/>
    <col min="2339" max="2560" width="11.453125" style="6"/>
    <col min="2561" max="2561" width="12.453125" style="6" customWidth="1"/>
    <col min="2562" max="2562" width="9.6328125" style="6" customWidth="1"/>
    <col min="2563" max="2563" width="10.08984375" style="6" customWidth="1"/>
    <col min="2564" max="2566" width="10.453125" style="6" customWidth="1"/>
    <col min="2567" max="2567" width="3" style="6" customWidth="1"/>
    <col min="2568" max="2568" width="9.36328125" style="6" customWidth="1"/>
    <col min="2569" max="2569" width="10.6328125" style="6" customWidth="1"/>
    <col min="2570" max="2570" width="9.08984375" style="6" customWidth="1"/>
    <col min="2571" max="2571" width="3" style="6" customWidth="1"/>
    <col min="2572" max="2572" width="3.90625" style="6" customWidth="1"/>
    <col min="2573" max="2573" width="9.08984375" style="6" customWidth="1"/>
    <col min="2574" max="2574" width="10.36328125" style="6" customWidth="1"/>
    <col min="2575" max="2575" width="5.453125" style="6" customWidth="1"/>
    <col min="2576" max="2576" width="7" style="6" customWidth="1"/>
    <col min="2577" max="2579" width="7.453125" style="6" customWidth="1"/>
    <col min="2580" max="2580" width="8" style="6" customWidth="1"/>
    <col min="2581" max="2581" width="8.453125" style="6" customWidth="1"/>
    <col min="2582" max="2583" width="10.90625" style="6" customWidth="1"/>
    <col min="2584" max="2586" width="11.453125" style="6" customWidth="1"/>
    <col min="2587" max="2587" width="10.6328125" style="6" customWidth="1"/>
    <col min="2588" max="2588" width="7.90625" style="6" customWidth="1"/>
    <col min="2589" max="2589" width="11.453125" style="6" customWidth="1"/>
    <col min="2590" max="2594" width="8.6328125" style="6" customWidth="1"/>
    <col min="2595" max="2816" width="11.453125" style="6"/>
    <col min="2817" max="2817" width="12.453125" style="6" customWidth="1"/>
    <col min="2818" max="2818" width="9.6328125" style="6" customWidth="1"/>
    <col min="2819" max="2819" width="10.08984375" style="6" customWidth="1"/>
    <col min="2820" max="2822" width="10.453125" style="6" customWidth="1"/>
    <col min="2823" max="2823" width="3" style="6" customWidth="1"/>
    <col min="2824" max="2824" width="9.36328125" style="6" customWidth="1"/>
    <col min="2825" max="2825" width="10.6328125" style="6" customWidth="1"/>
    <col min="2826" max="2826" width="9.08984375" style="6" customWidth="1"/>
    <col min="2827" max="2827" width="3" style="6" customWidth="1"/>
    <col min="2828" max="2828" width="3.90625" style="6" customWidth="1"/>
    <col min="2829" max="2829" width="9.08984375" style="6" customWidth="1"/>
    <col min="2830" max="2830" width="10.36328125" style="6" customWidth="1"/>
    <col min="2831" max="2831" width="5.453125" style="6" customWidth="1"/>
    <col min="2832" max="2832" width="7" style="6" customWidth="1"/>
    <col min="2833" max="2835" width="7.453125" style="6" customWidth="1"/>
    <col min="2836" max="2836" width="8" style="6" customWidth="1"/>
    <col min="2837" max="2837" width="8.453125" style="6" customWidth="1"/>
    <col min="2838" max="2839" width="10.90625" style="6" customWidth="1"/>
    <col min="2840" max="2842" width="11.453125" style="6" customWidth="1"/>
    <col min="2843" max="2843" width="10.6328125" style="6" customWidth="1"/>
    <col min="2844" max="2844" width="7.90625" style="6" customWidth="1"/>
    <col min="2845" max="2845" width="11.453125" style="6" customWidth="1"/>
    <col min="2846" max="2850" width="8.6328125" style="6" customWidth="1"/>
    <col min="2851" max="3072" width="11.453125" style="6"/>
    <col min="3073" max="3073" width="12.453125" style="6" customWidth="1"/>
    <col min="3074" max="3074" width="9.6328125" style="6" customWidth="1"/>
    <col min="3075" max="3075" width="10.08984375" style="6" customWidth="1"/>
    <col min="3076" max="3078" width="10.453125" style="6" customWidth="1"/>
    <col min="3079" max="3079" width="3" style="6" customWidth="1"/>
    <col min="3080" max="3080" width="9.36328125" style="6" customWidth="1"/>
    <col min="3081" max="3081" width="10.6328125" style="6" customWidth="1"/>
    <col min="3082" max="3082" width="9.08984375" style="6" customWidth="1"/>
    <col min="3083" max="3083" width="3" style="6" customWidth="1"/>
    <col min="3084" max="3084" width="3.90625" style="6" customWidth="1"/>
    <col min="3085" max="3085" width="9.08984375" style="6" customWidth="1"/>
    <col min="3086" max="3086" width="10.36328125" style="6" customWidth="1"/>
    <col min="3087" max="3087" width="5.453125" style="6" customWidth="1"/>
    <col min="3088" max="3088" width="7" style="6" customWidth="1"/>
    <col min="3089" max="3091" width="7.453125" style="6" customWidth="1"/>
    <col min="3092" max="3092" width="8" style="6" customWidth="1"/>
    <col min="3093" max="3093" width="8.453125" style="6" customWidth="1"/>
    <col min="3094" max="3095" width="10.90625" style="6" customWidth="1"/>
    <col min="3096" max="3098" width="11.453125" style="6" customWidth="1"/>
    <col min="3099" max="3099" width="10.6328125" style="6" customWidth="1"/>
    <col min="3100" max="3100" width="7.90625" style="6" customWidth="1"/>
    <col min="3101" max="3101" width="11.453125" style="6" customWidth="1"/>
    <col min="3102" max="3106" width="8.6328125" style="6" customWidth="1"/>
    <col min="3107" max="3328" width="11.453125" style="6"/>
    <col min="3329" max="3329" width="12.453125" style="6" customWidth="1"/>
    <col min="3330" max="3330" width="9.6328125" style="6" customWidth="1"/>
    <col min="3331" max="3331" width="10.08984375" style="6" customWidth="1"/>
    <col min="3332" max="3334" width="10.453125" style="6" customWidth="1"/>
    <col min="3335" max="3335" width="3" style="6" customWidth="1"/>
    <col min="3336" max="3336" width="9.36328125" style="6" customWidth="1"/>
    <col min="3337" max="3337" width="10.6328125" style="6" customWidth="1"/>
    <col min="3338" max="3338" width="9.08984375" style="6" customWidth="1"/>
    <col min="3339" max="3339" width="3" style="6" customWidth="1"/>
    <col min="3340" max="3340" width="3.90625" style="6" customWidth="1"/>
    <col min="3341" max="3341" width="9.08984375" style="6" customWidth="1"/>
    <col min="3342" max="3342" width="10.36328125" style="6" customWidth="1"/>
    <col min="3343" max="3343" width="5.453125" style="6" customWidth="1"/>
    <col min="3344" max="3344" width="7" style="6" customWidth="1"/>
    <col min="3345" max="3347" width="7.453125" style="6" customWidth="1"/>
    <col min="3348" max="3348" width="8" style="6" customWidth="1"/>
    <col min="3349" max="3349" width="8.453125" style="6" customWidth="1"/>
    <col min="3350" max="3351" width="10.90625" style="6" customWidth="1"/>
    <col min="3352" max="3354" width="11.453125" style="6" customWidth="1"/>
    <col min="3355" max="3355" width="10.6328125" style="6" customWidth="1"/>
    <col min="3356" max="3356" width="7.90625" style="6" customWidth="1"/>
    <col min="3357" max="3357" width="11.453125" style="6" customWidth="1"/>
    <col min="3358" max="3362" width="8.6328125" style="6" customWidth="1"/>
    <col min="3363" max="3584" width="11.453125" style="6"/>
    <col min="3585" max="3585" width="12.453125" style="6" customWidth="1"/>
    <col min="3586" max="3586" width="9.6328125" style="6" customWidth="1"/>
    <col min="3587" max="3587" width="10.08984375" style="6" customWidth="1"/>
    <col min="3588" max="3590" width="10.453125" style="6" customWidth="1"/>
    <col min="3591" max="3591" width="3" style="6" customWidth="1"/>
    <col min="3592" max="3592" width="9.36328125" style="6" customWidth="1"/>
    <col min="3593" max="3593" width="10.6328125" style="6" customWidth="1"/>
    <col min="3594" max="3594" width="9.08984375" style="6" customWidth="1"/>
    <col min="3595" max="3595" width="3" style="6" customWidth="1"/>
    <col min="3596" max="3596" width="3.90625" style="6" customWidth="1"/>
    <col min="3597" max="3597" width="9.08984375" style="6" customWidth="1"/>
    <col min="3598" max="3598" width="10.36328125" style="6" customWidth="1"/>
    <col min="3599" max="3599" width="5.453125" style="6" customWidth="1"/>
    <col min="3600" max="3600" width="7" style="6" customWidth="1"/>
    <col min="3601" max="3603" width="7.453125" style="6" customWidth="1"/>
    <col min="3604" max="3604" width="8" style="6" customWidth="1"/>
    <col min="3605" max="3605" width="8.453125" style="6" customWidth="1"/>
    <col min="3606" max="3607" width="10.90625" style="6" customWidth="1"/>
    <col min="3608" max="3610" width="11.453125" style="6" customWidth="1"/>
    <col min="3611" max="3611" width="10.6328125" style="6" customWidth="1"/>
    <col min="3612" max="3612" width="7.90625" style="6" customWidth="1"/>
    <col min="3613" max="3613" width="11.453125" style="6" customWidth="1"/>
    <col min="3614" max="3618" width="8.6328125" style="6" customWidth="1"/>
    <col min="3619" max="3840" width="11.453125" style="6"/>
    <col min="3841" max="3841" width="12.453125" style="6" customWidth="1"/>
    <col min="3842" max="3842" width="9.6328125" style="6" customWidth="1"/>
    <col min="3843" max="3843" width="10.08984375" style="6" customWidth="1"/>
    <col min="3844" max="3846" width="10.453125" style="6" customWidth="1"/>
    <col min="3847" max="3847" width="3" style="6" customWidth="1"/>
    <col min="3848" max="3848" width="9.36328125" style="6" customWidth="1"/>
    <col min="3849" max="3849" width="10.6328125" style="6" customWidth="1"/>
    <col min="3850" max="3850" width="9.08984375" style="6" customWidth="1"/>
    <col min="3851" max="3851" width="3" style="6" customWidth="1"/>
    <col min="3852" max="3852" width="3.90625" style="6" customWidth="1"/>
    <col min="3853" max="3853" width="9.08984375" style="6" customWidth="1"/>
    <col min="3854" max="3854" width="10.36328125" style="6" customWidth="1"/>
    <col min="3855" max="3855" width="5.453125" style="6" customWidth="1"/>
    <col min="3856" max="3856" width="7" style="6" customWidth="1"/>
    <col min="3857" max="3859" width="7.453125" style="6" customWidth="1"/>
    <col min="3860" max="3860" width="8" style="6" customWidth="1"/>
    <col min="3861" max="3861" width="8.453125" style="6" customWidth="1"/>
    <col min="3862" max="3863" width="10.90625" style="6" customWidth="1"/>
    <col min="3864" max="3866" width="11.453125" style="6" customWidth="1"/>
    <col min="3867" max="3867" width="10.6328125" style="6" customWidth="1"/>
    <col min="3868" max="3868" width="7.90625" style="6" customWidth="1"/>
    <col min="3869" max="3869" width="11.453125" style="6" customWidth="1"/>
    <col min="3870" max="3874" width="8.6328125" style="6" customWidth="1"/>
    <col min="3875" max="4096" width="11.453125" style="6"/>
    <col min="4097" max="4097" width="12.453125" style="6" customWidth="1"/>
    <col min="4098" max="4098" width="9.6328125" style="6" customWidth="1"/>
    <col min="4099" max="4099" width="10.08984375" style="6" customWidth="1"/>
    <col min="4100" max="4102" width="10.453125" style="6" customWidth="1"/>
    <col min="4103" max="4103" width="3" style="6" customWidth="1"/>
    <col min="4104" max="4104" width="9.36328125" style="6" customWidth="1"/>
    <col min="4105" max="4105" width="10.6328125" style="6" customWidth="1"/>
    <col min="4106" max="4106" width="9.08984375" style="6" customWidth="1"/>
    <col min="4107" max="4107" width="3" style="6" customWidth="1"/>
    <col min="4108" max="4108" width="3.90625" style="6" customWidth="1"/>
    <col min="4109" max="4109" width="9.08984375" style="6" customWidth="1"/>
    <col min="4110" max="4110" width="10.36328125" style="6" customWidth="1"/>
    <col min="4111" max="4111" width="5.453125" style="6" customWidth="1"/>
    <col min="4112" max="4112" width="7" style="6" customWidth="1"/>
    <col min="4113" max="4115" width="7.453125" style="6" customWidth="1"/>
    <col min="4116" max="4116" width="8" style="6" customWidth="1"/>
    <col min="4117" max="4117" width="8.453125" style="6" customWidth="1"/>
    <col min="4118" max="4119" width="10.90625" style="6" customWidth="1"/>
    <col min="4120" max="4122" width="11.453125" style="6" customWidth="1"/>
    <col min="4123" max="4123" width="10.6328125" style="6" customWidth="1"/>
    <col min="4124" max="4124" width="7.90625" style="6" customWidth="1"/>
    <col min="4125" max="4125" width="11.453125" style="6" customWidth="1"/>
    <col min="4126" max="4130" width="8.6328125" style="6" customWidth="1"/>
    <col min="4131" max="4352" width="11.453125" style="6"/>
    <col min="4353" max="4353" width="12.453125" style="6" customWidth="1"/>
    <col min="4354" max="4354" width="9.6328125" style="6" customWidth="1"/>
    <col min="4355" max="4355" width="10.08984375" style="6" customWidth="1"/>
    <col min="4356" max="4358" width="10.453125" style="6" customWidth="1"/>
    <col min="4359" max="4359" width="3" style="6" customWidth="1"/>
    <col min="4360" max="4360" width="9.36328125" style="6" customWidth="1"/>
    <col min="4361" max="4361" width="10.6328125" style="6" customWidth="1"/>
    <col min="4362" max="4362" width="9.08984375" style="6" customWidth="1"/>
    <col min="4363" max="4363" width="3" style="6" customWidth="1"/>
    <col min="4364" max="4364" width="3.90625" style="6" customWidth="1"/>
    <col min="4365" max="4365" width="9.08984375" style="6" customWidth="1"/>
    <col min="4366" max="4366" width="10.36328125" style="6" customWidth="1"/>
    <col min="4367" max="4367" width="5.453125" style="6" customWidth="1"/>
    <col min="4368" max="4368" width="7" style="6" customWidth="1"/>
    <col min="4369" max="4371" width="7.453125" style="6" customWidth="1"/>
    <col min="4372" max="4372" width="8" style="6" customWidth="1"/>
    <col min="4373" max="4373" width="8.453125" style="6" customWidth="1"/>
    <col min="4374" max="4375" width="10.90625" style="6" customWidth="1"/>
    <col min="4376" max="4378" width="11.453125" style="6" customWidth="1"/>
    <col min="4379" max="4379" width="10.6328125" style="6" customWidth="1"/>
    <col min="4380" max="4380" width="7.90625" style="6" customWidth="1"/>
    <col min="4381" max="4381" width="11.453125" style="6" customWidth="1"/>
    <col min="4382" max="4386" width="8.6328125" style="6" customWidth="1"/>
    <col min="4387" max="4608" width="11.453125" style="6"/>
    <col min="4609" max="4609" width="12.453125" style="6" customWidth="1"/>
    <col min="4610" max="4610" width="9.6328125" style="6" customWidth="1"/>
    <col min="4611" max="4611" width="10.08984375" style="6" customWidth="1"/>
    <col min="4612" max="4614" width="10.453125" style="6" customWidth="1"/>
    <col min="4615" max="4615" width="3" style="6" customWidth="1"/>
    <col min="4616" max="4616" width="9.36328125" style="6" customWidth="1"/>
    <col min="4617" max="4617" width="10.6328125" style="6" customWidth="1"/>
    <col min="4618" max="4618" width="9.08984375" style="6" customWidth="1"/>
    <col min="4619" max="4619" width="3" style="6" customWidth="1"/>
    <col min="4620" max="4620" width="3.90625" style="6" customWidth="1"/>
    <col min="4621" max="4621" width="9.08984375" style="6" customWidth="1"/>
    <col min="4622" max="4622" width="10.36328125" style="6" customWidth="1"/>
    <col min="4623" max="4623" width="5.453125" style="6" customWidth="1"/>
    <col min="4624" max="4624" width="7" style="6" customWidth="1"/>
    <col min="4625" max="4627" width="7.453125" style="6" customWidth="1"/>
    <col min="4628" max="4628" width="8" style="6" customWidth="1"/>
    <col min="4629" max="4629" width="8.453125" style="6" customWidth="1"/>
    <col min="4630" max="4631" width="10.90625" style="6" customWidth="1"/>
    <col min="4632" max="4634" width="11.453125" style="6" customWidth="1"/>
    <col min="4635" max="4635" width="10.6328125" style="6" customWidth="1"/>
    <col min="4636" max="4636" width="7.90625" style="6" customWidth="1"/>
    <col min="4637" max="4637" width="11.453125" style="6" customWidth="1"/>
    <col min="4638" max="4642" width="8.6328125" style="6" customWidth="1"/>
    <col min="4643" max="4864" width="11.453125" style="6"/>
    <col min="4865" max="4865" width="12.453125" style="6" customWidth="1"/>
    <col min="4866" max="4866" width="9.6328125" style="6" customWidth="1"/>
    <col min="4867" max="4867" width="10.08984375" style="6" customWidth="1"/>
    <col min="4868" max="4870" width="10.453125" style="6" customWidth="1"/>
    <col min="4871" max="4871" width="3" style="6" customWidth="1"/>
    <col min="4872" max="4872" width="9.36328125" style="6" customWidth="1"/>
    <col min="4873" max="4873" width="10.6328125" style="6" customWidth="1"/>
    <col min="4874" max="4874" width="9.08984375" style="6" customWidth="1"/>
    <col min="4875" max="4875" width="3" style="6" customWidth="1"/>
    <col min="4876" max="4876" width="3.90625" style="6" customWidth="1"/>
    <col min="4877" max="4877" width="9.08984375" style="6" customWidth="1"/>
    <col min="4878" max="4878" width="10.36328125" style="6" customWidth="1"/>
    <col min="4879" max="4879" width="5.453125" style="6" customWidth="1"/>
    <col min="4880" max="4880" width="7" style="6" customWidth="1"/>
    <col min="4881" max="4883" width="7.453125" style="6" customWidth="1"/>
    <col min="4884" max="4884" width="8" style="6" customWidth="1"/>
    <col min="4885" max="4885" width="8.453125" style="6" customWidth="1"/>
    <col min="4886" max="4887" width="10.90625" style="6" customWidth="1"/>
    <col min="4888" max="4890" width="11.453125" style="6" customWidth="1"/>
    <col min="4891" max="4891" width="10.6328125" style="6" customWidth="1"/>
    <col min="4892" max="4892" width="7.90625" style="6" customWidth="1"/>
    <col min="4893" max="4893" width="11.453125" style="6" customWidth="1"/>
    <col min="4894" max="4898" width="8.6328125" style="6" customWidth="1"/>
    <col min="4899" max="5120" width="11.453125" style="6"/>
    <col min="5121" max="5121" width="12.453125" style="6" customWidth="1"/>
    <col min="5122" max="5122" width="9.6328125" style="6" customWidth="1"/>
    <col min="5123" max="5123" width="10.08984375" style="6" customWidth="1"/>
    <col min="5124" max="5126" width="10.453125" style="6" customWidth="1"/>
    <col min="5127" max="5127" width="3" style="6" customWidth="1"/>
    <col min="5128" max="5128" width="9.36328125" style="6" customWidth="1"/>
    <col min="5129" max="5129" width="10.6328125" style="6" customWidth="1"/>
    <col min="5130" max="5130" width="9.08984375" style="6" customWidth="1"/>
    <col min="5131" max="5131" width="3" style="6" customWidth="1"/>
    <col min="5132" max="5132" width="3.90625" style="6" customWidth="1"/>
    <col min="5133" max="5133" width="9.08984375" style="6" customWidth="1"/>
    <col min="5134" max="5134" width="10.36328125" style="6" customWidth="1"/>
    <col min="5135" max="5135" width="5.453125" style="6" customWidth="1"/>
    <col min="5136" max="5136" width="7" style="6" customWidth="1"/>
    <col min="5137" max="5139" width="7.453125" style="6" customWidth="1"/>
    <col min="5140" max="5140" width="8" style="6" customWidth="1"/>
    <col min="5141" max="5141" width="8.453125" style="6" customWidth="1"/>
    <col min="5142" max="5143" width="10.90625" style="6" customWidth="1"/>
    <col min="5144" max="5146" width="11.453125" style="6" customWidth="1"/>
    <col min="5147" max="5147" width="10.6328125" style="6" customWidth="1"/>
    <col min="5148" max="5148" width="7.90625" style="6" customWidth="1"/>
    <col min="5149" max="5149" width="11.453125" style="6" customWidth="1"/>
    <col min="5150" max="5154" width="8.6328125" style="6" customWidth="1"/>
    <col min="5155" max="5376" width="11.453125" style="6"/>
    <col min="5377" max="5377" width="12.453125" style="6" customWidth="1"/>
    <col min="5378" max="5378" width="9.6328125" style="6" customWidth="1"/>
    <col min="5379" max="5379" width="10.08984375" style="6" customWidth="1"/>
    <col min="5380" max="5382" width="10.453125" style="6" customWidth="1"/>
    <col min="5383" max="5383" width="3" style="6" customWidth="1"/>
    <col min="5384" max="5384" width="9.36328125" style="6" customWidth="1"/>
    <col min="5385" max="5385" width="10.6328125" style="6" customWidth="1"/>
    <col min="5386" max="5386" width="9.08984375" style="6" customWidth="1"/>
    <col min="5387" max="5387" width="3" style="6" customWidth="1"/>
    <col min="5388" max="5388" width="3.90625" style="6" customWidth="1"/>
    <col min="5389" max="5389" width="9.08984375" style="6" customWidth="1"/>
    <col min="5390" max="5390" width="10.36328125" style="6" customWidth="1"/>
    <col min="5391" max="5391" width="5.453125" style="6" customWidth="1"/>
    <col min="5392" max="5392" width="7" style="6" customWidth="1"/>
    <col min="5393" max="5395" width="7.453125" style="6" customWidth="1"/>
    <col min="5396" max="5396" width="8" style="6" customWidth="1"/>
    <col min="5397" max="5397" width="8.453125" style="6" customWidth="1"/>
    <col min="5398" max="5399" width="10.90625" style="6" customWidth="1"/>
    <col min="5400" max="5402" width="11.453125" style="6" customWidth="1"/>
    <col min="5403" max="5403" width="10.6328125" style="6" customWidth="1"/>
    <col min="5404" max="5404" width="7.90625" style="6" customWidth="1"/>
    <col min="5405" max="5405" width="11.453125" style="6" customWidth="1"/>
    <col min="5406" max="5410" width="8.6328125" style="6" customWidth="1"/>
    <col min="5411" max="5632" width="11.453125" style="6"/>
    <col min="5633" max="5633" width="12.453125" style="6" customWidth="1"/>
    <col min="5634" max="5634" width="9.6328125" style="6" customWidth="1"/>
    <col min="5635" max="5635" width="10.08984375" style="6" customWidth="1"/>
    <col min="5636" max="5638" width="10.453125" style="6" customWidth="1"/>
    <col min="5639" max="5639" width="3" style="6" customWidth="1"/>
    <col min="5640" max="5640" width="9.36328125" style="6" customWidth="1"/>
    <col min="5641" max="5641" width="10.6328125" style="6" customWidth="1"/>
    <col min="5642" max="5642" width="9.08984375" style="6" customWidth="1"/>
    <col min="5643" max="5643" width="3" style="6" customWidth="1"/>
    <col min="5644" max="5644" width="3.90625" style="6" customWidth="1"/>
    <col min="5645" max="5645" width="9.08984375" style="6" customWidth="1"/>
    <col min="5646" max="5646" width="10.36328125" style="6" customWidth="1"/>
    <col min="5647" max="5647" width="5.453125" style="6" customWidth="1"/>
    <col min="5648" max="5648" width="7" style="6" customWidth="1"/>
    <col min="5649" max="5651" width="7.453125" style="6" customWidth="1"/>
    <col min="5652" max="5652" width="8" style="6" customWidth="1"/>
    <col min="5653" max="5653" width="8.453125" style="6" customWidth="1"/>
    <col min="5654" max="5655" width="10.90625" style="6" customWidth="1"/>
    <col min="5656" max="5658" width="11.453125" style="6" customWidth="1"/>
    <col min="5659" max="5659" width="10.6328125" style="6" customWidth="1"/>
    <col min="5660" max="5660" width="7.90625" style="6" customWidth="1"/>
    <col min="5661" max="5661" width="11.453125" style="6" customWidth="1"/>
    <col min="5662" max="5666" width="8.6328125" style="6" customWidth="1"/>
    <col min="5667" max="5888" width="11.453125" style="6"/>
    <col min="5889" max="5889" width="12.453125" style="6" customWidth="1"/>
    <col min="5890" max="5890" width="9.6328125" style="6" customWidth="1"/>
    <col min="5891" max="5891" width="10.08984375" style="6" customWidth="1"/>
    <col min="5892" max="5894" width="10.453125" style="6" customWidth="1"/>
    <col min="5895" max="5895" width="3" style="6" customWidth="1"/>
    <col min="5896" max="5896" width="9.36328125" style="6" customWidth="1"/>
    <col min="5897" max="5897" width="10.6328125" style="6" customWidth="1"/>
    <col min="5898" max="5898" width="9.08984375" style="6" customWidth="1"/>
    <col min="5899" max="5899" width="3" style="6" customWidth="1"/>
    <col min="5900" max="5900" width="3.90625" style="6" customWidth="1"/>
    <col min="5901" max="5901" width="9.08984375" style="6" customWidth="1"/>
    <col min="5902" max="5902" width="10.36328125" style="6" customWidth="1"/>
    <col min="5903" max="5903" width="5.453125" style="6" customWidth="1"/>
    <col min="5904" max="5904" width="7" style="6" customWidth="1"/>
    <col min="5905" max="5907" width="7.453125" style="6" customWidth="1"/>
    <col min="5908" max="5908" width="8" style="6" customWidth="1"/>
    <col min="5909" max="5909" width="8.453125" style="6" customWidth="1"/>
    <col min="5910" max="5911" width="10.90625" style="6" customWidth="1"/>
    <col min="5912" max="5914" width="11.453125" style="6" customWidth="1"/>
    <col min="5915" max="5915" width="10.6328125" style="6" customWidth="1"/>
    <col min="5916" max="5916" width="7.90625" style="6" customWidth="1"/>
    <col min="5917" max="5917" width="11.453125" style="6" customWidth="1"/>
    <col min="5918" max="5922" width="8.6328125" style="6" customWidth="1"/>
    <col min="5923" max="6144" width="11.453125" style="6"/>
    <col min="6145" max="6145" width="12.453125" style="6" customWidth="1"/>
    <col min="6146" max="6146" width="9.6328125" style="6" customWidth="1"/>
    <col min="6147" max="6147" width="10.08984375" style="6" customWidth="1"/>
    <col min="6148" max="6150" width="10.453125" style="6" customWidth="1"/>
    <col min="6151" max="6151" width="3" style="6" customWidth="1"/>
    <col min="6152" max="6152" width="9.36328125" style="6" customWidth="1"/>
    <col min="6153" max="6153" width="10.6328125" style="6" customWidth="1"/>
    <col min="6154" max="6154" width="9.08984375" style="6" customWidth="1"/>
    <col min="6155" max="6155" width="3" style="6" customWidth="1"/>
    <col min="6156" max="6156" width="3.90625" style="6" customWidth="1"/>
    <col min="6157" max="6157" width="9.08984375" style="6" customWidth="1"/>
    <col min="6158" max="6158" width="10.36328125" style="6" customWidth="1"/>
    <col min="6159" max="6159" width="5.453125" style="6" customWidth="1"/>
    <col min="6160" max="6160" width="7" style="6" customWidth="1"/>
    <col min="6161" max="6163" width="7.453125" style="6" customWidth="1"/>
    <col min="6164" max="6164" width="8" style="6" customWidth="1"/>
    <col min="6165" max="6165" width="8.453125" style="6" customWidth="1"/>
    <col min="6166" max="6167" width="10.90625" style="6" customWidth="1"/>
    <col min="6168" max="6170" width="11.453125" style="6" customWidth="1"/>
    <col min="6171" max="6171" width="10.6328125" style="6" customWidth="1"/>
    <col min="6172" max="6172" width="7.90625" style="6" customWidth="1"/>
    <col min="6173" max="6173" width="11.453125" style="6" customWidth="1"/>
    <col min="6174" max="6178" width="8.6328125" style="6" customWidth="1"/>
    <col min="6179" max="6400" width="11.453125" style="6"/>
    <col min="6401" max="6401" width="12.453125" style="6" customWidth="1"/>
    <col min="6402" max="6402" width="9.6328125" style="6" customWidth="1"/>
    <col min="6403" max="6403" width="10.08984375" style="6" customWidth="1"/>
    <col min="6404" max="6406" width="10.453125" style="6" customWidth="1"/>
    <col min="6407" max="6407" width="3" style="6" customWidth="1"/>
    <col min="6408" max="6408" width="9.36328125" style="6" customWidth="1"/>
    <col min="6409" max="6409" width="10.6328125" style="6" customWidth="1"/>
    <col min="6410" max="6410" width="9.08984375" style="6" customWidth="1"/>
    <col min="6411" max="6411" width="3" style="6" customWidth="1"/>
    <col min="6412" max="6412" width="3.90625" style="6" customWidth="1"/>
    <col min="6413" max="6413" width="9.08984375" style="6" customWidth="1"/>
    <col min="6414" max="6414" width="10.36328125" style="6" customWidth="1"/>
    <col min="6415" max="6415" width="5.453125" style="6" customWidth="1"/>
    <col min="6416" max="6416" width="7" style="6" customWidth="1"/>
    <col min="6417" max="6419" width="7.453125" style="6" customWidth="1"/>
    <col min="6420" max="6420" width="8" style="6" customWidth="1"/>
    <col min="6421" max="6421" width="8.453125" style="6" customWidth="1"/>
    <col min="6422" max="6423" width="10.90625" style="6" customWidth="1"/>
    <col min="6424" max="6426" width="11.453125" style="6" customWidth="1"/>
    <col min="6427" max="6427" width="10.6328125" style="6" customWidth="1"/>
    <col min="6428" max="6428" width="7.90625" style="6" customWidth="1"/>
    <col min="6429" max="6429" width="11.453125" style="6" customWidth="1"/>
    <col min="6430" max="6434" width="8.6328125" style="6" customWidth="1"/>
    <col min="6435" max="6656" width="11.453125" style="6"/>
    <col min="6657" max="6657" width="12.453125" style="6" customWidth="1"/>
    <col min="6658" max="6658" width="9.6328125" style="6" customWidth="1"/>
    <col min="6659" max="6659" width="10.08984375" style="6" customWidth="1"/>
    <col min="6660" max="6662" width="10.453125" style="6" customWidth="1"/>
    <col min="6663" max="6663" width="3" style="6" customWidth="1"/>
    <col min="6664" max="6664" width="9.36328125" style="6" customWidth="1"/>
    <col min="6665" max="6665" width="10.6328125" style="6" customWidth="1"/>
    <col min="6666" max="6666" width="9.08984375" style="6" customWidth="1"/>
    <col min="6667" max="6667" width="3" style="6" customWidth="1"/>
    <col min="6668" max="6668" width="3.90625" style="6" customWidth="1"/>
    <col min="6669" max="6669" width="9.08984375" style="6" customWidth="1"/>
    <col min="6670" max="6670" width="10.36328125" style="6" customWidth="1"/>
    <col min="6671" max="6671" width="5.453125" style="6" customWidth="1"/>
    <col min="6672" max="6672" width="7" style="6" customWidth="1"/>
    <col min="6673" max="6675" width="7.453125" style="6" customWidth="1"/>
    <col min="6676" max="6676" width="8" style="6" customWidth="1"/>
    <col min="6677" max="6677" width="8.453125" style="6" customWidth="1"/>
    <col min="6678" max="6679" width="10.90625" style="6" customWidth="1"/>
    <col min="6680" max="6682" width="11.453125" style="6" customWidth="1"/>
    <col min="6683" max="6683" width="10.6328125" style="6" customWidth="1"/>
    <col min="6684" max="6684" width="7.90625" style="6" customWidth="1"/>
    <col min="6685" max="6685" width="11.453125" style="6" customWidth="1"/>
    <col min="6686" max="6690" width="8.6328125" style="6" customWidth="1"/>
    <col min="6691" max="6912" width="11.453125" style="6"/>
    <col min="6913" max="6913" width="12.453125" style="6" customWidth="1"/>
    <col min="6914" max="6914" width="9.6328125" style="6" customWidth="1"/>
    <col min="6915" max="6915" width="10.08984375" style="6" customWidth="1"/>
    <col min="6916" max="6918" width="10.453125" style="6" customWidth="1"/>
    <col min="6919" max="6919" width="3" style="6" customWidth="1"/>
    <col min="6920" max="6920" width="9.36328125" style="6" customWidth="1"/>
    <col min="6921" max="6921" width="10.6328125" style="6" customWidth="1"/>
    <col min="6922" max="6922" width="9.08984375" style="6" customWidth="1"/>
    <col min="6923" max="6923" width="3" style="6" customWidth="1"/>
    <col min="6924" max="6924" width="3.90625" style="6" customWidth="1"/>
    <col min="6925" max="6925" width="9.08984375" style="6" customWidth="1"/>
    <col min="6926" max="6926" width="10.36328125" style="6" customWidth="1"/>
    <col min="6927" max="6927" width="5.453125" style="6" customWidth="1"/>
    <col min="6928" max="6928" width="7" style="6" customWidth="1"/>
    <col min="6929" max="6931" width="7.453125" style="6" customWidth="1"/>
    <col min="6932" max="6932" width="8" style="6" customWidth="1"/>
    <col min="6933" max="6933" width="8.453125" style="6" customWidth="1"/>
    <col min="6934" max="6935" width="10.90625" style="6" customWidth="1"/>
    <col min="6936" max="6938" width="11.453125" style="6" customWidth="1"/>
    <col min="6939" max="6939" width="10.6328125" style="6" customWidth="1"/>
    <col min="6940" max="6940" width="7.90625" style="6" customWidth="1"/>
    <col min="6941" max="6941" width="11.453125" style="6" customWidth="1"/>
    <col min="6942" max="6946" width="8.6328125" style="6" customWidth="1"/>
    <col min="6947" max="7168" width="11.453125" style="6"/>
    <col min="7169" max="7169" width="12.453125" style="6" customWidth="1"/>
    <col min="7170" max="7170" width="9.6328125" style="6" customWidth="1"/>
    <col min="7171" max="7171" width="10.08984375" style="6" customWidth="1"/>
    <col min="7172" max="7174" width="10.453125" style="6" customWidth="1"/>
    <col min="7175" max="7175" width="3" style="6" customWidth="1"/>
    <col min="7176" max="7176" width="9.36328125" style="6" customWidth="1"/>
    <col min="7177" max="7177" width="10.6328125" style="6" customWidth="1"/>
    <col min="7178" max="7178" width="9.08984375" style="6" customWidth="1"/>
    <col min="7179" max="7179" width="3" style="6" customWidth="1"/>
    <col min="7180" max="7180" width="3.90625" style="6" customWidth="1"/>
    <col min="7181" max="7181" width="9.08984375" style="6" customWidth="1"/>
    <col min="7182" max="7182" width="10.36328125" style="6" customWidth="1"/>
    <col min="7183" max="7183" width="5.453125" style="6" customWidth="1"/>
    <col min="7184" max="7184" width="7" style="6" customWidth="1"/>
    <col min="7185" max="7187" width="7.453125" style="6" customWidth="1"/>
    <col min="7188" max="7188" width="8" style="6" customWidth="1"/>
    <col min="7189" max="7189" width="8.453125" style="6" customWidth="1"/>
    <col min="7190" max="7191" width="10.90625" style="6" customWidth="1"/>
    <col min="7192" max="7194" width="11.453125" style="6" customWidth="1"/>
    <col min="7195" max="7195" width="10.6328125" style="6" customWidth="1"/>
    <col min="7196" max="7196" width="7.90625" style="6" customWidth="1"/>
    <col min="7197" max="7197" width="11.453125" style="6" customWidth="1"/>
    <col min="7198" max="7202" width="8.6328125" style="6" customWidth="1"/>
    <col min="7203" max="7424" width="11.453125" style="6"/>
    <col min="7425" max="7425" width="12.453125" style="6" customWidth="1"/>
    <col min="7426" max="7426" width="9.6328125" style="6" customWidth="1"/>
    <col min="7427" max="7427" width="10.08984375" style="6" customWidth="1"/>
    <col min="7428" max="7430" width="10.453125" style="6" customWidth="1"/>
    <col min="7431" max="7431" width="3" style="6" customWidth="1"/>
    <col min="7432" max="7432" width="9.36328125" style="6" customWidth="1"/>
    <col min="7433" max="7433" width="10.6328125" style="6" customWidth="1"/>
    <col min="7434" max="7434" width="9.08984375" style="6" customWidth="1"/>
    <col min="7435" max="7435" width="3" style="6" customWidth="1"/>
    <col min="7436" max="7436" width="3.90625" style="6" customWidth="1"/>
    <col min="7437" max="7437" width="9.08984375" style="6" customWidth="1"/>
    <col min="7438" max="7438" width="10.36328125" style="6" customWidth="1"/>
    <col min="7439" max="7439" width="5.453125" style="6" customWidth="1"/>
    <col min="7440" max="7440" width="7" style="6" customWidth="1"/>
    <col min="7441" max="7443" width="7.453125" style="6" customWidth="1"/>
    <col min="7444" max="7444" width="8" style="6" customWidth="1"/>
    <col min="7445" max="7445" width="8.453125" style="6" customWidth="1"/>
    <col min="7446" max="7447" width="10.90625" style="6" customWidth="1"/>
    <col min="7448" max="7450" width="11.453125" style="6" customWidth="1"/>
    <col min="7451" max="7451" width="10.6328125" style="6" customWidth="1"/>
    <col min="7452" max="7452" width="7.90625" style="6" customWidth="1"/>
    <col min="7453" max="7453" width="11.453125" style="6" customWidth="1"/>
    <col min="7454" max="7458" width="8.6328125" style="6" customWidth="1"/>
    <col min="7459" max="7680" width="11.453125" style="6"/>
    <col min="7681" max="7681" width="12.453125" style="6" customWidth="1"/>
    <col min="7682" max="7682" width="9.6328125" style="6" customWidth="1"/>
    <col min="7683" max="7683" width="10.08984375" style="6" customWidth="1"/>
    <col min="7684" max="7686" width="10.453125" style="6" customWidth="1"/>
    <col min="7687" max="7687" width="3" style="6" customWidth="1"/>
    <col min="7688" max="7688" width="9.36328125" style="6" customWidth="1"/>
    <col min="7689" max="7689" width="10.6328125" style="6" customWidth="1"/>
    <col min="7690" max="7690" width="9.08984375" style="6" customWidth="1"/>
    <col min="7691" max="7691" width="3" style="6" customWidth="1"/>
    <col min="7692" max="7692" width="3.90625" style="6" customWidth="1"/>
    <col min="7693" max="7693" width="9.08984375" style="6" customWidth="1"/>
    <col min="7694" max="7694" width="10.36328125" style="6" customWidth="1"/>
    <col min="7695" max="7695" width="5.453125" style="6" customWidth="1"/>
    <col min="7696" max="7696" width="7" style="6" customWidth="1"/>
    <col min="7697" max="7699" width="7.453125" style="6" customWidth="1"/>
    <col min="7700" max="7700" width="8" style="6" customWidth="1"/>
    <col min="7701" max="7701" width="8.453125" style="6" customWidth="1"/>
    <col min="7702" max="7703" width="10.90625" style="6" customWidth="1"/>
    <col min="7704" max="7706" width="11.453125" style="6" customWidth="1"/>
    <col min="7707" max="7707" width="10.6328125" style="6" customWidth="1"/>
    <col min="7708" max="7708" width="7.90625" style="6" customWidth="1"/>
    <col min="7709" max="7709" width="11.453125" style="6" customWidth="1"/>
    <col min="7710" max="7714" width="8.6328125" style="6" customWidth="1"/>
    <col min="7715" max="7936" width="11.453125" style="6"/>
    <col min="7937" max="7937" width="12.453125" style="6" customWidth="1"/>
    <col min="7938" max="7938" width="9.6328125" style="6" customWidth="1"/>
    <col min="7939" max="7939" width="10.08984375" style="6" customWidth="1"/>
    <col min="7940" max="7942" width="10.453125" style="6" customWidth="1"/>
    <col min="7943" max="7943" width="3" style="6" customWidth="1"/>
    <col min="7944" max="7944" width="9.36328125" style="6" customWidth="1"/>
    <col min="7945" max="7945" width="10.6328125" style="6" customWidth="1"/>
    <col min="7946" max="7946" width="9.08984375" style="6" customWidth="1"/>
    <col min="7947" max="7947" width="3" style="6" customWidth="1"/>
    <col min="7948" max="7948" width="3.90625" style="6" customWidth="1"/>
    <col min="7949" max="7949" width="9.08984375" style="6" customWidth="1"/>
    <col min="7950" max="7950" width="10.36328125" style="6" customWidth="1"/>
    <col min="7951" max="7951" width="5.453125" style="6" customWidth="1"/>
    <col min="7952" max="7952" width="7" style="6" customWidth="1"/>
    <col min="7953" max="7955" width="7.453125" style="6" customWidth="1"/>
    <col min="7956" max="7956" width="8" style="6" customWidth="1"/>
    <col min="7957" max="7957" width="8.453125" style="6" customWidth="1"/>
    <col min="7958" max="7959" width="10.90625" style="6" customWidth="1"/>
    <col min="7960" max="7962" width="11.453125" style="6" customWidth="1"/>
    <col min="7963" max="7963" width="10.6328125" style="6" customWidth="1"/>
    <col min="7964" max="7964" width="7.90625" style="6" customWidth="1"/>
    <col min="7965" max="7965" width="11.453125" style="6" customWidth="1"/>
    <col min="7966" max="7970" width="8.6328125" style="6" customWidth="1"/>
    <col min="7971" max="8192" width="11.453125" style="6"/>
    <col min="8193" max="8193" width="12.453125" style="6" customWidth="1"/>
    <col min="8194" max="8194" width="9.6328125" style="6" customWidth="1"/>
    <col min="8195" max="8195" width="10.08984375" style="6" customWidth="1"/>
    <col min="8196" max="8198" width="10.453125" style="6" customWidth="1"/>
    <col min="8199" max="8199" width="3" style="6" customWidth="1"/>
    <col min="8200" max="8200" width="9.36328125" style="6" customWidth="1"/>
    <col min="8201" max="8201" width="10.6328125" style="6" customWidth="1"/>
    <col min="8202" max="8202" width="9.08984375" style="6" customWidth="1"/>
    <col min="8203" max="8203" width="3" style="6" customWidth="1"/>
    <col min="8204" max="8204" width="3.90625" style="6" customWidth="1"/>
    <col min="8205" max="8205" width="9.08984375" style="6" customWidth="1"/>
    <col min="8206" max="8206" width="10.36328125" style="6" customWidth="1"/>
    <col min="8207" max="8207" width="5.453125" style="6" customWidth="1"/>
    <col min="8208" max="8208" width="7" style="6" customWidth="1"/>
    <col min="8209" max="8211" width="7.453125" style="6" customWidth="1"/>
    <col min="8212" max="8212" width="8" style="6" customWidth="1"/>
    <col min="8213" max="8213" width="8.453125" style="6" customWidth="1"/>
    <col min="8214" max="8215" width="10.90625" style="6" customWidth="1"/>
    <col min="8216" max="8218" width="11.453125" style="6" customWidth="1"/>
    <col min="8219" max="8219" width="10.6328125" style="6" customWidth="1"/>
    <col min="8220" max="8220" width="7.90625" style="6" customWidth="1"/>
    <col min="8221" max="8221" width="11.453125" style="6" customWidth="1"/>
    <col min="8222" max="8226" width="8.6328125" style="6" customWidth="1"/>
    <col min="8227" max="8448" width="11.453125" style="6"/>
    <col min="8449" max="8449" width="12.453125" style="6" customWidth="1"/>
    <col min="8450" max="8450" width="9.6328125" style="6" customWidth="1"/>
    <col min="8451" max="8451" width="10.08984375" style="6" customWidth="1"/>
    <col min="8452" max="8454" width="10.453125" style="6" customWidth="1"/>
    <col min="8455" max="8455" width="3" style="6" customWidth="1"/>
    <col min="8456" max="8456" width="9.36328125" style="6" customWidth="1"/>
    <col min="8457" max="8457" width="10.6328125" style="6" customWidth="1"/>
    <col min="8458" max="8458" width="9.08984375" style="6" customWidth="1"/>
    <col min="8459" max="8459" width="3" style="6" customWidth="1"/>
    <col min="8460" max="8460" width="3.90625" style="6" customWidth="1"/>
    <col min="8461" max="8461" width="9.08984375" style="6" customWidth="1"/>
    <col min="8462" max="8462" width="10.36328125" style="6" customWidth="1"/>
    <col min="8463" max="8463" width="5.453125" style="6" customWidth="1"/>
    <col min="8464" max="8464" width="7" style="6" customWidth="1"/>
    <col min="8465" max="8467" width="7.453125" style="6" customWidth="1"/>
    <col min="8468" max="8468" width="8" style="6" customWidth="1"/>
    <col min="8469" max="8469" width="8.453125" style="6" customWidth="1"/>
    <col min="8470" max="8471" width="10.90625" style="6" customWidth="1"/>
    <col min="8472" max="8474" width="11.453125" style="6" customWidth="1"/>
    <col min="8475" max="8475" width="10.6328125" style="6" customWidth="1"/>
    <col min="8476" max="8476" width="7.90625" style="6" customWidth="1"/>
    <col min="8477" max="8477" width="11.453125" style="6" customWidth="1"/>
    <col min="8478" max="8482" width="8.6328125" style="6" customWidth="1"/>
    <col min="8483" max="8704" width="11.453125" style="6"/>
    <col min="8705" max="8705" width="12.453125" style="6" customWidth="1"/>
    <col min="8706" max="8706" width="9.6328125" style="6" customWidth="1"/>
    <col min="8707" max="8707" width="10.08984375" style="6" customWidth="1"/>
    <col min="8708" max="8710" width="10.453125" style="6" customWidth="1"/>
    <col min="8711" max="8711" width="3" style="6" customWidth="1"/>
    <col min="8712" max="8712" width="9.36328125" style="6" customWidth="1"/>
    <col min="8713" max="8713" width="10.6328125" style="6" customWidth="1"/>
    <col min="8714" max="8714" width="9.08984375" style="6" customWidth="1"/>
    <col min="8715" max="8715" width="3" style="6" customWidth="1"/>
    <col min="8716" max="8716" width="3.90625" style="6" customWidth="1"/>
    <col min="8717" max="8717" width="9.08984375" style="6" customWidth="1"/>
    <col min="8718" max="8718" width="10.36328125" style="6" customWidth="1"/>
    <col min="8719" max="8719" width="5.453125" style="6" customWidth="1"/>
    <col min="8720" max="8720" width="7" style="6" customWidth="1"/>
    <col min="8721" max="8723" width="7.453125" style="6" customWidth="1"/>
    <col min="8724" max="8724" width="8" style="6" customWidth="1"/>
    <col min="8725" max="8725" width="8.453125" style="6" customWidth="1"/>
    <col min="8726" max="8727" width="10.90625" style="6" customWidth="1"/>
    <col min="8728" max="8730" width="11.453125" style="6" customWidth="1"/>
    <col min="8731" max="8731" width="10.6328125" style="6" customWidth="1"/>
    <col min="8732" max="8732" width="7.90625" style="6" customWidth="1"/>
    <col min="8733" max="8733" width="11.453125" style="6" customWidth="1"/>
    <col min="8734" max="8738" width="8.6328125" style="6" customWidth="1"/>
    <col min="8739" max="8960" width="11.453125" style="6"/>
    <col min="8961" max="8961" width="12.453125" style="6" customWidth="1"/>
    <col min="8962" max="8962" width="9.6328125" style="6" customWidth="1"/>
    <col min="8963" max="8963" width="10.08984375" style="6" customWidth="1"/>
    <col min="8964" max="8966" width="10.453125" style="6" customWidth="1"/>
    <col min="8967" max="8967" width="3" style="6" customWidth="1"/>
    <col min="8968" max="8968" width="9.36328125" style="6" customWidth="1"/>
    <col min="8969" max="8969" width="10.6328125" style="6" customWidth="1"/>
    <col min="8970" max="8970" width="9.08984375" style="6" customWidth="1"/>
    <col min="8971" max="8971" width="3" style="6" customWidth="1"/>
    <col min="8972" max="8972" width="3.90625" style="6" customWidth="1"/>
    <col min="8973" max="8973" width="9.08984375" style="6" customWidth="1"/>
    <col min="8974" max="8974" width="10.36328125" style="6" customWidth="1"/>
    <col min="8975" max="8975" width="5.453125" style="6" customWidth="1"/>
    <col min="8976" max="8976" width="7" style="6" customWidth="1"/>
    <col min="8977" max="8979" width="7.453125" style="6" customWidth="1"/>
    <col min="8980" max="8980" width="8" style="6" customWidth="1"/>
    <col min="8981" max="8981" width="8.453125" style="6" customWidth="1"/>
    <col min="8982" max="8983" width="10.90625" style="6" customWidth="1"/>
    <col min="8984" max="8986" width="11.453125" style="6" customWidth="1"/>
    <col min="8987" max="8987" width="10.6328125" style="6" customWidth="1"/>
    <col min="8988" max="8988" width="7.90625" style="6" customWidth="1"/>
    <col min="8989" max="8989" width="11.453125" style="6" customWidth="1"/>
    <col min="8990" max="8994" width="8.6328125" style="6" customWidth="1"/>
    <col min="8995" max="9216" width="11.453125" style="6"/>
    <col min="9217" max="9217" width="12.453125" style="6" customWidth="1"/>
    <col min="9218" max="9218" width="9.6328125" style="6" customWidth="1"/>
    <col min="9219" max="9219" width="10.08984375" style="6" customWidth="1"/>
    <col min="9220" max="9222" width="10.453125" style="6" customWidth="1"/>
    <col min="9223" max="9223" width="3" style="6" customWidth="1"/>
    <col min="9224" max="9224" width="9.36328125" style="6" customWidth="1"/>
    <col min="9225" max="9225" width="10.6328125" style="6" customWidth="1"/>
    <col min="9226" max="9226" width="9.08984375" style="6" customWidth="1"/>
    <col min="9227" max="9227" width="3" style="6" customWidth="1"/>
    <col min="9228" max="9228" width="3.90625" style="6" customWidth="1"/>
    <col min="9229" max="9229" width="9.08984375" style="6" customWidth="1"/>
    <col min="9230" max="9230" width="10.36328125" style="6" customWidth="1"/>
    <col min="9231" max="9231" width="5.453125" style="6" customWidth="1"/>
    <col min="9232" max="9232" width="7" style="6" customWidth="1"/>
    <col min="9233" max="9235" width="7.453125" style="6" customWidth="1"/>
    <col min="9236" max="9236" width="8" style="6" customWidth="1"/>
    <col min="9237" max="9237" width="8.453125" style="6" customWidth="1"/>
    <col min="9238" max="9239" width="10.90625" style="6" customWidth="1"/>
    <col min="9240" max="9242" width="11.453125" style="6" customWidth="1"/>
    <col min="9243" max="9243" width="10.6328125" style="6" customWidth="1"/>
    <col min="9244" max="9244" width="7.90625" style="6" customWidth="1"/>
    <col min="9245" max="9245" width="11.453125" style="6" customWidth="1"/>
    <col min="9246" max="9250" width="8.6328125" style="6" customWidth="1"/>
    <col min="9251" max="9472" width="11.453125" style="6"/>
    <col min="9473" max="9473" width="12.453125" style="6" customWidth="1"/>
    <col min="9474" max="9474" width="9.6328125" style="6" customWidth="1"/>
    <col min="9475" max="9475" width="10.08984375" style="6" customWidth="1"/>
    <col min="9476" max="9478" width="10.453125" style="6" customWidth="1"/>
    <col min="9479" max="9479" width="3" style="6" customWidth="1"/>
    <col min="9480" max="9480" width="9.36328125" style="6" customWidth="1"/>
    <col min="9481" max="9481" width="10.6328125" style="6" customWidth="1"/>
    <col min="9482" max="9482" width="9.08984375" style="6" customWidth="1"/>
    <col min="9483" max="9483" width="3" style="6" customWidth="1"/>
    <col min="9484" max="9484" width="3.90625" style="6" customWidth="1"/>
    <col min="9485" max="9485" width="9.08984375" style="6" customWidth="1"/>
    <col min="9486" max="9486" width="10.36328125" style="6" customWidth="1"/>
    <col min="9487" max="9487" width="5.453125" style="6" customWidth="1"/>
    <col min="9488" max="9488" width="7" style="6" customWidth="1"/>
    <col min="9489" max="9491" width="7.453125" style="6" customWidth="1"/>
    <col min="9492" max="9492" width="8" style="6" customWidth="1"/>
    <col min="9493" max="9493" width="8.453125" style="6" customWidth="1"/>
    <col min="9494" max="9495" width="10.90625" style="6" customWidth="1"/>
    <col min="9496" max="9498" width="11.453125" style="6" customWidth="1"/>
    <col min="9499" max="9499" width="10.6328125" style="6" customWidth="1"/>
    <col min="9500" max="9500" width="7.90625" style="6" customWidth="1"/>
    <col min="9501" max="9501" width="11.453125" style="6" customWidth="1"/>
    <col min="9502" max="9506" width="8.6328125" style="6" customWidth="1"/>
    <col min="9507" max="9728" width="11.453125" style="6"/>
    <col min="9729" max="9729" width="12.453125" style="6" customWidth="1"/>
    <col min="9730" max="9730" width="9.6328125" style="6" customWidth="1"/>
    <col min="9731" max="9731" width="10.08984375" style="6" customWidth="1"/>
    <col min="9732" max="9734" width="10.453125" style="6" customWidth="1"/>
    <col min="9735" max="9735" width="3" style="6" customWidth="1"/>
    <col min="9736" max="9736" width="9.36328125" style="6" customWidth="1"/>
    <col min="9737" max="9737" width="10.6328125" style="6" customWidth="1"/>
    <col min="9738" max="9738" width="9.08984375" style="6" customWidth="1"/>
    <col min="9739" max="9739" width="3" style="6" customWidth="1"/>
    <col min="9740" max="9740" width="3.90625" style="6" customWidth="1"/>
    <col min="9741" max="9741" width="9.08984375" style="6" customWidth="1"/>
    <col min="9742" max="9742" width="10.36328125" style="6" customWidth="1"/>
    <col min="9743" max="9743" width="5.453125" style="6" customWidth="1"/>
    <col min="9744" max="9744" width="7" style="6" customWidth="1"/>
    <col min="9745" max="9747" width="7.453125" style="6" customWidth="1"/>
    <col min="9748" max="9748" width="8" style="6" customWidth="1"/>
    <col min="9749" max="9749" width="8.453125" style="6" customWidth="1"/>
    <col min="9750" max="9751" width="10.90625" style="6" customWidth="1"/>
    <col min="9752" max="9754" width="11.453125" style="6" customWidth="1"/>
    <col min="9755" max="9755" width="10.6328125" style="6" customWidth="1"/>
    <col min="9756" max="9756" width="7.90625" style="6" customWidth="1"/>
    <col min="9757" max="9757" width="11.453125" style="6" customWidth="1"/>
    <col min="9758" max="9762" width="8.6328125" style="6" customWidth="1"/>
    <col min="9763" max="9984" width="11.453125" style="6"/>
    <col min="9985" max="9985" width="12.453125" style="6" customWidth="1"/>
    <col min="9986" max="9986" width="9.6328125" style="6" customWidth="1"/>
    <col min="9987" max="9987" width="10.08984375" style="6" customWidth="1"/>
    <col min="9988" max="9990" width="10.453125" style="6" customWidth="1"/>
    <col min="9991" max="9991" width="3" style="6" customWidth="1"/>
    <col min="9992" max="9992" width="9.36328125" style="6" customWidth="1"/>
    <col min="9993" max="9993" width="10.6328125" style="6" customWidth="1"/>
    <col min="9994" max="9994" width="9.08984375" style="6" customWidth="1"/>
    <col min="9995" max="9995" width="3" style="6" customWidth="1"/>
    <col min="9996" max="9996" width="3.90625" style="6" customWidth="1"/>
    <col min="9997" max="9997" width="9.08984375" style="6" customWidth="1"/>
    <col min="9998" max="9998" width="10.36328125" style="6" customWidth="1"/>
    <col min="9999" max="9999" width="5.453125" style="6" customWidth="1"/>
    <col min="10000" max="10000" width="7" style="6" customWidth="1"/>
    <col min="10001" max="10003" width="7.453125" style="6" customWidth="1"/>
    <col min="10004" max="10004" width="8" style="6" customWidth="1"/>
    <col min="10005" max="10005" width="8.453125" style="6" customWidth="1"/>
    <col min="10006" max="10007" width="10.90625" style="6" customWidth="1"/>
    <col min="10008" max="10010" width="11.453125" style="6" customWidth="1"/>
    <col min="10011" max="10011" width="10.6328125" style="6" customWidth="1"/>
    <col min="10012" max="10012" width="7.90625" style="6" customWidth="1"/>
    <col min="10013" max="10013" width="11.453125" style="6" customWidth="1"/>
    <col min="10014" max="10018" width="8.6328125" style="6" customWidth="1"/>
    <col min="10019" max="10240" width="11.453125" style="6"/>
    <col min="10241" max="10241" width="12.453125" style="6" customWidth="1"/>
    <col min="10242" max="10242" width="9.6328125" style="6" customWidth="1"/>
    <col min="10243" max="10243" width="10.08984375" style="6" customWidth="1"/>
    <col min="10244" max="10246" width="10.453125" style="6" customWidth="1"/>
    <col min="10247" max="10247" width="3" style="6" customWidth="1"/>
    <col min="10248" max="10248" width="9.36328125" style="6" customWidth="1"/>
    <col min="10249" max="10249" width="10.6328125" style="6" customWidth="1"/>
    <col min="10250" max="10250" width="9.08984375" style="6" customWidth="1"/>
    <col min="10251" max="10251" width="3" style="6" customWidth="1"/>
    <col min="10252" max="10252" width="3.90625" style="6" customWidth="1"/>
    <col min="10253" max="10253" width="9.08984375" style="6" customWidth="1"/>
    <col min="10254" max="10254" width="10.36328125" style="6" customWidth="1"/>
    <col min="10255" max="10255" width="5.453125" style="6" customWidth="1"/>
    <col min="10256" max="10256" width="7" style="6" customWidth="1"/>
    <col min="10257" max="10259" width="7.453125" style="6" customWidth="1"/>
    <col min="10260" max="10260" width="8" style="6" customWidth="1"/>
    <col min="10261" max="10261" width="8.453125" style="6" customWidth="1"/>
    <col min="10262" max="10263" width="10.90625" style="6" customWidth="1"/>
    <col min="10264" max="10266" width="11.453125" style="6" customWidth="1"/>
    <col min="10267" max="10267" width="10.6328125" style="6" customWidth="1"/>
    <col min="10268" max="10268" width="7.90625" style="6" customWidth="1"/>
    <col min="10269" max="10269" width="11.453125" style="6" customWidth="1"/>
    <col min="10270" max="10274" width="8.6328125" style="6" customWidth="1"/>
    <col min="10275" max="10496" width="11.453125" style="6"/>
    <col min="10497" max="10497" width="12.453125" style="6" customWidth="1"/>
    <col min="10498" max="10498" width="9.6328125" style="6" customWidth="1"/>
    <col min="10499" max="10499" width="10.08984375" style="6" customWidth="1"/>
    <col min="10500" max="10502" width="10.453125" style="6" customWidth="1"/>
    <col min="10503" max="10503" width="3" style="6" customWidth="1"/>
    <col min="10504" max="10504" width="9.36328125" style="6" customWidth="1"/>
    <col min="10505" max="10505" width="10.6328125" style="6" customWidth="1"/>
    <col min="10506" max="10506" width="9.08984375" style="6" customWidth="1"/>
    <col min="10507" max="10507" width="3" style="6" customWidth="1"/>
    <col min="10508" max="10508" width="3.90625" style="6" customWidth="1"/>
    <col min="10509" max="10509" width="9.08984375" style="6" customWidth="1"/>
    <col min="10510" max="10510" width="10.36328125" style="6" customWidth="1"/>
    <col min="10511" max="10511" width="5.453125" style="6" customWidth="1"/>
    <col min="10512" max="10512" width="7" style="6" customWidth="1"/>
    <col min="10513" max="10515" width="7.453125" style="6" customWidth="1"/>
    <col min="10516" max="10516" width="8" style="6" customWidth="1"/>
    <col min="10517" max="10517" width="8.453125" style="6" customWidth="1"/>
    <col min="10518" max="10519" width="10.90625" style="6" customWidth="1"/>
    <col min="10520" max="10522" width="11.453125" style="6" customWidth="1"/>
    <col min="10523" max="10523" width="10.6328125" style="6" customWidth="1"/>
    <col min="10524" max="10524" width="7.90625" style="6" customWidth="1"/>
    <col min="10525" max="10525" width="11.453125" style="6" customWidth="1"/>
    <col min="10526" max="10530" width="8.6328125" style="6" customWidth="1"/>
    <col min="10531" max="10752" width="11.453125" style="6"/>
    <col min="10753" max="10753" width="12.453125" style="6" customWidth="1"/>
    <col min="10754" max="10754" width="9.6328125" style="6" customWidth="1"/>
    <col min="10755" max="10755" width="10.08984375" style="6" customWidth="1"/>
    <col min="10756" max="10758" width="10.453125" style="6" customWidth="1"/>
    <col min="10759" max="10759" width="3" style="6" customWidth="1"/>
    <col min="10760" max="10760" width="9.36328125" style="6" customWidth="1"/>
    <col min="10761" max="10761" width="10.6328125" style="6" customWidth="1"/>
    <col min="10762" max="10762" width="9.08984375" style="6" customWidth="1"/>
    <col min="10763" max="10763" width="3" style="6" customWidth="1"/>
    <col min="10764" max="10764" width="3.90625" style="6" customWidth="1"/>
    <col min="10765" max="10765" width="9.08984375" style="6" customWidth="1"/>
    <col min="10766" max="10766" width="10.36328125" style="6" customWidth="1"/>
    <col min="10767" max="10767" width="5.453125" style="6" customWidth="1"/>
    <col min="10768" max="10768" width="7" style="6" customWidth="1"/>
    <col min="10769" max="10771" width="7.453125" style="6" customWidth="1"/>
    <col min="10772" max="10772" width="8" style="6" customWidth="1"/>
    <col min="10773" max="10773" width="8.453125" style="6" customWidth="1"/>
    <col min="10774" max="10775" width="10.90625" style="6" customWidth="1"/>
    <col min="10776" max="10778" width="11.453125" style="6" customWidth="1"/>
    <col min="10779" max="10779" width="10.6328125" style="6" customWidth="1"/>
    <col min="10780" max="10780" width="7.90625" style="6" customWidth="1"/>
    <col min="10781" max="10781" width="11.453125" style="6" customWidth="1"/>
    <col min="10782" max="10786" width="8.6328125" style="6" customWidth="1"/>
    <col min="10787" max="11008" width="11.453125" style="6"/>
    <col min="11009" max="11009" width="12.453125" style="6" customWidth="1"/>
    <col min="11010" max="11010" width="9.6328125" style="6" customWidth="1"/>
    <col min="11011" max="11011" width="10.08984375" style="6" customWidth="1"/>
    <col min="11012" max="11014" width="10.453125" style="6" customWidth="1"/>
    <col min="11015" max="11015" width="3" style="6" customWidth="1"/>
    <col min="11016" max="11016" width="9.36328125" style="6" customWidth="1"/>
    <col min="11017" max="11017" width="10.6328125" style="6" customWidth="1"/>
    <col min="11018" max="11018" width="9.08984375" style="6" customWidth="1"/>
    <col min="11019" max="11019" width="3" style="6" customWidth="1"/>
    <col min="11020" max="11020" width="3.90625" style="6" customWidth="1"/>
    <col min="11021" max="11021" width="9.08984375" style="6" customWidth="1"/>
    <col min="11022" max="11022" width="10.36328125" style="6" customWidth="1"/>
    <col min="11023" max="11023" width="5.453125" style="6" customWidth="1"/>
    <col min="11024" max="11024" width="7" style="6" customWidth="1"/>
    <col min="11025" max="11027" width="7.453125" style="6" customWidth="1"/>
    <col min="11028" max="11028" width="8" style="6" customWidth="1"/>
    <col min="11029" max="11029" width="8.453125" style="6" customWidth="1"/>
    <col min="11030" max="11031" width="10.90625" style="6" customWidth="1"/>
    <col min="11032" max="11034" width="11.453125" style="6" customWidth="1"/>
    <col min="11035" max="11035" width="10.6328125" style="6" customWidth="1"/>
    <col min="11036" max="11036" width="7.90625" style="6" customWidth="1"/>
    <col min="11037" max="11037" width="11.453125" style="6" customWidth="1"/>
    <col min="11038" max="11042" width="8.6328125" style="6" customWidth="1"/>
    <col min="11043" max="11264" width="11.453125" style="6"/>
    <col min="11265" max="11265" width="12.453125" style="6" customWidth="1"/>
    <col min="11266" max="11266" width="9.6328125" style="6" customWidth="1"/>
    <col min="11267" max="11267" width="10.08984375" style="6" customWidth="1"/>
    <col min="11268" max="11270" width="10.453125" style="6" customWidth="1"/>
    <col min="11271" max="11271" width="3" style="6" customWidth="1"/>
    <col min="11272" max="11272" width="9.36328125" style="6" customWidth="1"/>
    <col min="11273" max="11273" width="10.6328125" style="6" customWidth="1"/>
    <col min="11274" max="11274" width="9.08984375" style="6" customWidth="1"/>
    <col min="11275" max="11275" width="3" style="6" customWidth="1"/>
    <col min="11276" max="11276" width="3.90625" style="6" customWidth="1"/>
    <col min="11277" max="11277" width="9.08984375" style="6" customWidth="1"/>
    <col min="11278" max="11278" width="10.36328125" style="6" customWidth="1"/>
    <col min="11279" max="11279" width="5.453125" style="6" customWidth="1"/>
    <col min="11280" max="11280" width="7" style="6" customWidth="1"/>
    <col min="11281" max="11283" width="7.453125" style="6" customWidth="1"/>
    <col min="11284" max="11284" width="8" style="6" customWidth="1"/>
    <col min="11285" max="11285" width="8.453125" style="6" customWidth="1"/>
    <col min="11286" max="11287" width="10.90625" style="6" customWidth="1"/>
    <col min="11288" max="11290" width="11.453125" style="6" customWidth="1"/>
    <col min="11291" max="11291" width="10.6328125" style="6" customWidth="1"/>
    <col min="11292" max="11292" width="7.90625" style="6" customWidth="1"/>
    <col min="11293" max="11293" width="11.453125" style="6" customWidth="1"/>
    <col min="11294" max="11298" width="8.6328125" style="6" customWidth="1"/>
    <col min="11299" max="11520" width="11.453125" style="6"/>
    <col min="11521" max="11521" width="12.453125" style="6" customWidth="1"/>
    <col min="11522" max="11522" width="9.6328125" style="6" customWidth="1"/>
    <col min="11523" max="11523" width="10.08984375" style="6" customWidth="1"/>
    <col min="11524" max="11526" width="10.453125" style="6" customWidth="1"/>
    <col min="11527" max="11527" width="3" style="6" customWidth="1"/>
    <col min="11528" max="11528" width="9.36328125" style="6" customWidth="1"/>
    <col min="11529" max="11529" width="10.6328125" style="6" customWidth="1"/>
    <col min="11530" max="11530" width="9.08984375" style="6" customWidth="1"/>
    <col min="11531" max="11531" width="3" style="6" customWidth="1"/>
    <col min="11532" max="11532" width="3.90625" style="6" customWidth="1"/>
    <col min="11533" max="11533" width="9.08984375" style="6" customWidth="1"/>
    <col min="11534" max="11534" width="10.36328125" style="6" customWidth="1"/>
    <col min="11535" max="11535" width="5.453125" style="6" customWidth="1"/>
    <col min="11536" max="11536" width="7" style="6" customWidth="1"/>
    <col min="11537" max="11539" width="7.453125" style="6" customWidth="1"/>
    <col min="11540" max="11540" width="8" style="6" customWidth="1"/>
    <col min="11541" max="11541" width="8.453125" style="6" customWidth="1"/>
    <col min="11542" max="11543" width="10.90625" style="6" customWidth="1"/>
    <col min="11544" max="11546" width="11.453125" style="6" customWidth="1"/>
    <col min="11547" max="11547" width="10.6328125" style="6" customWidth="1"/>
    <col min="11548" max="11548" width="7.90625" style="6" customWidth="1"/>
    <col min="11549" max="11549" width="11.453125" style="6" customWidth="1"/>
    <col min="11550" max="11554" width="8.6328125" style="6" customWidth="1"/>
    <col min="11555" max="11776" width="11.453125" style="6"/>
    <col min="11777" max="11777" width="12.453125" style="6" customWidth="1"/>
    <col min="11778" max="11778" width="9.6328125" style="6" customWidth="1"/>
    <col min="11779" max="11779" width="10.08984375" style="6" customWidth="1"/>
    <col min="11780" max="11782" width="10.453125" style="6" customWidth="1"/>
    <col min="11783" max="11783" width="3" style="6" customWidth="1"/>
    <col min="11784" max="11784" width="9.36328125" style="6" customWidth="1"/>
    <col min="11785" max="11785" width="10.6328125" style="6" customWidth="1"/>
    <col min="11786" max="11786" width="9.08984375" style="6" customWidth="1"/>
    <col min="11787" max="11787" width="3" style="6" customWidth="1"/>
    <col min="11788" max="11788" width="3.90625" style="6" customWidth="1"/>
    <col min="11789" max="11789" width="9.08984375" style="6" customWidth="1"/>
    <col min="11790" max="11790" width="10.36328125" style="6" customWidth="1"/>
    <col min="11791" max="11791" width="5.453125" style="6" customWidth="1"/>
    <col min="11792" max="11792" width="7" style="6" customWidth="1"/>
    <col min="11793" max="11795" width="7.453125" style="6" customWidth="1"/>
    <col min="11796" max="11796" width="8" style="6" customWidth="1"/>
    <col min="11797" max="11797" width="8.453125" style="6" customWidth="1"/>
    <col min="11798" max="11799" width="10.90625" style="6" customWidth="1"/>
    <col min="11800" max="11802" width="11.453125" style="6" customWidth="1"/>
    <col min="11803" max="11803" width="10.6328125" style="6" customWidth="1"/>
    <col min="11804" max="11804" width="7.90625" style="6" customWidth="1"/>
    <col min="11805" max="11805" width="11.453125" style="6" customWidth="1"/>
    <col min="11806" max="11810" width="8.6328125" style="6" customWidth="1"/>
    <col min="11811" max="12032" width="11.453125" style="6"/>
    <col min="12033" max="12033" width="12.453125" style="6" customWidth="1"/>
    <col min="12034" max="12034" width="9.6328125" style="6" customWidth="1"/>
    <col min="12035" max="12035" width="10.08984375" style="6" customWidth="1"/>
    <col min="12036" max="12038" width="10.453125" style="6" customWidth="1"/>
    <col min="12039" max="12039" width="3" style="6" customWidth="1"/>
    <col min="12040" max="12040" width="9.36328125" style="6" customWidth="1"/>
    <col min="12041" max="12041" width="10.6328125" style="6" customWidth="1"/>
    <col min="12042" max="12042" width="9.08984375" style="6" customWidth="1"/>
    <col min="12043" max="12043" width="3" style="6" customWidth="1"/>
    <col min="12044" max="12044" width="3.90625" style="6" customWidth="1"/>
    <col min="12045" max="12045" width="9.08984375" style="6" customWidth="1"/>
    <col min="12046" max="12046" width="10.36328125" style="6" customWidth="1"/>
    <col min="12047" max="12047" width="5.453125" style="6" customWidth="1"/>
    <col min="12048" max="12048" width="7" style="6" customWidth="1"/>
    <col min="12049" max="12051" width="7.453125" style="6" customWidth="1"/>
    <col min="12052" max="12052" width="8" style="6" customWidth="1"/>
    <col min="12053" max="12053" width="8.453125" style="6" customWidth="1"/>
    <col min="12054" max="12055" width="10.90625" style="6" customWidth="1"/>
    <col min="12056" max="12058" width="11.453125" style="6" customWidth="1"/>
    <col min="12059" max="12059" width="10.6328125" style="6" customWidth="1"/>
    <col min="12060" max="12060" width="7.90625" style="6" customWidth="1"/>
    <col min="12061" max="12061" width="11.453125" style="6" customWidth="1"/>
    <col min="12062" max="12066" width="8.6328125" style="6" customWidth="1"/>
    <col min="12067" max="12288" width="11.453125" style="6"/>
    <col min="12289" max="12289" width="12.453125" style="6" customWidth="1"/>
    <col min="12290" max="12290" width="9.6328125" style="6" customWidth="1"/>
    <col min="12291" max="12291" width="10.08984375" style="6" customWidth="1"/>
    <col min="12292" max="12294" width="10.453125" style="6" customWidth="1"/>
    <col min="12295" max="12295" width="3" style="6" customWidth="1"/>
    <col min="12296" max="12296" width="9.36328125" style="6" customWidth="1"/>
    <col min="12297" max="12297" width="10.6328125" style="6" customWidth="1"/>
    <col min="12298" max="12298" width="9.08984375" style="6" customWidth="1"/>
    <col min="12299" max="12299" width="3" style="6" customWidth="1"/>
    <col min="12300" max="12300" width="3.90625" style="6" customWidth="1"/>
    <col min="12301" max="12301" width="9.08984375" style="6" customWidth="1"/>
    <col min="12302" max="12302" width="10.36328125" style="6" customWidth="1"/>
    <col min="12303" max="12303" width="5.453125" style="6" customWidth="1"/>
    <col min="12304" max="12304" width="7" style="6" customWidth="1"/>
    <col min="12305" max="12307" width="7.453125" style="6" customWidth="1"/>
    <col min="12308" max="12308" width="8" style="6" customWidth="1"/>
    <col min="12309" max="12309" width="8.453125" style="6" customWidth="1"/>
    <col min="12310" max="12311" width="10.90625" style="6" customWidth="1"/>
    <col min="12312" max="12314" width="11.453125" style="6" customWidth="1"/>
    <col min="12315" max="12315" width="10.6328125" style="6" customWidth="1"/>
    <col min="12316" max="12316" width="7.90625" style="6" customWidth="1"/>
    <col min="12317" max="12317" width="11.453125" style="6" customWidth="1"/>
    <col min="12318" max="12322" width="8.6328125" style="6" customWidth="1"/>
    <col min="12323" max="12544" width="11.453125" style="6"/>
    <col min="12545" max="12545" width="12.453125" style="6" customWidth="1"/>
    <col min="12546" max="12546" width="9.6328125" style="6" customWidth="1"/>
    <col min="12547" max="12547" width="10.08984375" style="6" customWidth="1"/>
    <col min="12548" max="12550" width="10.453125" style="6" customWidth="1"/>
    <col min="12551" max="12551" width="3" style="6" customWidth="1"/>
    <col min="12552" max="12552" width="9.36328125" style="6" customWidth="1"/>
    <col min="12553" max="12553" width="10.6328125" style="6" customWidth="1"/>
    <col min="12554" max="12554" width="9.08984375" style="6" customWidth="1"/>
    <col min="12555" max="12555" width="3" style="6" customWidth="1"/>
    <col min="12556" max="12556" width="3.90625" style="6" customWidth="1"/>
    <col min="12557" max="12557" width="9.08984375" style="6" customWidth="1"/>
    <col min="12558" max="12558" width="10.36328125" style="6" customWidth="1"/>
    <col min="12559" max="12559" width="5.453125" style="6" customWidth="1"/>
    <col min="12560" max="12560" width="7" style="6" customWidth="1"/>
    <col min="12561" max="12563" width="7.453125" style="6" customWidth="1"/>
    <col min="12564" max="12564" width="8" style="6" customWidth="1"/>
    <col min="12565" max="12565" width="8.453125" style="6" customWidth="1"/>
    <col min="12566" max="12567" width="10.90625" style="6" customWidth="1"/>
    <col min="12568" max="12570" width="11.453125" style="6" customWidth="1"/>
    <col min="12571" max="12571" width="10.6328125" style="6" customWidth="1"/>
    <col min="12572" max="12572" width="7.90625" style="6" customWidth="1"/>
    <col min="12573" max="12573" width="11.453125" style="6" customWidth="1"/>
    <col min="12574" max="12578" width="8.6328125" style="6" customWidth="1"/>
    <col min="12579" max="12800" width="11.453125" style="6"/>
    <col min="12801" max="12801" width="12.453125" style="6" customWidth="1"/>
    <col min="12802" max="12802" width="9.6328125" style="6" customWidth="1"/>
    <col min="12803" max="12803" width="10.08984375" style="6" customWidth="1"/>
    <col min="12804" max="12806" width="10.453125" style="6" customWidth="1"/>
    <col min="12807" max="12807" width="3" style="6" customWidth="1"/>
    <col min="12808" max="12808" width="9.36328125" style="6" customWidth="1"/>
    <col min="12809" max="12809" width="10.6328125" style="6" customWidth="1"/>
    <col min="12810" max="12810" width="9.08984375" style="6" customWidth="1"/>
    <col min="12811" max="12811" width="3" style="6" customWidth="1"/>
    <col min="12812" max="12812" width="3.90625" style="6" customWidth="1"/>
    <col min="12813" max="12813" width="9.08984375" style="6" customWidth="1"/>
    <col min="12814" max="12814" width="10.36328125" style="6" customWidth="1"/>
    <col min="12815" max="12815" width="5.453125" style="6" customWidth="1"/>
    <col min="12816" max="12816" width="7" style="6" customWidth="1"/>
    <col min="12817" max="12819" width="7.453125" style="6" customWidth="1"/>
    <col min="12820" max="12820" width="8" style="6" customWidth="1"/>
    <col min="12821" max="12821" width="8.453125" style="6" customWidth="1"/>
    <col min="12822" max="12823" width="10.90625" style="6" customWidth="1"/>
    <col min="12824" max="12826" width="11.453125" style="6" customWidth="1"/>
    <col min="12827" max="12827" width="10.6328125" style="6" customWidth="1"/>
    <col min="12828" max="12828" width="7.90625" style="6" customWidth="1"/>
    <col min="12829" max="12829" width="11.453125" style="6" customWidth="1"/>
    <col min="12830" max="12834" width="8.6328125" style="6" customWidth="1"/>
    <col min="12835" max="13056" width="11.453125" style="6"/>
    <col min="13057" max="13057" width="12.453125" style="6" customWidth="1"/>
    <col min="13058" max="13058" width="9.6328125" style="6" customWidth="1"/>
    <col min="13059" max="13059" width="10.08984375" style="6" customWidth="1"/>
    <col min="13060" max="13062" width="10.453125" style="6" customWidth="1"/>
    <col min="13063" max="13063" width="3" style="6" customWidth="1"/>
    <col min="13064" max="13064" width="9.36328125" style="6" customWidth="1"/>
    <col min="13065" max="13065" width="10.6328125" style="6" customWidth="1"/>
    <col min="13066" max="13066" width="9.08984375" style="6" customWidth="1"/>
    <col min="13067" max="13067" width="3" style="6" customWidth="1"/>
    <col min="13068" max="13068" width="3.90625" style="6" customWidth="1"/>
    <col min="13069" max="13069" width="9.08984375" style="6" customWidth="1"/>
    <col min="13070" max="13070" width="10.36328125" style="6" customWidth="1"/>
    <col min="13071" max="13071" width="5.453125" style="6" customWidth="1"/>
    <col min="13072" max="13072" width="7" style="6" customWidth="1"/>
    <col min="13073" max="13075" width="7.453125" style="6" customWidth="1"/>
    <col min="13076" max="13076" width="8" style="6" customWidth="1"/>
    <col min="13077" max="13077" width="8.453125" style="6" customWidth="1"/>
    <col min="13078" max="13079" width="10.90625" style="6" customWidth="1"/>
    <col min="13080" max="13082" width="11.453125" style="6" customWidth="1"/>
    <col min="13083" max="13083" width="10.6328125" style="6" customWidth="1"/>
    <col min="13084" max="13084" width="7.90625" style="6" customWidth="1"/>
    <col min="13085" max="13085" width="11.453125" style="6" customWidth="1"/>
    <col min="13086" max="13090" width="8.6328125" style="6" customWidth="1"/>
    <col min="13091" max="13312" width="11.453125" style="6"/>
    <col min="13313" max="13313" width="12.453125" style="6" customWidth="1"/>
    <col min="13314" max="13314" width="9.6328125" style="6" customWidth="1"/>
    <col min="13315" max="13315" width="10.08984375" style="6" customWidth="1"/>
    <col min="13316" max="13318" width="10.453125" style="6" customWidth="1"/>
    <col min="13319" max="13319" width="3" style="6" customWidth="1"/>
    <col min="13320" max="13320" width="9.36328125" style="6" customWidth="1"/>
    <col min="13321" max="13321" width="10.6328125" style="6" customWidth="1"/>
    <col min="13322" max="13322" width="9.08984375" style="6" customWidth="1"/>
    <col min="13323" max="13323" width="3" style="6" customWidth="1"/>
    <col min="13324" max="13324" width="3.90625" style="6" customWidth="1"/>
    <col min="13325" max="13325" width="9.08984375" style="6" customWidth="1"/>
    <col min="13326" max="13326" width="10.36328125" style="6" customWidth="1"/>
    <col min="13327" max="13327" width="5.453125" style="6" customWidth="1"/>
    <col min="13328" max="13328" width="7" style="6" customWidth="1"/>
    <col min="13329" max="13331" width="7.453125" style="6" customWidth="1"/>
    <col min="13332" max="13332" width="8" style="6" customWidth="1"/>
    <col min="13333" max="13333" width="8.453125" style="6" customWidth="1"/>
    <col min="13334" max="13335" width="10.90625" style="6" customWidth="1"/>
    <col min="13336" max="13338" width="11.453125" style="6" customWidth="1"/>
    <col min="13339" max="13339" width="10.6328125" style="6" customWidth="1"/>
    <col min="13340" max="13340" width="7.90625" style="6" customWidth="1"/>
    <col min="13341" max="13341" width="11.453125" style="6" customWidth="1"/>
    <col min="13342" max="13346" width="8.6328125" style="6" customWidth="1"/>
    <col min="13347" max="13568" width="11.453125" style="6"/>
    <col min="13569" max="13569" width="12.453125" style="6" customWidth="1"/>
    <col min="13570" max="13570" width="9.6328125" style="6" customWidth="1"/>
    <col min="13571" max="13571" width="10.08984375" style="6" customWidth="1"/>
    <col min="13572" max="13574" width="10.453125" style="6" customWidth="1"/>
    <col min="13575" max="13575" width="3" style="6" customWidth="1"/>
    <col min="13576" max="13576" width="9.36328125" style="6" customWidth="1"/>
    <col min="13577" max="13577" width="10.6328125" style="6" customWidth="1"/>
    <col min="13578" max="13578" width="9.08984375" style="6" customWidth="1"/>
    <col min="13579" max="13579" width="3" style="6" customWidth="1"/>
    <col min="13580" max="13580" width="3.90625" style="6" customWidth="1"/>
    <col min="13581" max="13581" width="9.08984375" style="6" customWidth="1"/>
    <col min="13582" max="13582" width="10.36328125" style="6" customWidth="1"/>
    <col min="13583" max="13583" width="5.453125" style="6" customWidth="1"/>
    <col min="13584" max="13584" width="7" style="6" customWidth="1"/>
    <col min="13585" max="13587" width="7.453125" style="6" customWidth="1"/>
    <col min="13588" max="13588" width="8" style="6" customWidth="1"/>
    <col min="13589" max="13589" width="8.453125" style="6" customWidth="1"/>
    <col min="13590" max="13591" width="10.90625" style="6" customWidth="1"/>
    <col min="13592" max="13594" width="11.453125" style="6" customWidth="1"/>
    <col min="13595" max="13595" width="10.6328125" style="6" customWidth="1"/>
    <col min="13596" max="13596" width="7.90625" style="6" customWidth="1"/>
    <col min="13597" max="13597" width="11.453125" style="6" customWidth="1"/>
    <col min="13598" max="13602" width="8.6328125" style="6" customWidth="1"/>
    <col min="13603" max="13824" width="11.453125" style="6"/>
    <col min="13825" max="13825" width="12.453125" style="6" customWidth="1"/>
    <col min="13826" max="13826" width="9.6328125" style="6" customWidth="1"/>
    <col min="13827" max="13827" width="10.08984375" style="6" customWidth="1"/>
    <col min="13828" max="13830" width="10.453125" style="6" customWidth="1"/>
    <col min="13831" max="13831" width="3" style="6" customWidth="1"/>
    <col min="13832" max="13832" width="9.36328125" style="6" customWidth="1"/>
    <col min="13833" max="13833" width="10.6328125" style="6" customWidth="1"/>
    <col min="13834" max="13834" width="9.08984375" style="6" customWidth="1"/>
    <col min="13835" max="13835" width="3" style="6" customWidth="1"/>
    <col min="13836" max="13836" width="3.90625" style="6" customWidth="1"/>
    <col min="13837" max="13837" width="9.08984375" style="6" customWidth="1"/>
    <col min="13838" max="13838" width="10.36328125" style="6" customWidth="1"/>
    <col min="13839" max="13839" width="5.453125" style="6" customWidth="1"/>
    <col min="13840" max="13840" width="7" style="6" customWidth="1"/>
    <col min="13841" max="13843" width="7.453125" style="6" customWidth="1"/>
    <col min="13844" max="13844" width="8" style="6" customWidth="1"/>
    <col min="13845" max="13845" width="8.453125" style="6" customWidth="1"/>
    <col min="13846" max="13847" width="10.90625" style="6" customWidth="1"/>
    <col min="13848" max="13850" width="11.453125" style="6" customWidth="1"/>
    <col min="13851" max="13851" width="10.6328125" style="6" customWidth="1"/>
    <col min="13852" max="13852" width="7.90625" style="6" customWidth="1"/>
    <col min="13853" max="13853" width="11.453125" style="6" customWidth="1"/>
    <col min="13854" max="13858" width="8.6328125" style="6" customWidth="1"/>
    <col min="13859" max="14080" width="11.453125" style="6"/>
    <col min="14081" max="14081" width="12.453125" style="6" customWidth="1"/>
    <col min="14082" max="14082" width="9.6328125" style="6" customWidth="1"/>
    <col min="14083" max="14083" width="10.08984375" style="6" customWidth="1"/>
    <col min="14084" max="14086" width="10.453125" style="6" customWidth="1"/>
    <col min="14087" max="14087" width="3" style="6" customWidth="1"/>
    <col min="14088" max="14088" width="9.36328125" style="6" customWidth="1"/>
    <col min="14089" max="14089" width="10.6328125" style="6" customWidth="1"/>
    <col min="14090" max="14090" width="9.08984375" style="6" customWidth="1"/>
    <col min="14091" max="14091" width="3" style="6" customWidth="1"/>
    <col min="14092" max="14092" width="3.90625" style="6" customWidth="1"/>
    <col min="14093" max="14093" width="9.08984375" style="6" customWidth="1"/>
    <col min="14094" max="14094" width="10.36328125" style="6" customWidth="1"/>
    <col min="14095" max="14095" width="5.453125" style="6" customWidth="1"/>
    <col min="14096" max="14096" width="7" style="6" customWidth="1"/>
    <col min="14097" max="14099" width="7.453125" style="6" customWidth="1"/>
    <col min="14100" max="14100" width="8" style="6" customWidth="1"/>
    <col min="14101" max="14101" width="8.453125" style="6" customWidth="1"/>
    <col min="14102" max="14103" width="10.90625" style="6" customWidth="1"/>
    <col min="14104" max="14106" width="11.453125" style="6" customWidth="1"/>
    <col min="14107" max="14107" width="10.6328125" style="6" customWidth="1"/>
    <col min="14108" max="14108" width="7.90625" style="6" customWidth="1"/>
    <col min="14109" max="14109" width="11.453125" style="6" customWidth="1"/>
    <col min="14110" max="14114" width="8.6328125" style="6" customWidth="1"/>
    <col min="14115" max="14336" width="11.453125" style="6"/>
    <col min="14337" max="14337" width="12.453125" style="6" customWidth="1"/>
    <col min="14338" max="14338" width="9.6328125" style="6" customWidth="1"/>
    <col min="14339" max="14339" width="10.08984375" style="6" customWidth="1"/>
    <col min="14340" max="14342" width="10.453125" style="6" customWidth="1"/>
    <col min="14343" max="14343" width="3" style="6" customWidth="1"/>
    <col min="14344" max="14344" width="9.36328125" style="6" customWidth="1"/>
    <col min="14345" max="14345" width="10.6328125" style="6" customWidth="1"/>
    <col min="14346" max="14346" width="9.08984375" style="6" customWidth="1"/>
    <col min="14347" max="14347" width="3" style="6" customWidth="1"/>
    <col min="14348" max="14348" width="3.90625" style="6" customWidth="1"/>
    <col min="14349" max="14349" width="9.08984375" style="6" customWidth="1"/>
    <col min="14350" max="14350" width="10.36328125" style="6" customWidth="1"/>
    <col min="14351" max="14351" width="5.453125" style="6" customWidth="1"/>
    <col min="14352" max="14352" width="7" style="6" customWidth="1"/>
    <col min="14353" max="14355" width="7.453125" style="6" customWidth="1"/>
    <col min="14356" max="14356" width="8" style="6" customWidth="1"/>
    <col min="14357" max="14357" width="8.453125" style="6" customWidth="1"/>
    <col min="14358" max="14359" width="10.90625" style="6" customWidth="1"/>
    <col min="14360" max="14362" width="11.453125" style="6" customWidth="1"/>
    <col min="14363" max="14363" width="10.6328125" style="6" customWidth="1"/>
    <col min="14364" max="14364" width="7.90625" style="6" customWidth="1"/>
    <col min="14365" max="14365" width="11.453125" style="6" customWidth="1"/>
    <col min="14366" max="14370" width="8.6328125" style="6" customWidth="1"/>
    <col min="14371" max="14592" width="11.453125" style="6"/>
    <col min="14593" max="14593" width="12.453125" style="6" customWidth="1"/>
    <col min="14594" max="14594" width="9.6328125" style="6" customWidth="1"/>
    <col min="14595" max="14595" width="10.08984375" style="6" customWidth="1"/>
    <col min="14596" max="14598" width="10.453125" style="6" customWidth="1"/>
    <col min="14599" max="14599" width="3" style="6" customWidth="1"/>
    <col min="14600" max="14600" width="9.36328125" style="6" customWidth="1"/>
    <col min="14601" max="14601" width="10.6328125" style="6" customWidth="1"/>
    <col min="14602" max="14602" width="9.08984375" style="6" customWidth="1"/>
    <col min="14603" max="14603" width="3" style="6" customWidth="1"/>
    <col min="14604" max="14604" width="3.90625" style="6" customWidth="1"/>
    <col min="14605" max="14605" width="9.08984375" style="6" customWidth="1"/>
    <col min="14606" max="14606" width="10.36328125" style="6" customWidth="1"/>
    <col min="14607" max="14607" width="5.453125" style="6" customWidth="1"/>
    <col min="14608" max="14608" width="7" style="6" customWidth="1"/>
    <col min="14609" max="14611" width="7.453125" style="6" customWidth="1"/>
    <col min="14612" max="14612" width="8" style="6" customWidth="1"/>
    <col min="14613" max="14613" width="8.453125" style="6" customWidth="1"/>
    <col min="14614" max="14615" width="10.90625" style="6" customWidth="1"/>
    <col min="14616" max="14618" width="11.453125" style="6" customWidth="1"/>
    <col min="14619" max="14619" width="10.6328125" style="6" customWidth="1"/>
    <col min="14620" max="14620" width="7.90625" style="6" customWidth="1"/>
    <col min="14621" max="14621" width="11.453125" style="6" customWidth="1"/>
    <col min="14622" max="14626" width="8.6328125" style="6" customWidth="1"/>
    <col min="14627" max="14848" width="11.453125" style="6"/>
    <col min="14849" max="14849" width="12.453125" style="6" customWidth="1"/>
    <col min="14850" max="14850" width="9.6328125" style="6" customWidth="1"/>
    <col min="14851" max="14851" width="10.08984375" style="6" customWidth="1"/>
    <col min="14852" max="14854" width="10.453125" style="6" customWidth="1"/>
    <col min="14855" max="14855" width="3" style="6" customWidth="1"/>
    <col min="14856" max="14856" width="9.36328125" style="6" customWidth="1"/>
    <col min="14857" max="14857" width="10.6328125" style="6" customWidth="1"/>
    <col min="14858" max="14858" width="9.08984375" style="6" customWidth="1"/>
    <col min="14859" max="14859" width="3" style="6" customWidth="1"/>
    <col min="14860" max="14860" width="3.90625" style="6" customWidth="1"/>
    <col min="14861" max="14861" width="9.08984375" style="6" customWidth="1"/>
    <col min="14862" max="14862" width="10.36328125" style="6" customWidth="1"/>
    <col min="14863" max="14863" width="5.453125" style="6" customWidth="1"/>
    <col min="14864" max="14864" width="7" style="6" customWidth="1"/>
    <col min="14865" max="14867" width="7.453125" style="6" customWidth="1"/>
    <col min="14868" max="14868" width="8" style="6" customWidth="1"/>
    <col min="14869" max="14869" width="8.453125" style="6" customWidth="1"/>
    <col min="14870" max="14871" width="10.90625" style="6" customWidth="1"/>
    <col min="14872" max="14874" width="11.453125" style="6" customWidth="1"/>
    <col min="14875" max="14875" width="10.6328125" style="6" customWidth="1"/>
    <col min="14876" max="14876" width="7.90625" style="6" customWidth="1"/>
    <col min="14877" max="14877" width="11.453125" style="6" customWidth="1"/>
    <col min="14878" max="14882" width="8.6328125" style="6" customWidth="1"/>
    <col min="14883" max="15104" width="11.453125" style="6"/>
    <col min="15105" max="15105" width="12.453125" style="6" customWidth="1"/>
    <col min="15106" max="15106" width="9.6328125" style="6" customWidth="1"/>
    <col min="15107" max="15107" width="10.08984375" style="6" customWidth="1"/>
    <col min="15108" max="15110" width="10.453125" style="6" customWidth="1"/>
    <col min="15111" max="15111" width="3" style="6" customWidth="1"/>
    <col min="15112" max="15112" width="9.36328125" style="6" customWidth="1"/>
    <col min="15113" max="15113" width="10.6328125" style="6" customWidth="1"/>
    <col min="15114" max="15114" width="9.08984375" style="6" customWidth="1"/>
    <col min="15115" max="15115" width="3" style="6" customWidth="1"/>
    <col min="15116" max="15116" width="3.90625" style="6" customWidth="1"/>
    <col min="15117" max="15117" width="9.08984375" style="6" customWidth="1"/>
    <col min="15118" max="15118" width="10.36328125" style="6" customWidth="1"/>
    <col min="15119" max="15119" width="5.453125" style="6" customWidth="1"/>
    <col min="15120" max="15120" width="7" style="6" customWidth="1"/>
    <col min="15121" max="15123" width="7.453125" style="6" customWidth="1"/>
    <col min="15124" max="15124" width="8" style="6" customWidth="1"/>
    <col min="15125" max="15125" width="8.453125" style="6" customWidth="1"/>
    <col min="15126" max="15127" width="10.90625" style="6" customWidth="1"/>
    <col min="15128" max="15130" width="11.453125" style="6" customWidth="1"/>
    <col min="15131" max="15131" width="10.6328125" style="6" customWidth="1"/>
    <col min="15132" max="15132" width="7.90625" style="6" customWidth="1"/>
    <col min="15133" max="15133" width="11.453125" style="6" customWidth="1"/>
    <col min="15134" max="15138" width="8.6328125" style="6" customWidth="1"/>
    <col min="15139" max="15360" width="11.453125" style="6"/>
    <col min="15361" max="15361" width="12.453125" style="6" customWidth="1"/>
    <col min="15362" max="15362" width="9.6328125" style="6" customWidth="1"/>
    <col min="15363" max="15363" width="10.08984375" style="6" customWidth="1"/>
    <col min="15364" max="15366" width="10.453125" style="6" customWidth="1"/>
    <col min="15367" max="15367" width="3" style="6" customWidth="1"/>
    <col min="15368" max="15368" width="9.36328125" style="6" customWidth="1"/>
    <col min="15369" max="15369" width="10.6328125" style="6" customWidth="1"/>
    <col min="15370" max="15370" width="9.08984375" style="6" customWidth="1"/>
    <col min="15371" max="15371" width="3" style="6" customWidth="1"/>
    <col min="15372" max="15372" width="3.90625" style="6" customWidth="1"/>
    <col min="15373" max="15373" width="9.08984375" style="6" customWidth="1"/>
    <col min="15374" max="15374" width="10.36328125" style="6" customWidth="1"/>
    <col min="15375" max="15375" width="5.453125" style="6" customWidth="1"/>
    <col min="15376" max="15376" width="7" style="6" customWidth="1"/>
    <col min="15377" max="15379" width="7.453125" style="6" customWidth="1"/>
    <col min="15380" max="15380" width="8" style="6" customWidth="1"/>
    <col min="15381" max="15381" width="8.453125" style="6" customWidth="1"/>
    <col min="15382" max="15383" width="10.90625" style="6" customWidth="1"/>
    <col min="15384" max="15386" width="11.453125" style="6" customWidth="1"/>
    <col min="15387" max="15387" width="10.6328125" style="6" customWidth="1"/>
    <col min="15388" max="15388" width="7.90625" style="6" customWidth="1"/>
    <col min="15389" max="15389" width="11.453125" style="6" customWidth="1"/>
    <col min="15390" max="15394" width="8.6328125" style="6" customWidth="1"/>
    <col min="15395" max="15616" width="11.453125" style="6"/>
    <col min="15617" max="15617" width="12.453125" style="6" customWidth="1"/>
    <col min="15618" max="15618" width="9.6328125" style="6" customWidth="1"/>
    <col min="15619" max="15619" width="10.08984375" style="6" customWidth="1"/>
    <col min="15620" max="15622" width="10.453125" style="6" customWidth="1"/>
    <col min="15623" max="15623" width="3" style="6" customWidth="1"/>
    <col min="15624" max="15624" width="9.36328125" style="6" customWidth="1"/>
    <col min="15625" max="15625" width="10.6328125" style="6" customWidth="1"/>
    <col min="15626" max="15626" width="9.08984375" style="6" customWidth="1"/>
    <col min="15627" max="15627" width="3" style="6" customWidth="1"/>
    <col min="15628" max="15628" width="3.90625" style="6" customWidth="1"/>
    <col min="15629" max="15629" width="9.08984375" style="6" customWidth="1"/>
    <col min="15630" max="15630" width="10.36328125" style="6" customWidth="1"/>
    <col min="15631" max="15631" width="5.453125" style="6" customWidth="1"/>
    <col min="15632" max="15632" width="7" style="6" customWidth="1"/>
    <col min="15633" max="15635" width="7.453125" style="6" customWidth="1"/>
    <col min="15636" max="15636" width="8" style="6" customWidth="1"/>
    <col min="15637" max="15637" width="8.453125" style="6" customWidth="1"/>
    <col min="15638" max="15639" width="10.90625" style="6" customWidth="1"/>
    <col min="15640" max="15642" width="11.453125" style="6" customWidth="1"/>
    <col min="15643" max="15643" width="10.6328125" style="6" customWidth="1"/>
    <col min="15644" max="15644" width="7.90625" style="6" customWidth="1"/>
    <col min="15645" max="15645" width="11.453125" style="6" customWidth="1"/>
    <col min="15646" max="15650" width="8.6328125" style="6" customWidth="1"/>
    <col min="15651" max="15872" width="11.453125" style="6"/>
    <col min="15873" max="15873" width="12.453125" style="6" customWidth="1"/>
    <col min="15874" max="15874" width="9.6328125" style="6" customWidth="1"/>
    <col min="15875" max="15875" width="10.08984375" style="6" customWidth="1"/>
    <col min="15876" max="15878" width="10.453125" style="6" customWidth="1"/>
    <col min="15879" max="15879" width="3" style="6" customWidth="1"/>
    <col min="15880" max="15880" width="9.36328125" style="6" customWidth="1"/>
    <col min="15881" max="15881" width="10.6328125" style="6" customWidth="1"/>
    <col min="15882" max="15882" width="9.08984375" style="6" customWidth="1"/>
    <col min="15883" max="15883" width="3" style="6" customWidth="1"/>
    <col min="15884" max="15884" width="3.90625" style="6" customWidth="1"/>
    <col min="15885" max="15885" width="9.08984375" style="6" customWidth="1"/>
    <col min="15886" max="15886" width="10.36328125" style="6" customWidth="1"/>
    <col min="15887" max="15887" width="5.453125" style="6" customWidth="1"/>
    <col min="15888" max="15888" width="7" style="6" customWidth="1"/>
    <col min="15889" max="15891" width="7.453125" style="6" customWidth="1"/>
    <col min="15892" max="15892" width="8" style="6" customWidth="1"/>
    <col min="15893" max="15893" width="8.453125" style="6" customWidth="1"/>
    <col min="15894" max="15895" width="10.90625" style="6" customWidth="1"/>
    <col min="15896" max="15898" width="11.453125" style="6" customWidth="1"/>
    <col min="15899" max="15899" width="10.6328125" style="6" customWidth="1"/>
    <col min="15900" max="15900" width="7.90625" style="6" customWidth="1"/>
    <col min="15901" max="15901" width="11.453125" style="6" customWidth="1"/>
    <col min="15902" max="15906" width="8.6328125" style="6" customWidth="1"/>
    <col min="15907" max="16128" width="11.453125" style="6"/>
    <col min="16129" max="16129" width="12.453125" style="6" customWidth="1"/>
    <col min="16130" max="16130" width="9.6328125" style="6" customWidth="1"/>
    <col min="16131" max="16131" width="10.08984375" style="6" customWidth="1"/>
    <col min="16132" max="16134" width="10.453125" style="6" customWidth="1"/>
    <col min="16135" max="16135" width="3" style="6" customWidth="1"/>
    <col min="16136" max="16136" width="9.36328125" style="6" customWidth="1"/>
    <col min="16137" max="16137" width="10.6328125" style="6" customWidth="1"/>
    <col min="16138" max="16138" width="9.08984375" style="6" customWidth="1"/>
    <col min="16139" max="16139" width="3" style="6" customWidth="1"/>
    <col min="16140" max="16140" width="3.90625" style="6" customWidth="1"/>
    <col min="16141" max="16141" width="9.08984375" style="6" customWidth="1"/>
    <col min="16142" max="16142" width="10.36328125" style="6" customWidth="1"/>
    <col min="16143" max="16143" width="5.453125" style="6" customWidth="1"/>
    <col min="16144" max="16144" width="7" style="6" customWidth="1"/>
    <col min="16145" max="16147" width="7.453125" style="6" customWidth="1"/>
    <col min="16148" max="16148" width="8" style="6" customWidth="1"/>
    <col min="16149" max="16149" width="8.453125" style="6" customWidth="1"/>
    <col min="16150" max="16151" width="10.90625" style="6" customWidth="1"/>
    <col min="16152" max="16154" width="11.453125" style="6" customWidth="1"/>
    <col min="16155" max="16155" width="10.6328125" style="6" customWidth="1"/>
    <col min="16156" max="16156" width="7.90625" style="6" customWidth="1"/>
    <col min="16157" max="16157" width="11.453125" style="6" customWidth="1"/>
    <col min="16158" max="16162" width="8.6328125" style="6" customWidth="1"/>
    <col min="16163" max="16384" width="11.453125" style="6"/>
  </cols>
  <sheetData>
    <row r="1" spans="1:34" ht="13.5" thickBot="1">
      <c r="B1" s="9" t="s">
        <v>23</v>
      </c>
      <c r="C1" s="6">
        <f>SUMPRODUCT(B5:B99,E5:E99)</f>
        <v>15.959404961053105</v>
      </c>
      <c r="I1" s="12">
        <f>H17</f>
        <v>3287.7263415831103</v>
      </c>
      <c r="J1" s="13"/>
      <c r="K1" s="13"/>
      <c r="L1" s="14"/>
      <c r="M1" s="15"/>
      <c r="P1" s="17" t="s">
        <v>24</v>
      </c>
      <c r="V1" s="18">
        <f>SUMPRODUCT(V5:V99,E5:E99)</f>
        <v>2172.3885152782636</v>
      </c>
    </row>
    <row r="2" spans="1:34">
      <c r="B2" s="9" t="s">
        <v>12</v>
      </c>
      <c r="C2" s="20"/>
      <c r="I2" s="8">
        <v>3.7414999999999998E-16</v>
      </c>
      <c r="N2" s="22" t="s">
        <v>25</v>
      </c>
      <c r="Z2" s="19"/>
      <c r="AA2" s="19"/>
      <c r="AB2" s="19"/>
    </row>
    <row r="3" spans="1:34">
      <c r="B3" s="9" t="s">
        <v>12</v>
      </c>
      <c r="C3" s="18" t="s">
        <v>26</v>
      </c>
      <c r="D3" s="10" t="s">
        <v>27</v>
      </c>
      <c r="E3" s="23"/>
      <c r="I3" s="8">
        <v>1.4388E-2</v>
      </c>
      <c r="J3" s="20" t="s">
        <v>28</v>
      </c>
      <c r="K3" s="20"/>
      <c r="L3" s="24"/>
      <c r="M3" s="25"/>
      <c r="N3" s="22" t="s">
        <v>29</v>
      </c>
      <c r="T3" s="26" t="s">
        <v>30</v>
      </c>
      <c r="U3" s="27">
        <f>I1</f>
        <v>3287.7263415831103</v>
      </c>
      <c r="V3" s="18" t="s">
        <v>31</v>
      </c>
      <c r="W3" s="18" t="s">
        <v>32</v>
      </c>
      <c r="Z3" s="19"/>
      <c r="AA3" s="19"/>
      <c r="AB3" s="19"/>
      <c r="AH3" s="7"/>
    </row>
    <row r="4" spans="1:34" ht="11.5">
      <c r="A4" s="6" t="s">
        <v>33</v>
      </c>
      <c r="B4" s="28" t="s">
        <v>199</v>
      </c>
      <c r="C4" s="18" t="s">
        <v>34</v>
      </c>
      <c r="D4" s="29" t="s">
        <v>35</v>
      </c>
      <c r="E4" s="29" t="s">
        <v>36</v>
      </c>
      <c r="F4" s="29" t="s">
        <v>37</v>
      </c>
      <c r="I4" s="30" t="s">
        <v>38</v>
      </c>
      <c r="J4" s="31" t="s">
        <v>39</v>
      </c>
      <c r="K4" s="32"/>
      <c r="M4" s="33"/>
      <c r="N4" s="22" t="s">
        <v>40</v>
      </c>
      <c r="P4" s="17" t="s">
        <v>41</v>
      </c>
      <c r="Q4" s="6" t="s">
        <v>42</v>
      </c>
      <c r="R4" s="6" t="s">
        <v>43</v>
      </c>
      <c r="S4" s="6" t="s">
        <v>44</v>
      </c>
      <c r="V4" s="18" t="s">
        <v>45</v>
      </c>
      <c r="W4" s="18" t="s">
        <v>28</v>
      </c>
      <c r="Z4" s="19"/>
      <c r="AA4" s="19"/>
      <c r="AB4" s="19"/>
      <c r="AE4" s="34"/>
      <c r="AF4" s="34"/>
    </row>
    <row r="5" spans="1:34" ht="11.5">
      <c r="A5" s="232">
        <v>360</v>
      </c>
      <c r="B5" s="233">
        <v>0</v>
      </c>
      <c r="C5" s="234">
        <f t="shared" ref="C5:C68" si="0">B5/$C$1*100</f>
        <v>0</v>
      </c>
      <c r="D5" s="235">
        <f>CMFs!B2</f>
        <v>1.2990000000000001E-4</v>
      </c>
      <c r="E5" s="235">
        <f>CMFs!C2</f>
        <v>3.9169999999999999E-6</v>
      </c>
      <c r="F5" s="235">
        <f>CMFs!D2</f>
        <v>6.0610000000000004E-4</v>
      </c>
      <c r="G5" s="35"/>
      <c r="H5" s="35" t="s">
        <v>26</v>
      </c>
      <c r="I5" s="232">
        <v>0</v>
      </c>
      <c r="J5" s="236">
        <f>I5/$I$101*100</f>
        <v>0</v>
      </c>
      <c r="K5" s="236"/>
      <c r="L5" s="237"/>
      <c r="M5" s="238" t="s">
        <v>46</v>
      </c>
      <c r="N5" s="231">
        <f t="shared" ref="N5:N69" si="1">J5*$U$23+W5*$U$24</f>
        <v>0</v>
      </c>
      <c r="O5" s="239" t="s">
        <v>47</v>
      </c>
      <c r="P5" s="240">
        <v>360</v>
      </c>
      <c r="Q5" s="241">
        <v>61.5</v>
      </c>
      <c r="R5" s="241">
        <v>38</v>
      </c>
      <c r="S5" s="241">
        <v>5.3</v>
      </c>
      <c r="T5" s="6" t="s">
        <v>48</v>
      </c>
      <c r="V5" s="241">
        <v>0</v>
      </c>
      <c r="W5" s="234">
        <f>V5/$V$1*100</f>
        <v>0</v>
      </c>
      <c r="Z5" s="19"/>
      <c r="AA5" s="248"/>
      <c r="AB5" s="19"/>
      <c r="AE5" s="42"/>
      <c r="AF5" s="42"/>
    </row>
    <row r="6" spans="1:34" ht="11.5">
      <c r="A6" s="232">
        <v>365</v>
      </c>
      <c r="B6" s="233">
        <v>0</v>
      </c>
      <c r="C6" s="234">
        <f t="shared" si="0"/>
        <v>0</v>
      </c>
      <c r="D6" s="235">
        <f>CMFs!B3</f>
        <v>2.321E-4</v>
      </c>
      <c r="E6" s="235">
        <f>CMFs!C3</f>
        <v>6.9650000000000002E-6</v>
      </c>
      <c r="F6" s="235">
        <f>CMFs!D3</f>
        <v>1.0859999999999999E-3</v>
      </c>
      <c r="G6" s="35"/>
      <c r="H6" s="35" t="s">
        <v>49</v>
      </c>
      <c r="I6" s="232">
        <v>0</v>
      </c>
      <c r="J6" s="236">
        <f t="shared" ref="J6:J69" si="2">I6/$I$101*100</f>
        <v>0</v>
      </c>
      <c r="K6" s="236"/>
      <c r="L6" s="237"/>
      <c r="M6" s="236"/>
      <c r="N6" s="231">
        <f t="shared" si="1"/>
        <v>0</v>
      </c>
      <c r="O6" s="232"/>
      <c r="P6" s="240">
        <v>365</v>
      </c>
      <c r="Q6" s="241">
        <v>65.150000000000006</v>
      </c>
      <c r="R6" s="241">
        <v>40.200000000000003</v>
      </c>
      <c r="S6" s="241">
        <v>5.7</v>
      </c>
      <c r="T6" s="7" t="s">
        <v>50</v>
      </c>
      <c r="U6" s="44">
        <f>-4.607*10^9/U3^3+2.9678*10^6/U3^2+0.09911*10^3/U3+0.244063</f>
        <v>0.41913459917542484</v>
      </c>
      <c r="V6" s="241">
        <v>0</v>
      </c>
      <c r="W6" s="234">
        <f t="shared" ref="W6:W69" si="3">V6/$V$1*100</f>
        <v>0</v>
      </c>
      <c r="Z6" s="19"/>
      <c r="AA6" s="248"/>
      <c r="AB6" s="19"/>
      <c r="AD6" s="45"/>
      <c r="AE6" s="46"/>
      <c r="AF6" s="46"/>
    </row>
    <row r="7" spans="1:34" ht="11.5">
      <c r="A7" s="232">
        <v>370</v>
      </c>
      <c r="B7" s="233">
        <v>0</v>
      </c>
      <c r="C7" s="234">
        <f t="shared" si="0"/>
        <v>0</v>
      </c>
      <c r="D7" s="235">
        <f>CMFs!B4</f>
        <v>4.149E-4</v>
      </c>
      <c r="E7" s="235">
        <f>CMFs!C4</f>
        <v>1.239E-5</v>
      </c>
      <c r="F7" s="235">
        <f>CMFs!D4</f>
        <v>1.946E-3</v>
      </c>
      <c r="G7" s="35"/>
      <c r="H7" s="242">
        <f>MAX(B5:B99)</f>
        <v>0.99971044499709616</v>
      </c>
      <c r="I7" s="232">
        <v>0</v>
      </c>
      <c r="J7" s="236">
        <f t="shared" si="2"/>
        <v>0</v>
      </c>
      <c r="K7" s="236"/>
      <c r="L7" s="237"/>
      <c r="M7" s="236"/>
      <c r="N7" s="231">
        <f t="shared" si="1"/>
        <v>0</v>
      </c>
      <c r="O7" s="232"/>
      <c r="P7" s="240">
        <v>370</v>
      </c>
      <c r="Q7" s="241">
        <v>68.8</v>
      </c>
      <c r="R7" s="241">
        <v>42.4</v>
      </c>
      <c r="S7" s="241">
        <v>6.1</v>
      </c>
      <c r="T7" s="7"/>
      <c r="U7" s="44"/>
      <c r="V7" s="241">
        <v>0</v>
      </c>
      <c r="W7" s="234">
        <f t="shared" si="3"/>
        <v>0</v>
      </c>
      <c r="Z7" s="19"/>
      <c r="AA7" s="248"/>
      <c r="AB7" s="19"/>
      <c r="AD7" s="45"/>
      <c r="AE7" s="46"/>
      <c r="AF7" s="46"/>
    </row>
    <row r="8" spans="1:34" ht="11.5">
      <c r="A8" s="232">
        <v>375</v>
      </c>
      <c r="B8" s="233">
        <v>0</v>
      </c>
      <c r="C8" s="234">
        <f t="shared" si="0"/>
        <v>0</v>
      </c>
      <c r="D8" s="235">
        <f>CMFs!B5</f>
        <v>7.4160000000000003E-4</v>
      </c>
      <c r="E8" s="235">
        <f>CMFs!C5</f>
        <v>2.2019999999999999E-5</v>
      </c>
      <c r="F8" s="235">
        <f>CMFs!D5</f>
        <v>3.4859999999999999E-3</v>
      </c>
      <c r="G8" s="35"/>
      <c r="H8" s="35"/>
      <c r="I8" s="232">
        <v>0</v>
      </c>
      <c r="J8" s="236">
        <f t="shared" si="2"/>
        <v>0</v>
      </c>
      <c r="K8" s="236"/>
      <c r="L8" s="237"/>
      <c r="M8" s="236"/>
      <c r="N8" s="231">
        <f t="shared" si="1"/>
        <v>0</v>
      </c>
      <c r="O8" s="232"/>
      <c r="P8" s="240">
        <v>375</v>
      </c>
      <c r="Q8" s="241">
        <v>66.099999999999994</v>
      </c>
      <c r="R8" s="241">
        <v>40.450000000000003</v>
      </c>
      <c r="S8" s="241">
        <v>4.55</v>
      </c>
      <c r="T8" s="6" t="s">
        <v>51</v>
      </c>
      <c r="U8" s="44"/>
      <c r="V8" s="241">
        <v>0</v>
      </c>
      <c r="W8" s="234">
        <f t="shared" si="3"/>
        <v>0</v>
      </c>
      <c r="Z8" s="19"/>
      <c r="AA8" s="248"/>
      <c r="AB8" s="19"/>
      <c r="AD8" s="45"/>
      <c r="AE8" s="46"/>
      <c r="AF8" s="46"/>
    </row>
    <row r="9" spans="1:34" ht="11.5">
      <c r="A9" s="6">
        <v>380</v>
      </c>
      <c r="B9" s="28">
        <f>'Color metric'!B3</f>
        <v>1.4396733015463708E-4</v>
      </c>
      <c r="C9" s="35">
        <f t="shared" si="0"/>
        <v>9.0208457336580551E-4</v>
      </c>
      <c r="D9" s="36">
        <f>CMFs!B6</f>
        <v>1.3680000000000001E-3</v>
      </c>
      <c r="E9" s="36">
        <f>CMFs!C6</f>
        <v>3.8999999999999999E-5</v>
      </c>
      <c r="F9" s="36">
        <f>CMFs!D6</f>
        <v>6.4500010000000003E-3</v>
      </c>
      <c r="G9" s="47"/>
      <c r="H9" s="48" t="s">
        <v>26</v>
      </c>
      <c r="I9" s="6">
        <f t="shared" ref="I9:I16" si="4">$I$2/((A9*0.000000001)^5)/(EXP($I$3/(A9*0.000000001*$I$1))-1)</f>
        <v>470513512108.14441</v>
      </c>
      <c r="J9" s="37">
        <f t="shared" si="2"/>
        <v>0.80724629797986758</v>
      </c>
      <c r="K9" s="37"/>
      <c r="L9" s="49"/>
      <c r="M9" s="50" t="s">
        <v>29</v>
      </c>
      <c r="N9" s="39">
        <f t="shared" si="1"/>
        <v>0.80724629797986758</v>
      </c>
      <c r="P9" s="17">
        <v>380</v>
      </c>
      <c r="Q9" s="40">
        <v>63.4</v>
      </c>
      <c r="R9" s="40">
        <v>38.5</v>
      </c>
      <c r="S9" s="40">
        <v>3</v>
      </c>
      <c r="T9" s="7" t="s">
        <v>50</v>
      </c>
      <c r="U9" s="44">
        <f>-2.0064*10^9/U3^3+1.9018*10^6/U3^2+0.24748*10^3/U3+0.23704</f>
        <v>0.43179886783225924</v>
      </c>
      <c r="V9" s="41">
        <f t="shared" ref="V9:V69" si="5">Q9+R9*U$15+S9*U$16</f>
        <v>18.191044326849614</v>
      </c>
      <c r="W9" s="35">
        <f t="shared" si="3"/>
        <v>0.83737527605735396</v>
      </c>
      <c r="Z9" s="19"/>
      <c r="AA9" s="248"/>
      <c r="AB9" s="249"/>
      <c r="AD9" s="45"/>
      <c r="AE9" s="46"/>
      <c r="AF9" s="46"/>
    </row>
    <row r="10" spans="1:34">
      <c r="A10" s="6">
        <v>385</v>
      </c>
      <c r="B10" s="28">
        <f>'Color metric'!B4</f>
        <v>2.9298082863773311E-4</v>
      </c>
      <c r="C10" s="35">
        <f t="shared" si="0"/>
        <v>1.8357879216218619E-3</v>
      </c>
      <c r="D10" s="36">
        <f>CMFs!B7</f>
        <v>2.2360000000000001E-3</v>
      </c>
      <c r="E10" s="36">
        <f>CMFs!C7</f>
        <v>6.3999999999999997E-5</v>
      </c>
      <c r="F10" s="36">
        <f>CMFs!D7</f>
        <v>1.054999E-2</v>
      </c>
      <c r="G10" s="51" t="s">
        <v>52</v>
      </c>
      <c r="H10" s="52">
        <f>SUMPRODUCT(C5:C99,D5:D99)</f>
        <v>105.49281278880375</v>
      </c>
      <c r="I10" s="6">
        <f t="shared" si="4"/>
        <v>511849706032.49042</v>
      </c>
      <c r="J10" s="37">
        <f t="shared" si="2"/>
        <v>0.8781655992524241</v>
      </c>
      <c r="K10" s="37"/>
      <c r="L10" s="53" t="s">
        <v>52</v>
      </c>
      <c r="M10" s="54">
        <f>SUMPRODUCT(N5:N99,D5:D99)</f>
        <v>105.34844176409803</v>
      </c>
      <c r="N10" s="39">
        <f t="shared" si="1"/>
        <v>0.8781655992524241</v>
      </c>
      <c r="P10" s="17">
        <v>385</v>
      </c>
      <c r="Q10" s="40">
        <v>64.599999999999994</v>
      </c>
      <c r="R10" s="40">
        <v>36.75</v>
      </c>
      <c r="S10" s="40">
        <v>2.1</v>
      </c>
      <c r="V10" s="41">
        <f t="shared" si="5"/>
        <v>16.319551036093554</v>
      </c>
      <c r="W10" s="35">
        <f t="shared" si="3"/>
        <v>0.75122616978129086</v>
      </c>
      <c r="Z10" s="19"/>
      <c r="AA10" s="248"/>
      <c r="AB10" s="250"/>
      <c r="AD10" s="45"/>
      <c r="AE10" s="46"/>
      <c r="AF10" s="46"/>
    </row>
    <row r="11" spans="1:34" ht="11.5">
      <c r="A11" s="6">
        <v>390</v>
      </c>
      <c r="B11" s="28">
        <f>'Color metric'!B5</f>
        <v>5.9622971368804355E-4</v>
      </c>
      <c r="C11" s="35">
        <f t="shared" si="0"/>
        <v>3.735914435049842E-3</v>
      </c>
      <c r="D11" s="36">
        <f>CMFs!B8</f>
        <v>4.2430000000000002E-3</v>
      </c>
      <c r="E11" s="36">
        <f>CMFs!C8</f>
        <v>1.2E-4</v>
      </c>
      <c r="F11" s="36">
        <f>CMFs!D8</f>
        <v>2.005001E-2</v>
      </c>
      <c r="G11" s="51" t="s">
        <v>53</v>
      </c>
      <c r="H11" s="52">
        <f>SUMPRODUCT(C5:C99,E5:E99)</f>
        <v>99.999999999999986</v>
      </c>
      <c r="I11" s="6">
        <f t="shared" si="4"/>
        <v>555154241784.90735</v>
      </c>
      <c r="J11" s="37">
        <f t="shared" si="2"/>
        <v>0.95246192714160194</v>
      </c>
      <c r="K11" s="37"/>
      <c r="L11" s="53" t="s">
        <v>53</v>
      </c>
      <c r="M11" s="54">
        <f>SUMPRODUCT(N5:N99,E5:E99)</f>
        <v>100.00000000000006</v>
      </c>
      <c r="N11" s="39">
        <f t="shared" si="1"/>
        <v>0.95246192714160194</v>
      </c>
      <c r="P11" s="17">
        <v>390</v>
      </c>
      <c r="Q11" s="40">
        <v>65.8</v>
      </c>
      <c r="R11" s="40">
        <v>35</v>
      </c>
      <c r="S11" s="40">
        <v>1.2</v>
      </c>
      <c r="T11" s="6" t="s">
        <v>54</v>
      </c>
      <c r="V11" s="41">
        <f t="shared" si="5"/>
        <v>14.448057745337499</v>
      </c>
      <c r="W11" s="35">
        <f t="shared" si="3"/>
        <v>0.66507706350522811</v>
      </c>
      <c r="Z11" s="19"/>
      <c r="AA11" s="251"/>
      <c r="AB11" s="252"/>
      <c r="AE11" s="42"/>
      <c r="AF11" s="42"/>
    </row>
    <row r="12" spans="1:34" ht="11.5">
      <c r="A12" s="6">
        <v>395</v>
      </c>
      <c r="B12" s="28">
        <f>'Color metric'!B6</f>
        <v>1.2133506306679959E-3</v>
      </c>
      <c r="C12" s="35">
        <f t="shared" si="0"/>
        <v>7.602731014276682E-3</v>
      </c>
      <c r="D12" s="36">
        <f>CMFs!B9</f>
        <v>7.6499999999999997E-3</v>
      </c>
      <c r="E12" s="36">
        <f>CMFs!C9</f>
        <v>2.1699999999999999E-4</v>
      </c>
      <c r="F12" s="36">
        <f>CMFs!D9</f>
        <v>3.6209999999999999E-2</v>
      </c>
      <c r="G12" s="51" t="s">
        <v>55</v>
      </c>
      <c r="H12" s="55">
        <f>SUMPRODUCT(C5:C99,F5:F99)</f>
        <v>47.223038303232215</v>
      </c>
      <c r="I12" s="6">
        <f t="shared" si="4"/>
        <v>600398552862.73743</v>
      </c>
      <c r="J12" s="37">
        <f t="shared" si="2"/>
        <v>1.030086270932675</v>
      </c>
      <c r="K12" s="37"/>
      <c r="L12" s="53" t="s">
        <v>55</v>
      </c>
      <c r="M12" s="56">
        <f>SUMPRODUCT(N5:N99,F5:F99)</f>
        <v>46.793690384015854</v>
      </c>
      <c r="N12" s="39">
        <f t="shared" si="1"/>
        <v>1.030086270932675</v>
      </c>
      <c r="P12" s="17">
        <v>395</v>
      </c>
      <c r="Q12" s="40">
        <v>80.3</v>
      </c>
      <c r="R12" s="40">
        <v>39.200000000000003</v>
      </c>
      <c r="S12" s="40">
        <v>0.05</v>
      </c>
      <c r="T12" s="7" t="s">
        <v>50</v>
      </c>
      <c r="U12" s="6">
        <f>IF(U3&lt;7000,U6,U9)</f>
        <v>0.41913459917542484</v>
      </c>
      <c r="V12" s="41">
        <f t="shared" si="5"/>
        <v>14.098940172260146</v>
      </c>
      <c r="W12" s="35">
        <f t="shared" si="3"/>
        <v>0.64900638505052111</v>
      </c>
      <c r="Z12" s="19"/>
      <c r="AA12" s="19"/>
      <c r="AB12" s="42"/>
      <c r="AE12" s="42"/>
      <c r="AF12" s="42"/>
    </row>
    <row r="13" spans="1:34" ht="11.5">
      <c r="A13" s="6">
        <v>400</v>
      </c>
      <c r="B13" s="28">
        <f>'Color metric'!B7</f>
        <v>2.4691959067545187E-3</v>
      </c>
      <c r="C13" s="35">
        <f t="shared" si="0"/>
        <v>1.5471729132635439E-2</v>
      </c>
      <c r="D13" s="36">
        <f>CMFs!B10</f>
        <v>1.431E-2</v>
      </c>
      <c r="E13" s="36">
        <f>CMFs!C10</f>
        <v>3.9599999999999998E-4</v>
      </c>
      <c r="F13" s="36">
        <f>CMFs!D10</f>
        <v>6.7850010000000002E-2</v>
      </c>
      <c r="G13" s="51" t="s">
        <v>56</v>
      </c>
      <c r="H13" s="55">
        <f>H10/(H10+H11+H12)</f>
        <v>0.41743646998377076</v>
      </c>
      <c r="I13" s="6">
        <f t="shared" si="4"/>
        <v>647547297771.56982</v>
      </c>
      <c r="J13" s="37">
        <f t="shared" si="2"/>
        <v>1.1109779962553352</v>
      </c>
      <c r="K13" s="37"/>
      <c r="L13" s="53" t="s">
        <v>56</v>
      </c>
      <c r="M13" s="56">
        <f>M10/(M10+M11+M12)</f>
        <v>0.41781371826511721</v>
      </c>
      <c r="N13" s="39">
        <f t="shared" si="1"/>
        <v>1.1109779962553352</v>
      </c>
      <c r="P13" s="17">
        <v>400</v>
      </c>
      <c r="Q13" s="40">
        <v>94.8</v>
      </c>
      <c r="R13" s="40">
        <v>43.4</v>
      </c>
      <c r="S13" s="40">
        <v>-1.1000000000000001</v>
      </c>
      <c r="T13" s="7" t="s">
        <v>57</v>
      </c>
      <c r="U13" s="44">
        <f>-3*U12^2+2.87*U12-0.275</f>
        <v>0.40089486295563714</v>
      </c>
      <c r="V13" s="41">
        <f t="shared" si="5"/>
        <v>13.749822599182794</v>
      </c>
      <c r="W13" s="35">
        <f t="shared" si="3"/>
        <v>0.63293570659581411</v>
      </c>
      <c r="Z13" s="19"/>
      <c r="AA13" s="19"/>
      <c r="AB13" s="42"/>
      <c r="AE13" s="42"/>
      <c r="AF13" s="42"/>
    </row>
    <row r="14" spans="1:34" ht="11.5">
      <c r="A14" s="6">
        <v>405</v>
      </c>
      <c r="B14" s="28">
        <f>'Color metric'!B8</f>
        <v>5.0247875255440971E-3</v>
      </c>
      <c r="C14" s="35">
        <f t="shared" si="0"/>
        <v>3.1484804964887168E-2</v>
      </c>
      <c r="D14" s="36">
        <f>CMFs!B11</f>
        <v>2.3189999999999999E-2</v>
      </c>
      <c r="E14" s="36">
        <f>CMFs!C11</f>
        <v>6.4000000000000005E-4</v>
      </c>
      <c r="F14" s="36">
        <f>CMFs!D11</f>
        <v>0.11020000000000001</v>
      </c>
      <c r="G14" s="51" t="s">
        <v>58</v>
      </c>
      <c r="H14" s="55">
        <f>H11/(H10+H11+H12)</f>
        <v>0.39570133637395477</v>
      </c>
      <c r="I14" s="6">
        <f t="shared" si="4"/>
        <v>696558699464.73608</v>
      </c>
      <c r="J14" s="37">
        <f t="shared" si="2"/>
        <v>1.1950654274501253</v>
      </c>
      <c r="K14" s="37"/>
      <c r="L14" s="53" t="s">
        <v>58</v>
      </c>
      <c r="M14" s="56">
        <f>M11/(M10+M11+M12)</f>
        <v>0.39660170693431679</v>
      </c>
      <c r="N14" s="39">
        <f t="shared" si="1"/>
        <v>1.1950654274501253</v>
      </c>
      <c r="P14" s="17">
        <v>405</v>
      </c>
      <c r="Q14" s="40">
        <v>99.8</v>
      </c>
      <c r="R14" s="40">
        <v>44.85</v>
      </c>
      <c r="S14" s="40">
        <v>-0.8</v>
      </c>
      <c r="V14" s="41">
        <f t="shared" si="5"/>
        <v>18.302603764774158</v>
      </c>
      <c r="W14" s="35">
        <f t="shared" si="3"/>
        <v>0.84251061152520212</v>
      </c>
      <c r="Z14" s="19"/>
      <c r="AA14" s="19"/>
      <c r="AB14" s="42"/>
      <c r="AE14" s="42"/>
      <c r="AF14" s="42"/>
    </row>
    <row r="15" spans="1:34" ht="11.5">
      <c r="A15" s="6">
        <v>410</v>
      </c>
      <c r="B15" s="28">
        <f>'Color metric'!B9</f>
        <v>1.0225050476327571E-2</v>
      </c>
      <c r="C15" s="35">
        <f t="shared" si="0"/>
        <v>6.4069121005955451E-2</v>
      </c>
      <c r="D15" s="36">
        <f>CMFs!B12</f>
        <v>4.351E-2</v>
      </c>
      <c r="E15" s="36">
        <f>CMFs!C12</f>
        <v>1.2099999999999999E-3</v>
      </c>
      <c r="F15" s="36">
        <f>CMFs!D12</f>
        <v>0.2074</v>
      </c>
      <c r="G15" s="57" t="s">
        <v>13</v>
      </c>
      <c r="H15" s="55">
        <f>4*H10/(H10+15*H11+3*H12)</f>
        <v>0.24151811258334188</v>
      </c>
      <c r="I15" s="6">
        <f t="shared" si="4"/>
        <v>747384913687.33813</v>
      </c>
      <c r="J15" s="37">
        <f t="shared" si="2"/>
        <v>1.2822664795255372</v>
      </c>
      <c r="K15" s="37"/>
      <c r="L15" s="21" t="s">
        <v>13</v>
      </c>
      <c r="M15" s="56">
        <f>4*M10/(M10+15*M11+3*M12)</f>
        <v>0.24138548608969593</v>
      </c>
      <c r="N15" s="39">
        <f t="shared" si="1"/>
        <v>1.2822664795255372</v>
      </c>
      <c r="P15" s="17">
        <v>410</v>
      </c>
      <c r="Q15" s="40">
        <v>104.8</v>
      </c>
      <c r="R15" s="40">
        <v>46.3</v>
      </c>
      <c r="S15" s="40">
        <v>-0.5</v>
      </c>
      <c r="T15" s="6" t="s">
        <v>59</v>
      </c>
      <c r="U15" s="6">
        <f>(-1.3515-1.7703*U12+5.9114*U13)/(0.0241+0.2562*U12-0.7341*U13)</f>
        <v>-1.6973653053776705</v>
      </c>
      <c r="V15" s="41">
        <f t="shared" si="5"/>
        <v>22.855384930365535</v>
      </c>
      <c r="W15" s="35">
        <f t="shared" si="3"/>
        <v>1.0520855164545908</v>
      </c>
      <c r="Z15" s="19"/>
      <c r="AA15" s="19"/>
      <c r="AB15" s="42"/>
      <c r="AE15" s="42"/>
      <c r="AF15" s="42"/>
    </row>
    <row r="16" spans="1:34" ht="11.5">
      <c r="A16" s="6">
        <v>415</v>
      </c>
      <c r="B16" s="28">
        <f>'Color metric'!B10</f>
        <v>2.0818698098575044E-2</v>
      </c>
      <c r="C16" s="35">
        <f t="shared" si="0"/>
        <v>0.13044783404757523</v>
      </c>
      <c r="D16" s="36">
        <f>CMFs!B13</f>
        <v>7.7630000000000005E-2</v>
      </c>
      <c r="E16" s="36">
        <f>CMFs!C13</f>
        <v>2.1800000000000001E-3</v>
      </c>
      <c r="F16" s="36">
        <f>CMFs!D13</f>
        <v>0.37130000000000002</v>
      </c>
      <c r="G16" s="57" t="s">
        <v>14</v>
      </c>
      <c r="H16" s="55">
        <f>6*H11/(H10+15*H11+3*H12)</f>
        <v>0.34341407655921585</v>
      </c>
      <c r="I16" s="6">
        <f t="shared" si="4"/>
        <v>799972420766.20764</v>
      </c>
      <c r="J16" s="37">
        <f t="shared" si="2"/>
        <v>1.3724893303406067</v>
      </c>
      <c r="K16" s="37"/>
      <c r="L16" s="21" t="s">
        <v>14</v>
      </c>
      <c r="M16" s="56">
        <f>6*M11/(M10+15*M11+3*M12)</f>
        <v>0.34369585640889633</v>
      </c>
      <c r="N16" s="39">
        <f t="shared" si="1"/>
        <v>1.3724893303406067</v>
      </c>
      <c r="P16" s="17">
        <v>415</v>
      </c>
      <c r="Q16" s="40">
        <v>105.35</v>
      </c>
      <c r="R16" s="40">
        <v>45.1</v>
      </c>
      <c r="S16" s="40">
        <v>-0.6</v>
      </c>
      <c r="T16" s="6" t="s">
        <v>60</v>
      </c>
      <c r="U16" s="6">
        <f>(0.03-31.4424*U12+30.0717*U13)/(0.0241+0.2562*U12-0.7341*U13)</f>
        <v>6.713202861296641</v>
      </c>
      <c r="V16" s="41">
        <f t="shared" si="5"/>
        <v>24.770903010689064</v>
      </c>
      <c r="W16" s="35">
        <f t="shared" si="3"/>
        <v>1.1402611842438384</v>
      </c>
      <c r="Z16" s="19"/>
      <c r="AA16" s="19"/>
      <c r="AB16" s="42"/>
      <c r="AE16" s="42"/>
      <c r="AF16" s="42"/>
    </row>
    <row r="17" spans="1:32" ht="11.5">
      <c r="A17" s="6">
        <v>420</v>
      </c>
      <c r="B17" s="28">
        <f>'Color metric'!B11</f>
        <v>4.2146731809576989E-2</v>
      </c>
      <c r="C17" s="35">
        <f t="shared" si="0"/>
        <v>0.26408711297464238</v>
      </c>
      <c r="D17" s="36">
        <f>CMFs!B14</f>
        <v>0.13438</v>
      </c>
      <c r="E17" s="36">
        <f>CMFs!C14</f>
        <v>4.0000000000000001E-3</v>
      </c>
      <c r="F17" s="36">
        <f>CMFs!D14</f>
        <v>0.64559999999999995</v>
      </c>
      <c r="G17" s="51" t="s">
        <v>61</v>
      </c>
      <c r="H17" s="266">
        <f t="array" ref="H17:H18">CCT_calc!J4:J5</f>
        <v>3287.7263415831103</v>
      </c>
      <c r="I17" s="6">
        <f>$I$2/((A17*0.000000001)^5)/(EXP($I$3/(A17*0.000000001*$I$1))-1)</f>
        <v>854262435640.35706</v>
      </c>
      <c r="J17" s="37">
        <f t="shared" si="2"/>
        <v>1.46563312408219</v>
      </c>
      <c r="K17" s="37"/>
      <c r="L17" s="53" t="s">
        <v>61</v>
      </c>
      <c r="M17" s="58" t="e">
        <f t="array" aca="1" ref="M17:M18" ca="1">CCT(M13,M14)</f>
        <v>#REF!</v>
      </c>
      <c r="N17" s="39">
        <f t="shared" si="1"/>
        <v>1.46563312408219</v>
      </c>
      <c r="P17" s="17">
        <v>420</v>
      </c>
      <c r="Q17" s="40">
        <v>105.9</v>
      </c>
      <c r="R17" s="40">
        <v>43.9</v>
      </c>
      <c r="S17" s="40">
        <v>-0.7</v>
      </c>
      <c r="V17" s="41">
        <f t="shared" si="5"/>
        <v>26.686421091012622</v>
      </c>
      <c r="W17" s="35">
        <f t="shared" si="3"/>
        <v>1.2284368520330871</v>
      </c>
      <c r="Z17" s="19"/>
      <c r="AA17" s="19"/>
      <c r="AB17" s="42"/>
      <c r="AE17" s="42"/>
      <c r="AF17" s="42"/>
    </row>
    <row r="18" spans="1:32" ht="11.5">
      <c r="A18" s="6">
        <v>425</v>
      </c>
      <c r="B18" s="28">
        <f>'Color metric'!B12</f>
        <v>8.039641379122503E-2</v>
      </c>
      <c r="C18" s="35">
        <f t="shared" si="0"/>
        <v>0.50375571011213915</v>
      </c>
      <c r="D18" s="36">
        <f>CMFs!B15</f>
        <v>0.21476999999999999</v>
      </c>
      <c r="E18" s="36">
        <f>CMFs!C15</f>
        <v>7.3000000000000001E-3</v>
      </c>
      <c r="F18" s="36">
        <f>CMFs!D15</f>
        <v>1.0390501000000001</v>
      </c>
      <c r="G18" s="60" t="s">
        <v>62</v>
      </c>
      <c r="H18" s="267">
        <v>-3.0434933115461408E-4</v>
      </c>
      <c r="I18" s="6">
        <f t="shared" ref="I18:I81" si="6">$I$2/((A18*0.000000001)^5)/(EXP($I$3/(A18*0.000000001*$I$1))-1)</f>
        <v>910191331222.13184</v>
      </c>
      <c r="J18" s="37">
        <f t="shared" si="2"/>
        <v>1.5615886976133349</v>
      </c>
      <c r="K18" s="37"/>
      <c r="L18" s="61" t="s">
        <v>62</v>
      </c>
      <c r="M18" s="59" t="e">
        <f ca="1"/>
        <v>#REF!</v>
      </c>
      <c r="N18" s="39">
        <f t="shared" si="1"/>
        <v>1.5615886976133349</v>
      </c>
      <c r="P18" s="17">
        <v>425</v>
      </c>
      <c r="Q18" s="40">
        <v>101.35</v>
      </c>
      <c r="R18" s="40">
        <v>40.5</v>
      </c>
      <c r="S18" s="40">
        <v>-0.95</v>
      </c>
      <c r="V18" s="41">
        <f t="shared" si="5"/>
        <v>26.229162413972531</v>
      </c>
      <c r="W18" s="35">
        <f t="shared" si="3"/>
        <v>1.2073881918222538</v>
      </c>
      <c r="AB18" s="42"/>
      <c r="AE18" s="42"/>
      <c r="AF18" s="42"/>
    </row>
    <row r="19" spans="1:32" ht="11.5">
      <c r="A19" s="6">
        <v>430</v>
      </c>
      <c r="B19" s="28">
        <f>'Color metric'!B13</f>
        <v>0.14048172445388457</v>
      </c>
      <c r="C19" s="35">
        <f t="shared" si="0"/>
        <v>0.88024412436874877</v>
      </c>
      <c r="D19" s="36">
        <f>CMFs!B16</f>
        <v>0.28389999999999999</v>
      </c>
      <c r="E19" s="36">
        <f>CMFs!C16</f>
        <v>1.1599999999999999E-2</v>
      </c>
      <c r="F19" s="36">
        <f>CMFs!D16</f>
        <v>1.3855999999999999</v>
      </c>
      <c r="G19" s="62"/>
      <c r="H19" s="62"/>
      <c r="I19" s="6">
        <f t="shared" si="6"/>
        <v>967691070506.69226</v>
      </c>
      <c r="J19" s="37">
        <f t="shared" si="2"/>
        <v>1.6602393218309035</v>
      </c>
      <c r="K19" s="37"/>
      <c r="L19" s="53"/>
      <c r="M19" s="62"/>
      <c r="N19" s="39">
        <f t="shared" si="1"/>
        <v>1.6602393218309035</v>
      </c>
      <c r="P19" s="17">
        <v>430</v>
      </c>
      <c r="Q19" s="40">
        <v>96.8</v>
      </c>
      <c r="R19" s="40">
        <v>37.1</v>
      </c>
      <c r="S19" s="40">
        <v>-1.2</v>
      </c>
      <c r="T19" s="6" t="s">
        <v>186</v>
      </c>
      <c r="V19" s="41">
        <f t="shared" si="5"/>
        <v>25.771903736932451</v>
      </c>
      <c r="W19" s="35">
        <f t="shared" si="3"/>
        <v>1.1863395316114209</v>
      </c>
      <c r="AB19" s="42"/>
      <c r="AE19" s="42"/>
      <c r="AF19" s="42"/>
    </row>
    <row r="20" spans="1:32" ht="11.5">
      <c r="A20" s="6">
        <v>435</v>
      </c>
      <c r="B20" s="28">
        <f>'Color metric'!B14</f>
        <v>0.22511129351896264</v>
      </c>
      <c r="C20" s="35">
        <f t="shared" si="0"/>
        <v>1.4105243526830611</v>
      </c>
      <c r="D20" s="36">
        <f>CMFs!B17</f>
        <v>0.32850000000000001</v>
      </c>
      <c r="E20" s="36">
        <f>CMFs!C17</f>
        <v>1.6840000000000001E-2</v>
      </c>
      <c r="F20" s="36">
        <f>CMFs!D17</f>
        <v>1.62296</v>
      </c>
      <c r="G20" s="35" t="s">
        <v>63</v>
      </c>
      <c r="H20" s="63">
        <f>683*SUMPRODUCT(B5:B99,E5:E99)/SUM(B9:B89)</f>
        <v>320.89574288253772</v>
      </c>
      <c r="I20" s="6">
        <f t="shared" si="6"/>
        <v>1026689643196.8649</v>
      </c>
      <c r="J20" s="37">
        <f t="shared" si="2"/>
        <v>1.7614614507700854</v>
      </c>
      <c r="K20" s="37"/>
      <c r="L20" s="64" t="s">
        <v>64</v>
      </c>
      <c r="M20" s="39">
        <f>SQRT((H15-M15)^2+(H16-M16)^2)</f>
        <v>3.1143164659804765E-4</v>
      </c>
      <c r="N20" s="39">
        <f t="shared" si="1"/>
        <v>1.7614614507700854</v>
      </c>
      <c r="P20" s="17">
        <v>435</v>
      </c>
      <c r="Q20" s="40">
        <v>105.35</v>
      </c>
      <c r="R20" s="40">
        <v>36.9</v>
      </c>
      <c r="S20" s="40">
        <v>-1.9</v>
      </c>
      <c r="T20" s="6" t="s">
        <v>187</v>
      </c>
      <c r="U20" s="6">
        <v>4000</v>
      </c>
      <c r="V20" s="41">
        <f t="shared" si="5"/>
        <v>29.96213479510034</v>
      </c>
      <c r="W20" s="35">
        <f t="shared" si="3"/>
        <v>1.3792254278817366</v>
      </c>
      <c r="AB20" s="42"/>
      <c r="AE20" s="42"/>
      <c r="AF20" s="42"/>
    </row>
    <row r="21" spans="1:32" ht="11.5">
      <c r="A21" s="6">
        <v>440</v>
      </c>
      <c r="B21" s="28">
        <f>'Color metric'!B15</f>
        <v>0.33740617451674543</v>
      </c>
      <c r="C21" s="35">
        <f t="shared" si="0"/>
        <v>2.1141525974191535</v>
      </c>
      <c r="D21" s="36">
        <f>CMFs!B18</f>
        <v>0.34827999999999998</v>
      </c>
      <c r="E21" s="36">
        <f>CMFs!C18</f>
        <v>2.3E-2</v>
      </c>
      <c r="F21" s="36">
        <f>CMFs!D18</f>
        <v>1.7470600000000001</v>
      </c>
      <c r="I21" s="6">
        <f t="shared" si="6"/>
        <v>1087111502973.2213</v>
      </c>
      <c r="J21" s="37">
        <f t="shared" si="2"/>
        <v>1.8651254718159076</v>
      </c>
      <c r="K21" s="37"/>
      <c r="L21" s="38"/>
      <c r="M21" s="43"/>
      <c r="N21" s="39">
        <f t="shared" si="1"/>
        <v>1.8651254718159076</v>
      </c>
      <c r="P21" s="17">
        <v>440</v>
      </c>
      <c r="Q21" s="40">
        <v>113.9</v>
      </c>
      <c r="R21" s="40">
        <v>36.700000000000003</v>
      </c>
      <c r="S21" s="40">
        <v>-2.6</v>
      </c>
      <c r="T21" s="6" t="s">
        <v>188</v>
      </c>
      <c r="U21" s="6">
        <v>5000</v>
      </c>
      <c r="V21" s="41">
        <f t="shared" si="5"/>
        <v>34.152365853268222</v>
      </c>
      <c r="W21" s="35">
        <f t="shared" si="3"/>
        <v>1.5721113241520523</v>
      </c>
      <c r="AB21" s="42"/>
      <c r="AE21" s="42"/>
      <c r="AF21" s="42"/>
    </row>
    <row r="22" spans="1:32" ht="11.5">
      <c r="A22" s="6">
        <v>445</v>
      </c>
      <c r="B22" s="28">
        <f>'Color metric'!B16</f>
        <v>0.47852976897591343</v>
      </c>
      <c r="C22" s="35">
        <f t="shared" si="0"/>
        <v>2.9984186136244073</v>
      </c>
      <c r="D22" s="36">
        <f>CMFs!B19</f>
        <v>0.34805999999999998</v>
      </c>
      <c r="E22" s="36">
        <f>CMFs!C19</f>
        <v>2.98E-2</v>
      </c>
      <c r="F22" s="36">
        <f>CMFs!D19</f>
        <v>1.7826</v>
      </c>
      <c r="I22" s="6">
        <f t="shared" si="6"/>
        <v>1148878001908.218</v>
      </c>
      <c r="J22" s="37">
        <f t="shared" si="2"/>
        <v>1.9710964510148927</v>
      </c>
      <c r="K22" s="37"/>
      <c r="L22" s="38"/>
      <c r="M22" s="43"/>
      <c r="N22" s="39">
        <f t="shared" si="1"/>
        <v>1.9710964510148927</v>
      </c>
      <c r="P22" s="17">
        <v>445</v>
      </c>
      <c r="Q22" s="40">
        <v>119.75</v>
      </c>
      <c r="R22" s="40">
        <v>36.299999999999997</v>
      </c>
      <c r="S22" s="40">
        <v>-2.75</v>
      </c>
      <c r="V22" s="41">
        <f t="shared" si="5"/>
        <v>39.674331546224806</v>
      </c>
      <c r="W22" s="35">
        <f t="shared" si="3"/>
        <v>1.8263000042210624</v>
      </c>
      <c r="AB22" s="42"/>
      <c r="AE22" s="42"/>
      <c r="AF22" s="42"/>
    </row>
    <row r="23" spans="1:32" ht="11.5">
      <c r="A23" s="6">
        <v>450</v>
      </c>
      <c r="B23" s="28">
        <f>'Color metric'!B17</f>
        <v>0.60427348282747406</v>
      </c>
      <c r="C23" s="35">
        <f t="shared" si="0"/>
        <v>3.7863158701851765</v>
      </c>
      <c r="D23" s="36">
        <f>CMFs!B20</f>
        <v>0.3362</v>
      </c>
      <c r="E23" s="36">
        <f>CMFs!C20</f>
        <v>3.7999999999999999E-2</v>
      </c>
      <c r="F23" s="36">
        <f>CMFs!D20</f>
        <v>1.7721100000000001</v>
      </c>
      <c r="I23" s="6">
        <f t="shared" si="6"/>
        <v>1211907818891.6621</v>
      </c>
      <c r="J23" s="37">
        <f t="shared" si="2"/>
        <v>2.079234868112124</v>
      </c>
      <c r="K23" s="37"/>
      <c r="L23" s="38"/>
      <c r="M23" s="43"/>
      <c r="N23" s="39">
        <f t="shared" si="1"/>
        <v>2.079234868112124</v>
      </c>
      <c r="P23" s="17">
        <v>450</v>
      </c>
      <c r="Q23" s="40">
        <v>125.6</v>
      </c>
      <c r="R23" s="40">
        <v>35.9</v>
      </c>
      <c r="S23" s="40">
        <v>-2.9</v>
      </c>
      <c r="T23" s="6" t="s">
        <v>189</v>
      </c>
      <c r="U23" s="6">
        <f>IF(U3&lt;U20,1,IF(U3&gt;U21,0,(U21-U3)/(U21-U20)))</f>
        <v>1</v>
      </c>
      <c r="V23" s="41">
        <f t="shared" si="5"/>
        <v>45.196297239181362</v>
      </c>
      <c r="W23" s="35">
        <f t="shared" si="3"/>
        <v>2.0804886842900712</v>
      </c>
      <c r="AB23" s="42"/>
      <c r="AE23" s="42"/>
      <c r="AF23" s="42"/>
    </row>
    <row r="24" spans="1:32" ht="11.5">
      <c r="A24" s="6">
        <v>455</v>
      </c>
      <c r="B24" s="28">
        <f>'Color metric'!B18</f>
        <v>0.63265966426374187</v>
      </c>
      <c r="C24" s="35">
        <f t="shared" si="0"/>
        <v>3.9641807812237815</v>
      </c>
      <c r="D24" s="36">
        <f>CMFs!B21</f>
        <v>0.31869999999999998</v>
      </c>
      <c r="E24" s="36">
        <f>CMFs!C21</f>
        <v>4.8000000000000001E-2</v>
      </c>
      <c r="F24" s="36">
        <f>CMFs!D21</f>
        <v>1.7441</v>
      </c>
      <c r="I24" s="6">
        <f t="shared" si="6"/>
        <v>1276117379297.6233</v>
      </c>
      <c r="J24" s="37">
        <f t="shared" si="2"/>
        <v>2.1893973365615178</v>
      </c>
      <c r="K24" s="37"/>
      <c r="L24" s="38"/>
      <c r="M24" s="43"/>
      <c r="N24" s="39">
        <f t="shared" si="1"/>
        <v>2.1893973365615178</v>
      </c>
      <c r="P24" s="17">
        <v>455</v>
      </c>
      <c r="Q24" s="40">
        <v>125.55</v>
      </c>
      <c r="R24" s="40">
        <v>34.25</v>
      </c>
      <c r="S24" s="40">
        <v>-2.85</v>
      </c>
      <c r="T24" s="6" t="s">
        <v>190</v>
      </c>
      <c r="U24" s="6">
        <f>IF(U3&gt;U21,1,1-U23)</f>
        <v>0</v>
      </c>
      <c r="V24" s="41">
        <f t="shared" si="5"/>
        <v>48.282610136119359</v>
      </c>
      <c r="W24" s="35">
        <f t="shared" si="3"/>
        <v>2.2225587088382666</v>
      </c>
      <c r="AB24" s="42"/>
      <c r="AE24" s="42"/>
      <c r="AF24" s="42"/>
    </row>
    <row r="25" spans="1:32" ht="11.5">
      <c r="A25" s="6">
        <v>460</v>
      </c>
      <c r="B25" s="28">
        <f>'Color metric'!B19</f>
        <v>0.55097702240760138</v>
      </c>
      <c r="C25" s="35">
        <f t="shared" si="0"/>
        <v>3.4523656975444301</v>
      </c>
      <c r="D25" s="36">
        <f>CMFs!B22</f>
        <v>0.2908</v>
      </c>
      <c r="E25" s="36">
        <f>CMFs!C22</f>
        <v>0.06</v>
      </c>
      <c r="F25" s="36">
        <f>CMFs!D22</f>
        <v>1.6692</v>
      </c>
      <c r="I25" s="6">
        <f t="shared" si="6"/>
        <v>1341421263475.6511</v>
      </c>
      <c r="J25" s="37">
        <f t="shared" si="2"/>
        <v>2.3014373043622776</v>
      </c>
      <c r="K25" s="37"/>
      <c r="L25" s="38"/>
      <c r="M25" s="43"/>
      <c r="N25" s="39">
        <f t="shared" si="1"/>
        <v>2.3014373043622776</v>
      </c>
      <c r="P25" s="17">
        <v>460</v>
      </c>
      <c r="Q25" s="40">
        <v>125.5</v>
      </c>
      <c r="R25" s="40">
        <v>32.6</v>
      </c>
      <c r="S25" s="40">
        <v>-2.8</v>
      </c>
      <c r="V25" s="41">
        <f t="shared" si="5"/>
        <v>51.368923033057342</v>
      </c>
      <c r="W25" s="35">
        <f t="shared" si="3"/>
        <v>2.3646287333864606</v>
      </c>
      <c r="AB25" s="42"/>
      <c r="AE25" s="42"/>
      <c r="AF25" s="42"/>
    </row>
    <row r="26" spans="1:32" ht="11.5">
      <c r="A26" s="6">
        <v>465</v>
      </c>
      <c r="B26" s="28">
        <f>'Color metric'!B20</f>
        <v>0.43601979858474216</v>
      </c>
      <c r="C26" s="35">
        <f t="shared" si="0"/>
        <v>2.732055484830374</v>
      </c>
      <c r="D26" s="36">
        <f>CMFs!B23</f>
        <v>0.25109999999999999</v>
      </c>
      <c r="E26" s="36">
        <f>CMFs!C23</f>
        <v>7.3899999999999993E-2</v>
      </c>
      <c r="F26" s="36">
        <f>CMFs!D23</f>
        <v>1.5281</v>
      </c>
      <c r="I26" s="6">
        <f t="shared" si="6"/>
        <v>1407732601988.0879</v>
      </c>
      <c r="J26" s="37">
        <f t="shared" si="2"/>
        <v>2.4152057321560179</v>
      </c>
      <c r="K26" s="37"/>
      <c r="L26" s="38"/>
      <c r="M26" s="43"/>
      <c r="N26" s="39">
        <f t="shared" si="1"/>
        <v>2.4152057321560179</v>
      </c>
      <c r="P26" s="17">
        <v>465</v>
      </c>
      <c r="Q26" s="40">
        <v>123.4</v>
      </c>
      <c r="R26" s="40">
        <v>30.25</v>
      </c>
      <c r="S26" s="40">
        <v>-2.7</v>
      </c>
      <c r="V26" s="41">
        <f t="shared" si="5"/>
        <v>53.929051786824537</v>
      </c>
      <c r="W26" s="35">
        <f t="shared" si="3"/>
        <v>2.4824773012536712</v>
      </c>
      <c r="AB26" s="42"/>
    </row>
    <row r="27" spans="1:32" ht="11.5">
      <c r="A27" s="6">
        <v>470</v>
      </c>
      <c r="B27" s="28">
        <f>'Color metric'!B21</f>
        <v>0.34580834841474994</v>
      </c>
      <c r="C27" s="35">
        <f t="shared" si="0"/>
        <v>2.1667997601329825</v>
      </c>
      <c r="D27" s="36">
        <f>CMFs!B24</f>
        <v>0.19536000000000001</v>
      </c>
      <c r="E27" s="36">
        <f>CMFs!C24</f>
        <v>9.0980000000000005E-2</v>
      </c>
      <c r="F27" s="36">
        <f>CMFs!D24</f>
        <v>1.2876399999999999</v>
      </c>
      <c r="I27" s="6">
        <f t="shared" si="6"/>
        <v>1474963455837.8997</v>
      </c>
      <c r="J27" s="37">
        <f t="shared" si="2"/>
        <v>2.5305517455725504</v>
      </c>
      <c r="K27" s="37"/>
      <c r="L27" s="38"/>
      <c r="M27" s="43"/>
      <c r="N27" s="39">
        <f t="shared" si="1"/>
        <v>2.5305517455725504</v>
      </c>
      <c r="P27" s="17">
        <v>470</v>
      </c>
      <c r="Q27" s="40">
        <v>121.3</v>
      </c>
      <c r="R27" s="40">
        <v>27.9</v>
      </c>
      <c r="S27" s="40">
        <v>-2.6</v>
      </c>
      <c r="V27" s="41">
        <f t="shared" si="5"/>
        <v>56.489180540591718</v>
      </c>
      <c r="W27" s="35">
        <f t="shared" si="3"/>
        <v>2.6003258691208813</v>
      </c>
      <c r="AB27" s="42"/>
    </row>
    <row r="28" spans="1:32" ht="11.5">
      <c r="A28" s="6">
        <v>475</v>
      </c>
      <c r="B28" s="28">
        <f>'Color metric'!B22</f>
        <v>0.28159764333004855</v>
      </c>
      <c r="C28" s="35">
        <f t="shared" si="0"/>
        <v>1.7644620461555536</v>
      </c>
      <c r="D28" s="36">
        <f>CMFs!B25</f>
        <v>0.1421</v>
      </c>
      <c r="E28" s="36">
        <f>CMFs!C25</f>
        <v>0.11260000000000001</v>
      </c>
      <c r="F28" s="36">
        <f>CMFs!D25</f>
        <v>1.0419</v>
      </c>
      <c r="I28" s="6">
        <f t="shared" si="6"/>
        <v>1543025180235.4944</v>
      </c>
      <c r="J28" s="37">
        <f t="shared" si="2"/>
        <v>2.647323259334001</v>
      </c>
      <c r="K28" s="37"/>
      <c r="L28" s="38"/>
      <c r="M28" s="43"/>
      <c r="N28" s="39">
        <f t="shared" si="1"/>
        <v>2.647323259334001</v>
      </c>
      <c r="P28" s="17">
        <v>475</v>
      </c>
      <c r="Q28" s="40">
        <v>121.3</v>
      </c>
      <c r="R28" s="40">
        <v>26.1</v>
      </c>
      <c r="S28" s="40">
        <v>-2.6</v>
      </c>
      <c r="V28" s="41">
        <f t="shared" si="5"/>
        <v>59.544438090271527</v>
      </c>
      <c r="W28" s="35">
        <f t="shared" si="3"/>
        <v>2.7409663451771848</v>
      </c>
      <c r="AB28" s="42"/>
    </row>
    <row r="29" spans="1:32" ht="11.5">
      <c r="A29" s="6">
        <v>480</v>
      </c>
      <c r="B29" s="28">
        <f>'Color metric'!B23</f>
        <v>0.23681945074928368</v>
      </c>
      <c r="C29" s="35">
        <f t="shared" si="0"/>
        <v>1.4838864689956262</v>
      </c>
      <c r="D29" s="36">
        <f>CMFs!B26</f>
        <v>9.5640000000000003E-2</v>
      </c>
      <c r="E29" s="36">
        <f>CMFs!C26</f>
        <v>0.13902</v>
      </c>
      <c r="F29" s="36">
        <f>CMFs!D26</f>
        <v>0.81295010000000001</v>
      </c>
      <c r="I29" s="6">
        <f t="shared" si="6"/>
        <v>1611828770736.9897</v>
      </c>
      <c r="J29" s="37">
        <f t="shared" si="2"/>
        <v>2.7653675711141243</v>
      </c>
      <c r="K29" s="37"/>
      <c r="L29" s="38"/>
      <c r="M29" s="43"/>
      <c r="N29" s="39">
        <f t="shared" si="1"/>
        <v>2.7653675711141243</v>
      </c>
      <c r="P29" s="17">
        <v>480</v>
      </c>
      <c r="Q29" s="40">
        <v>121.3</v>
      </c>
      <c r="R29" s="40">
        <v>24.3</v>
      </c>
      <c r="S29" s="40">
        <v>-2.6</v>
      </c>
      <c r="V29" s="41">
        <f t="shared" si="5"/>
        <v>62.599695639951335</v>
      </c>
      <c r="W29" s="35">
        <f t="shared" si="3"/>
        <v>2.881606821233488</v>
      </c>
      <c r="AB29" s="42"/>
    </row>
    <row r="30" spans="1:32" ht="11.5">
      <c r="A30" s="6">
        <v>485</v>
      </c>
      <c r="B30" s="28">
        <f>'Color metric'!B24</f>
        <v>0.21285578658667853</v>
      </c>
      <c r="C30" s="35">
        <f t="shared" si="0"/>
        <v>1.3337325990920461</v>
      </c>
      <c r="D30" s="36">
        <f>CMFs!B27</f>
        <v>5.7950010000000003E-2</v>
      </c>
      <c r="E30" s="36">
        <f>CMFs!C27</f>
        <v>0.16930000000000001</v>
      </c>
      <c r="F30" s="36">
        <f>CMFs!D27</f>
        <v>0.61619999999999997</v>
      </c>
      <c r="I30" s="6">
        <f t="shared" si="6"/>
        <v>1681285190849.7117</v>
      </c>
      <c r="J30" s="37">
        <f t="shared" si="2"/>
        <v>2.8845319236015028</v>
      </c>
      <c r="K30" s="37"/>
      <c r="L30" s="38"/>
      <c r="M30" s="43"/>
      <c r="N30" s="39">
        <f t="shared" si="1"/>
        <v>2.8845319236015028</v>
      </c>
      <c r="P30" s="17">
        <v>485</v>
      </c>
      <c r="Q30" s="40">
        <v>117.4</v>
      </c>
      <c r="R30" s="40">
        <v>22.2</v>
      </c>
      <c r="S30" s="40">
        <v>-2.2000000000000002</v>
      </c>
      <c r="V30" s="41">
        <f t="shared" si="5"/>
        <v>64.949443925763106</v>
      </c>
      <c r="W30" s="35">
        <f t="shared" si="3"/>
        <v>2.9897710961450032</v>
      </c>
      <c r="AB30" s="42"/>
    </row>
    <row r="31" spans="1:32" ht="11.5">
      <c r="A31" s="6">
        <v>490</v>
      </c>
      <c r="B31" s="28">
        <f>'Color metric'!B25</f>
        <v>0.20993174034645679</v>
      </c>
      <c r="C31" s="35">
        <f t="shared" si="0"/>
        <v>1.3154108242680005</v>
      </c>
      <c r="D31" s="36">
        <f>CMFs!B28</f>
        <v>3.2009999999999997E-2</v>
      </c>
      <c r="E31" s="36">
        <f>CMFs!C28</f>
        <v>0.20802000000000001</v>
      </c>
      <c r="F31" s="36">
        <f>CMFs!D28</f>
        <v>0.46517999999999998</v>
      </c>
      <c r="I31" s="6">
        <f t="shared" si="6"/>
        <v>1751305680442.2676</v>
      </c>
      <c r="J31" s="37">
        <f t="shared" si="2"/>
        <v>3.004664033629699</v>
      </c>
      <c r="K31" s="37"/>
      <c r="L31" s="38"/>
      <c r="M31" s="43"/>
      <c r="N31" s="39">
        <f t="shared" si="1"/>
        <v>3.004664033629699</v>
      </c>
      <c r="P31" s="17">
        <v>490</v>
      </c>
      <c r="Q31" s="40">
        <v>113.5</v>
      </c>
      <c r="R31" s="40">
        <v>20.100000000000001</v>
      </c>
      <c r="S31" s="40">
        <v>-1.8</v>
      </c>
      <c r="V31" s="41">
        <f t="shared" si="5"/>
        <v>67.299192211574862</v>
      </c>
      <c r="W31" s="35">
        <f t="shared" si="3"/>
        <v>3.0979353710565181</v>
      </c>
      <c r="AB31" s="42"/>
    </row>
    <row r="32" spans="1:32" ht="11.5">
      <c r="A32" s="6">
        <v>495</v>
      </c>
      <c r="B32" s="28">
        <f>'Color metric'!B26</f>
        <v>0.22565961653611735</v>
      </c>
      <c r="C32" s="35">
        <f t="shared" si="0"/>
        <v>1.4139600886550026</v>
      </c>
      <c r="D32" s="36">
        <f>CMFs!B29</f>
        <v>1.47E-2</v>
      </c>
      <c r="E32" s="36">
        <f>CMFs!C29</f>
        <v>0.2586</v>
      </c>
      <c r="F32" s="36">
        <f>CMFs!D29</f>
        <v>0.3533</v>
      </c>
      <c r="I32" s="6">
        <f t="shared" si="6"/>
        <v>1821802044517.0347</v>
      </c>
      <c r="J32" s="37">
        <f t="shared" si="2"/>
        <v>3.1256125876157883</v>
      </c>
      <c r="K32" s="37"/>
      <c r="L32" s="38"/>
      <c r="M32" s="43"/>
      <c r="N32" s="39">
        <f t="shared" si="1"/>
        <v>3.1256125876157883</v>
      </c>
      <c r="P32" s="17">
        <v>495</v>
      </c>
      <c r="Q32" s="40">
        <v>113.3</v>
      </c>
      <c r="R32" s="40">
        <v>18.149999999999999</v>
      </c>
      <c r="S32" s="40">
        <v>-1.65</v>
      </c>
      <c r="V32" s="41">
        <f t="shared" si="5"/>
        <v>71.416034986255823</v>
      </c>
      <c r="W32" s="35">
        <f t="shared" si="3"/>
        <v>3.2874430371911658</v>
      </c>
      <c r="AB32" s="42"/>
    </row>
    <row r="33" spans="1:28" ht="11.5">
      <c r="A33" s="6">
        <v>500</v>
      </c>
      <c r="B33" s="28">
        <f>'Color metric'!B27</f>
        <v>0.25998835803395759</v>
      </c>
      <c r="C33" s="35">
        <f t="shared" si="0"/>
        <v>1.6290604735478929</v>
      </c>
      <c r="D33" s="36">
        <f>CMFs!B30</f>
        <v>4.8999999999999998E-3</v>
      </c>
      <c r="E33" s="36">
        <f>CMFs!C30</f>
        <v>0.32300000000000001</v>
      </c>
      <c r="F33" s="36">
        <f>CMFs!D30</f>
        <v>0.27200000000000002</v>
      </c>
      <c r="G33" s="62"/>
      <c r="H33" s="62"/>
      <c r="I33" s="6">
        <f t="shared" si="6"/>
        <v>1892686922101.9028</v>
      </c>
      <c r="J33" s="37">
        <f t="shared" si="2"/>
        <v>3.2472277028900742</v>
      </c>
      <c r="K33" s="37"/>
      <c r="L33" s="38"/>
      <c r="M33" s="43"/>
      <c r="N33" s="39">
        <f t="shared" si="1"/>
        <v>3.2472277028900742</v>
      </c>
      <c r="P33" s="17">
        <v>500</v>
      </c>
      <c r="Q33" s="40">
        <v>113.1</v>
      </c>
      <c r="R33" s="40">
        <v>16.2</v>
      </c>
      <c r="S33" s="40">
        <v>-1.5</v>
      </c>
      <c r="V33" s="41">
        <f t="shared" si="5"/>
        <v>75.532877760936771</v>
      </c>
      <c r="W33" s="35">
        <f t="shared" si="3"/>
        <v>3.4769507033258131</v>
      </c>
      <c r="AB33" s="42"/>
    </row>
    <row r="34" spans="1:28" ht="11.5">
      <c r="A34" s="6">
        <v>505</v>
      </c>
      <c r="B34" s="28">
        <f>'Color metric'!B28</f>
        <v>0.31084166626295961</v>
      </c>
      <c r="C34" s="35">
        <f t="shared" si="0"/>
        <v>1.9477021043173546</v>
      </c>
      <c r="D34" s="36">
        <f>CMFs!B31</f>
        <v>2.3999999999999998E-3</v>
      </c>
      <c r="E34" s="36">
        <f>CMFs!C31</f>
        <v>0.4073</v>
      </c>
      <c r="F34" s="36">
        <f>CMFs!D31</f>
        <v>0.21229999999999999</v>
      </c>
      <c r="G34" s="62"/>
      <c r="H34" s="62"/>
      <c r="I34" s="6">
        <f t="shared" si="6"/>
        <v>1963874035196.4199</v>
      </c>
      <c r="J34" s="37">
        <f t="shared" si="2"/>
        <v>3.3693613548057182</v>
      </c>
      <c r="K34" s="37"/>
      <c r="L34" s="38"/>
      <c r="M34" s="43"/>
      <c r="N34" s="39">
        <f t="shared" si="1"/>
        <v>3.3693613548057182</v>
      </c>
      <c r="P34" s="17">
        <v>505</v>
      </c>
      <c r="Q34" s="40">
        <v>111.95</v>
      </c>
      <c r="R34" s="40">
        <v>14.7</v>
      </c>
      <c r="S34" s="40">
        <v>-1.4</v>
      </c>
      <c r="V34" s="41">
        <f t="shared" si="5"/>
        <v>77.600246005132959</v>
      </c>
      <c r="W34" s="35">
        <f t="shared" si="3"/>
        <v>3.5721163806278482</v>
      </c>
      <c r="AB34" s="42"/>
    </row>
    <row r="35" spans="1:28" ht="11.5">
      <c r="A35" s="6">
        <v>510</v>
      </c>
      <c r="B35" s="28">
        <f>'Color metric'!B29</f>
        <v>0.37161414710047769</v>
      </c>
      <c r="C35" s="35">
        <f t="shared" si="0"/>
        <v>2.3284962566421159</v>
      </c>
      <c r="D35" s="36">
        <f>CMFs!B32</f>
        <v>9.2999999999999992E-3</v>
      </c>
      <c r="E35" s="36">
        <f>CMFs!C32</f>
        <v>0.503</v>
      </c>
      <c r="F35" s="36">
        <f>CMFs!D32</f>
        <v>0.15820000000000001</v>
      </c>
      <c r="G35" s="62"/>
      <c r="H35" s="62"/>
      <c r="I35" s="6">
        <f t="shared" si="6"/>
        <v>2035278417865.9668</v>
      </c>
      <c r="J35" s="37">
        <f t="shared" si="2"/>
        <v>3.4918677697889313</v>
      </c>
      <c r="K35" s="37"/>
      <c r="L35" s="38"/>
      <c r="M35" s="43"/>
      <c r="N35" s="39">
        <f t="shared" si="1"/>
        <v>3.4918677697889313</v>
      </c>
      <c r="P35" s="17">
        <v>510</v>
      </c>
      <c r="Q35" s="40">
        <v>110.8</v>
      </c>
      <c r="R35" s="40">
        <v>13.2</v>
      </c>
      <c r="S35" s="40">
        <v>-1.3</v>
      </c>
      <c r="V35" s="41">
        <f t="shared" si="5"/>
        <v>79.667614249329105</v>
      </c>
      <c r="W35" s="35">
        <f t="shared" si="3"/>
        <v>3.667282057929881</v>
      </c>
      <c r="AB35" s="42"/>
    </row>
    <row r="36" spans="1:28" ht="11.5">
      <c r="A36" s="6">
        <v>515</v>
      </c>
      <c r="B36" s="28">
        <f>'Color metric'!B30</f>
        <v>0.43606391801633948</v>
      </c>
      <c r="C36" s="35">
        <f t="shared" si="0"/>
        <v>2.7323319326785547</v>
      </c>
      <c r="D36" s="36">
        <f>CMFs!B33</f>
        <v>2.9100000000000001E-2</v>
      </c>
      <c r="E36" s="36">
        <f>CMFs!C33</f>
        <v>0.60819999999999996</v>
      </c>
      <c r="F36" s="36">
        <f>CMFs!D33</f>
        <v>0.11169999999999999</v>
      </c>
      <c r="G36" s="62"/>
      <c r="H36" s="62"/>
      <c r="I36" s="6">
        <f t="shared" si="6"/>
        <v>2106816625716.6599</v>
      </c>
      <c r="J36" s="37">
        <f t="shared" si="2"/>
        <v>3.6146037847289509</v>
      </c>
      <c r="K36" s="37"/>
      <c r="L36" s="38"/>
      <c r="M36" s="43"/>
      <c r="N36" s="39">
        <f t="shared" si="1"/>
        <v>3.6146037847289509</v>
      </c>
      <c r="P36" s="17">
        <v>515</v>
      </c>
      <c r="Q36" s="40">
        <v>108.65</v>
      </c>
      <c r="R36" s="40">
        <v>10.9</v>
      </c>
      <c r="S36" s="40">
        <v>-1.25</v>
      </c>
      <c r="V36" s="41">
        <f t="shared" si="5"/>
        <v>81.757214594762587</v>
      </c>
      <c r="W36" s="35">
        <f t="shared" si="3"/>
        <v>3.7634711295778605</v>
      </c>
      <c r="AB36" s="42"/>
    </row>
    <row r="37" spans="1:28" ht="11.5">
      <c r="A37" s="6">
        <v>520</v>
      </c>
      <c r="B37" s="28">
        <f>'Color metric'!B31</f>
        <v>0.49931971205704584</v>
      </c>
      <c r="C37" s="35">
        <f t="shared" si="0"/>
        <v>3.1286862716722332</v>
      </c>
      <c r="D37" s="36">
        <f>CMFs!B34</f>
        <v>6.3270000000000007E-2</v>
      </c>
      <c r="E37" s="36">
        <f>CMFs!C34</f>
        <v>0.71</v>
      </c>
      <c r="F37" s="36">
        <f>CMFs!D34</f>
        <v>7.8249990000000005E-2</v>
      </c>
      <c r="G37" s="62"/>
      <c r="H37" s="62"/>
      <c r="I37" s="6">
        <f t="shared" si="6"/>
        <v>2178406926104.7742</v>
      </c>
      <c r="J37" s="37">
        <f t="shared" si="2"/>
        <v>3.737429173314792</v>
      </c>
      <c r="K37" s="37"/>
      <c r="L37" s="38"/>
      <c r="M37" s="43"/>
      <c r="N37" s="39">
        <f t="shared" si="1"/>
        <v>3.737429173314792</v>
      </c>
      <c r="P37" s="17">
        <v>520</v>
      </c>
      <c r="Q37" s="40">
        <v>106.5</v>
      </c>
      <c r="R37" s="40">
        <v>8.6</v>
      </c>
      <c r="S37" s="40">
        <v>-1.2</v>
      </c>
      <c r="V37" s="41">
        <f t="shared" si="5"/>
        <v>83.846814940196069</v>
      </c>
      <c r="W37" s="35">
        <f t="shared" si="3"/>
        <v>3.8596602012258403</v>
      </c>
      <c r="AB37" s="42"/>
    </row>
    <row r="38" spans="1:28" ht="11.5">
      <c r="A38" s="6">
        <v>525</v>
      </c>
      <c r="B38" s="28">
        <f>'Color metric'!B32</f>
        <v>0.55895072417325298</v>
      </c>
      <c r="C38" s="35">
        <f t="shared" si="0"/>
        <v>3.5023280976784603</v>
      </c>
      <c r="D38" s="36">
        <f>CMFs!B35</f>
        <v>0.1096</v>
      </c>
      <c r="E38" s="36">
        <f>CMFs!C35</f>
        <v>0.79320000000000002</v>
      </c>
      <c r="F38" s="36">
        <f>CMFs!D35</f>
        <v>5.7250009999999997E-2</v>
      </c>
      <c r="G38" s="62"/>
      <c r="H38" s="62"/>
      <c r="I38" s="6">
        <f t="shared" si="6"/>
        <v>2249969469538.5942</v>
      </c>
      <c r="J38" s="37">
        <f t="shared" si="2"/>
        <v>3.8602069401044039</v>
      </c>
      <c r="K38" s="37"/>
      <c r="L38" s="38"/>
      <c r="M38" s="43"/>
      <c r="N38" s="39">
        <f t="shared" si="1"/>
        <v>3.8602069401044039</v>
      </c>
      <c r="P38" s="17">
        <v>525</v>
      </c>
      <c r="Q38" s="40">
        <v>107.65</v>
      </c>
      <c r="R38" s="40">
        <v>7.35</v>
      </c>
      <c r="S38" s="40">
        <v>-1.1000000000000001</v>
      </c>
      <c r="V38" s="41">
        <f t="shared" si="5"/>
        <v>87.789841858047822</v>
      </c>
      <c r="W38" s="35">
        <f t="shared" si="3"/>
        <v>4.0411667268827705</v>
      </c>
      <c r="AB38" s="42"/>
    </row>
    <row r="39" spans="1:28" ht="11.5">
      <c r="A39" s="6">
        <v>530</v>
      </c>
      <c r="B39" s="28">
        <f>'Color metric'!B33</f>
        <v>0.61231817287123225</v>
      </c>
      <c r="C39" s="35">
        <f t="shared" si="0"/>
        <v>3.8367230756128863</v>
      </c>
      <c r="D39" s="36">
        <f>CMFs!B36</f>
        <v>0.16550000000000001</v>
      </c>
      <c r="E39" s="36">
        <f>CMFs!C36</f>
        <v>0.86199999999999999</v>
      </c>
      <c r="F39" s="36">
        <f>CMFs!D36</f>
        <v>4.2160000000000003E-2</v>
      </c>
      <c r="G39" s="62"/>
      <c r="H39" s="62"/>
      <c r="I39" s="6">
        <f t="shared" si="6"/>
        <v>2321426442818.4766</v>
      </c>
      <c r="J39" s="37">
        <f t="shared" si="2"/>
        <v>3.9828035832625988</v>
      </c>
      <c r="K39" s="37"/>
      <c r="L39" s="38"/>
      <c r="M39" s="43"/>
      <c r="N39" s="39">
        <f t="shared" si="1"/>
        <v>3.9828035832625988</v>
      </c>
      <c r="P39" s="17">
        <v>530</v>
      </c>
      <c r="Q39" s="40">
        <v>108.8</v>
      </c>
      <c r="R39" s="40">
        <v>6.1</v>
      </c>
      <c r="S39" s="40">
        <v>-1</v>
      </c>
      <c r="V39" s="41">
        <f t="shared" si="5"/>
        <v>91.732868775899576</v>
      </c>
      <c r="W39" s="35">
        <f t="shared" si="3"/>
        <v>4.2226732525397015</v>
      </c>
      <c r="AB39" s="42"/>
    </row>
    <row r="40" spans="1:28" ht="11.5">
      <c r="A40" s="6">
        <v>535</v>
      </c>
      <c r="B40" s="28">
        <f>'Color metric'!B34</f>
        <v>0.6584465473068688</v>
      </c>
      <c r="C40" s="35">
        <f t="shared" si="0"/>
        <v>4.1257587542500724</v>
      </c>
      <c r="D40" s="36">
        <f>CMFs!B37</f>
        <v>0.2257499</v>
      </c>
      <c r="E40" s="36">
        <f>CMFs!C37</f>
        <v>0.9148501</v>
      </c>
      <c r="F40" s="36">
        <f>CMFs!D37</f>
        <v>2.9839999999999998E-2</v>
      </c>
      <c r="G40" s="62"/>
      <c r="H40" s="62"/>
      <c r="I40" s="6">
        <f t="shared" si="6"/>
        <v>2392702204534.4419</v>
      </c>
      <c r="J40" s="37">
        <f t="shared" si="2"/>
        <v>4.1050893270303224</v>
      </c>
      <c r="K40" s="37"/>
      <c r="L40" s="38"/>
      <c r="M40" s="43"/>
      <c r="N40" s="39">
        <f t="shared" si="1"/>
        <v>4.1050893270303224</v>
      </c>
      <c r="P40" s="17">
        <v>535</v>
      </c>
      <c r="Q40" s="40">
        <v>107.05</v>
      </c>
      <c r="R40" s="40">
        <v>5.15</v>
      </c>
      <c r="S40" s="40">
        <v>-0.75</v>
      </c>
      <c r="V40" s="41">
        <f t="shared" si="5"/>
        <v>93.273666531332509</v>
      </c>
      <c r="W40" s="35">
        <f t="shared" si="3"/>
        <v>4.2935996887916241</v>
      </c>
      <c r="AB40" s="42"/>
    </row>
    <row r="41" spans="1:28" ht="11.5">
      <c r="A41" s="6">
        <v>540</v>
      </c>
      <c r="B41" s="28">
        <f>'Color metric'!B35</f>
        <v>0.69848180838657226</v>
      </c>
      <c r="C41" s="35">
        <f t="shared" si="0"/>
        <v>4.3766156074811571</v>
      </c>
      <c r="D41" s="36">
        <f>CMFs!B38</f>
        <v>0.29039999999999999</v>
      </c>
      <c r="E41" s="36">
        <f>CMFs!C38</f>
        <v>0.95399999999999996</v>
      </c>
      <c r="F41" s="36">
        <f>CMFs!D38</f>
        <v>2.0299999999999999E-2</v>
      </c>
      <c r="G41" s="62"/>
      <c r="H41" s="62"/>
      <c r="I41" s="6">
        <f t="shared" si="6"/>
        <v>2463723403600.3081</v>
      </c>
      <c r="J41" s="37">
        <f t="shared" si="2"/>
        <v>4.2269383250902006</v>
      </c>
      <c r="K41" s="37"/>
      <c r="L41" s="38"/>
      <c r="M41" s="43"/>
      <c r="N41" s="39">
        <f t="shared" si="1"/>
        <v>4.2269383250902006</v>
      </c>
      <c r="P41" s="17">
        <v>540</v>
      </c>
      <c r="Q41" s="40">
        <v>105.3</v>
      </c>
      <c r="R41" s="40">
        <v>4.2</v>
      </c>
      <c r="S41" s="40">
        <v>-0.5</v>
      </c>
      <c r="V41" s="41">
        <f t="shared" si="5"/>
        <v>94.814464286765457</v>
      </c>
      <c r="W41" s="35">
        <f t="shared" si="3"/>
        <v>4.3645261250435476</v>
      </c>
      <c r="AB41" s="42"/>
    </row>
    <row r="42" spans="1:28" ht="11.5">
      <c r="A42" s="6">
        <v>545</v>
      </c>
      <c r="B42" s="28">
        <f>'Color metric'!B36</f>
        <v>0.73549176277963701</v>
      </c>
      <c r="C42" s="35">
        <f t="shared" si="0"/>
        <v>4.6085161982825236</v>
      </c>
      <c r="D42" s="36">
        <f>CMFs!B39</f>
        <v>0.35970000000000002</v>
      </c>
      <c r="E42" s="36">
        <f>CMFs!C39</f>
        <v>0.98029999999999995</v>
      </c>
      <c r="F42" s="36">
        <f>CMFs!D39</f>
        <v>1.34E-2</v>
      </c>
      <c r="G42" s="62"/>
      <c r="H42" s="62"/>
      <c r="I42" s="6">
        <f t="shared" si="6"/>
        <v>2534419081550.7427</v>
      </c>
      <c r="J42" s="37">
        <f t="shared" si="2"/>
        <v>4.3482288360746084</v>
      </c>
      <c r="K42" s="37"/>
      <c r="L42" s="38"/>
      <c r="M42" s="43"/>
      <c r="N42" s="39">
        <f t="shared" si="1"/>
        <v>4.3482288360746084</v>
      </c>
      <c r="P42" s="17">
        <v>545</v>
      </c>
      <c r="Q42" s="40">
        <v>104.85</v>
      </c>
      <c r="R42" s="40">
        <v>3.05</v>
      </c>
      <c r="S42" s="40">
        <v>-0.4</v>
      </c>
      <c r="V42" s="41">
        <f t="shared" si="5"/>
        <v>96.98775467407944</v>
      </c>
      <c r="W42" s="35">
        <f t="shared" si="3"/>
        <v>4.4645676402711132</v>
      </c>
      <c r="AB42" s="42"/>
    </row>
    <row r="43" spans="1:28" ht="11.5">
      <c r="A43" s="6">
        <v>550</v>
      </c>
      <c r="B43" s="28">
        <f>'Color metric'!B37</f>
        <v>0.77066112125559127</v>
      </c>
      <c r="C43" s="35">
        <f t="shared" si="0"/>
        <v>4.8288838032263204</v>
      </c>
      <c r="D43" s="36">
        <f>CMFs!B40</f>
        <v>0.4334499</v>
      </c>
      <c r="E43" s="36">
        <f>CMFs!C40</f>
        <v>0.99495009999999995</v>
      </c>
      <c r="F43" s="36">
        <f>CMFs!D40</f>
        <v>8.7499989999999996E-3</v>
      </c>
      <c r="G43" s="62"/>
      <c r="H43" s="62"/>
      <c r="I43" s="6">
        <f t="shared" si="6"/>
        <v>2604720759363.6655</v>
      </c>
      <c r="J43" s="37">
        <f t="shared" si="2"/>
        <v>4.4688433725243319</v>
      </c>
      <c r="K43" s="37"/>
      <c r="L43" s="38"/>
      <c r="M43" s="43"/>
      <c r="N43" s="39">
        <f t="shared" si="1"/>
        <v>4.4688433725243319</v>
      </c>
      <c r="P43" s="17">
        <v>550</v>
      </c>
      <c r="Q43" s="40">
        <v>104.4</v>
      </c>
      <c r="R43" s="40">
        <v>1.9</v>
      </c>
      <c r="S43" s="40">
        <v>-0.3</v>
      </c>
      <c r="V43" s="41">
        <f t="shared" si="5"/>
        <v>99.161045061393438</v>
      </c>
      <c r="W43" s="35">
        <f t="shared" si="3"/>
        <v>4.5646091554986787</v>
      </c>
      <c r="AB43" s="42"/>
    </row>
    <row r="44" spans="1:28" ht="11.5">
      <c r="A44" s="6">
        <v>555</v>
      </c>
      <c r="B44" s="28">
        <f>'Color metric'!B38</f>
        <v>0.80419688981102544</v>
      </c>
      <c r="C44" s="35">
        <f t="shared" si="0"/>
        <v>5.0390155007255313</v>
      </c>
      <c r="D44" s="36">
        <f>CMFs!B41</f>
        <v>0.51205009999999995</v>
      </c>
      <c r="E44" s="36">
        <f>CMFs!C41</f>
        <v>1</v>
      </c>
      <c r="F44" s="36">
        <f>CMFs!D41</f>
        <v>5.7499990000000004E-3</v>
      </c>
      <c r="G44" s="62"/>
      <c r="H44" s="62"/>
      <c r="I44" s="6">
        <f t="shared" si="6"/>
        <v>2674562509596.6265</v>
      </c>
      <c r="J44" s="37">
        <f t="shared" si="2"/>
        <v>4.5886688246508465</v>
      </c>
      <c r="K44" s="37"/>
      <c r="L44" s="38"/>
      <c r="M44" s="43"/>
      <c r="N44" s="39">
        <f t="shared" si="1"/>
        <v>4.5886688246508465</v>
      </c>
      <c r="P44" s="17">
        <v>555</v>
      </c>
      <c r="Q44" s="40">
        <v>102.2</v>
      </c>
      <c r="R44" s="40">
        <v>0.95</v>
      </c>
      <c r="S44" s="40">
        <v>-0.15</v>
      </c>
      <c r="V44" s="41">
        <f t="shared" si="5"/>
        <v>99.580522530696712</v>
      </c>
      <c r="W44" s="35">
        <f t="shared" si="3"/>
        <v>4.5839186605136941</v>
      </c>
      <c r="AB44" s="42"/>
    </row>
    <row r="45" spans="1:28" ht="11.5">
      <c r="A45" s="6">
        <v>560</v>
      </c>
      <c r="B45" s="28">
        <f>'Color metric'!B39</f>
        <v>0.83622552311799836</v>
      </c>
      <c r="C45" s="35">
        <f t="shared" si="0"/>
        <v>5.2397036428281645</v>
      </c>
      <c r="D45" s="36">
        <f>CMFs!B42</f>
        <v>0.59450000000000003</v>
      </c>
      <c r="E45" s="36">
        <f>CMFs!C42</f>
        <v>0.995</v>
      </c>
      <c r="F45" s="36">
        <f>CMFs!D42</f>
        <v>3.8999999999999998E-3</v>
      </c>
      <c r="G45" s="62"/>
      <c r="H45" s="62"/>
      <c r="I45" s="6">
        <f t="shared" si="6"/>
        <v>2743881014642.2847</v>
      </c>
      <c r="J45" s="37">
        <f t="shared" si="2"/>
        <v>4.7075965602835366</v>
      </c>
      <c r="K45" s="37"/>
      <c r="L45" s="38"/>
      <c r="M45" s="43"/>
      <c r="N45" s="39">
        <f t="shared" si="1"/>
        <v>4.7075965602835366</v>
      </c>
      <c r="P45" s="17">
        <v>560</v>
      </c>
      <c r="Q45" s="40">
        <v>100</v>
      </c>
      <c r="R45" s="40">
        <v>0</v>
      </c>
      <c r="S45" s="40">
        <v>0</v>
      </c>
      <c r="V45" s="41">
        <f t="shared" si="5"/>
        <v>100</v>
      </c>
      <c r="W45" s="35">
        <f t="shared" si="3"/>
        <v>4.6032281655287104</v>
      </c>
      <c r="AB45" s="42"/>
    </row>
    <row r="46" spans="1:28" ht="11.5">
      <c r="A46" s="6">
        <v>565</v>
      </c>
      <c r="B46" s="28">
        <f>'Color metric'!B40</f>
        <v>0.86750595335138514</v>
      </c>
      <c r="C46" s="35">
        <f t="shared" si="0"/>
        <v>5.4357036209584439</v>
      </c>
      <c r="D46" s="36">
        <f>CMFs!B43</f>
        <v>0.6784</v>
      </c>
      <c r="E46" s="36">
        <f>CMFs!C43</f>
        <v>0.97860000000000003</v>
      </c>
      <c r="F46" s="36">
        <f>CMFs!D43</f>
        <v>2.7499989999999999E-3</v>
      </c>
      <c r="G46" s="62"/>
      <c r="H46" s="62"/>
      <c r="I46" s="6">
        <f t="shared" si="6"/>
        <v>2812615611917.2988</v>
      </c>
      <c r="J46" s="37">
        <f t="shared" si="2"/>
        <v>4.8255225023989663</v>
      </c>
      <c r="K46" s="37"/>
      <c r="L46" s="38"/>
      <c r="M46" s="43"/>
      <c r="N46" s="39">
        <f t="shared" si="1"/>
        <v>4.8255225023989663</v>
      </c>
      <c r="P46" s="17">
        <v>565</v>
      </c>
      <c r="Q46" s="40">
        <v>98</v>
      </c>
      <c r="R46" s="40">
        <v>-0.8</v>
      </c>
      <c r="S46" s="40">
        <v>0.1</v>
      </c>
      <c r="V46" s="41">
        <f t="shared" si="5"/>
        <v>100.02921253043181</v>
      </c>
      <c r="W46" s="35">
        <f t="shared" si="3"/>
        <v>4.6045728849574106</v>
      </c>
      <c r="AB46" s="42"/>
    </row>
    <row r="47" spans="1:28" ht="11.5">
      <c r="A47" s="6">
        <v>570</v>
      </c>
      <c r="B47" s="28">
        <f>'Color metric'!B41</f>
        <v>0.89760987574374007</v>
      </c>
      <c r="C47" s="35">
        <f t="shared" si="0"/>
        <v>5.6243317212279695</v>
      </c>
      <c r="D47" s="36">
        <f>CMFs!B44</f>
        <v>0.7621</v>
      </c>
      <c r="E47" s="36">
        <f>CMFs!C44</f>
        <v>0.95199999999999996</v>
      </c>
      <c r="F47" s="36">
        <f>CMFs!D44</f>
        <v>2.0999999999999999E-3</v>
      </c>
      <c r="G47" s="62"/>
      <c r="H47" s="62"/>
      <c r="I47" s="6">
        <f t="shared" si="6"/>
        <v>2880708326800.2803</v>
      </c>
      <c r="J47" s="37">
        <f t="shared" si="2"/>
        <v>4.9423471856315517</v>
      </c>
      <c r="K47" s="37"/>
      <c r="L47" s="38"/>
      <c r="M47" s="43"/>
      <c r="N47" s="39">
        <f t="shared" si="1"/>
        <v>4.9423471856315517</v>
      </c>
      <c r="P47" s="17">
        <v>570</v>
      </c>
      <c r="Q47" s="40">
        <v>96</v>
      </c>
      <c r="R47" s="40">
        <v>-1.6</v>
      </c>
      <c r="S47" s="40">
        <v>0.2</v>
      </c>
      <c r="V47" s="41">
        <f t="shared" si="5"/>
        <v>100.0584250608636</v>
      </c>
      <c r="W47" s="35">
        <f t="shared" si="3"/>
        <v>4.6059176043861108</v>
      </c>
      <c r="AB47" s="42"/>
    </row>
    <row r="48" spans="1:28" ht="11.5">
      <c r="A48" s="6">
        <v>575</v>
      </c>
      <c r="B48" s="28">
        <f>'Color metric'!B42</f>
        <v>0.92614862028454326</v>
      </c>
      <c r="C48" s="35">
        <f t="shared" si="0"/>
        <v>5.8031525770834875</v>
      </c>
      <c r="D48" s="36">
        <f>CMFs!B45</f>
        <v>0.84250000000000003</v>
      </c>
      <c r="E48" s="36">
        <f>CMFs!C45</f>
        <v>0.91539999999999999</v>
      </c>
      <c r="F48" s="36">
        <f>CMFs!D45</f>
        <v>1.8E-3</v>
      </c>
      <c r="G48" s="62"/>
      <c r="H48" s="62"/>
      <c r="I48" s="6">
        <f t="shared" si="6"/>
        <v>2948103894130.1055</v>
      </c>
      <c r="J48" s="37">
        <f t="shared" si="2"/>
        <v>5.0579757931575982</v>
      </c>
      <c r="K48" s="37"/>
      <c r="L48" s="38"/>
      <c r="M48" s="43"/>
      <c r="N48" s="39">
        <f t="shared" si="1"/>
        <v>5.0579757931575982</v>
      </c>
      <c r="P48" s="17">
        <v>575</v>
      </c>
      <c r="Q48" s="40">
        <v>95.55</v>
      </c>
      <c r="R48" s="40">
        <v>-2.5499999999999998</v>
      </c>
      <c r="S48" s="40">
        <v>0.35</v>
      </c>
      <c r="V48" s="41">
        <f t="shared" si="5"/>
        <v>102.22790253016689</v>
      </c>
      <c r="W48" s="35">
        <f t="shared" si="3"/>
        <v>4.7057836022978794</v>
      </c>
      <c r="AB48" s="42"/>
    </row>
    <row r="49" spans="1:28" ht="11.5">
      <c r="A49" s="6">
        <v>580</v>
      </c>
      <c r="B49" s="28">
        <f>'Color metric'!B43</f>
        <v>0.95163814404877634</v>
      </c>
      <c r="C49" s="35">
        <f t="shared" si="0"/>
        <v>5.9628673272664487</v>
      </c>
      <c r="D49" s="36">
        <f>CMFs!B46</f>
        <v>0.9163</v>
      </c>
      <c r="E49" s="36">
        <f>CMFs!C46</f>
        <v>0.87</v>
      </c>
      <c r="F49" s="36">
        <f>CMFs!D46</f>
        <v>1.6500009999999999E-3</v>
      </c>
      <c r="G49" s="62"/>
      <c r="H49" s="62"/>
      <c r="I49" s="6">
        <f t="shared" si="6"/>
        <v>3014749769065.8398</v>
      </c>
      <c r="J49" s="37">
        <f t="shared" si="2"/>
        <v>5.1723181753273488</v>
      </c>
      <c r="K49" s="37"/>
      <c r="L49" s="38"/>
      <c r="M49" s="43"/>
      <c r="N49" s="39">
        <f t="shared" si="1"/>
        <v>5.1723181753273488</v>
      </c>
      <c r="P49" s="17">
        <v>580</v>
      </c>
      <c r="Q49" s="40">
        <v>95.1</v>
      </c>
      <c r="R49" s="40">
        <v>-3.5</v>
      </c>
      <c r="S49" s="40">
        <v>0.5</v>
      </c>
      <c r="V49" s="41">
        <f t="shared" si="5"/>
        <v>104.39737999947016</v>
      </c>
      <c r="W49" s="35">
        <f t="shared" si="3"/>
        <v>4.8056496002096463</v>
      </c>
      <c r="AB49" s="42"/>
    </row>
    <row r="50" spans="1:28" ht="11.5">
      <c r="A50" s="6">
        <v>585</v>
      </c>
      <c r="B50" s="28">
        <f>'Color metric'!B44</f>
        <v>0.97358091373391409</v>
      </c>
      <c r="C50" s="35">
        <f t="shared" si="0"/>
        <v>6.1003584789646874</v>
      </c>
      <c r="D50" s="36">
        <f>CMFs!B47</f>
        <v>0.97860000000000003</v>
      </c>
      <c r="E50" s="36">
        <f>CMFs!C47</f>
        <v>0.81630000000000003</v>
      </c>
      <c r="F50" s="36">
        <f>CMFs!D47</f>
        <v>1.4E-3</v>
      </c>
      <c r="G50" s="62"/>
      <c r="H50" s="62"/>
      <c r="I50" s="6">
        <f t="shared" si="6"/>
        <v>3080596128094.8408</v>
      </c>
      <c r="J50" s="37">
        <f t="shared" si="2"/>
        <v>5.285288851394558</v>
      </c>
      <c r="K50" s="37"/>
      <c r="L50" s="38"/>
      <c r="M50" s="43"/>
      <c r="N50" s="39">
        <f t="shared" si="1"/>
        <v>5.285288851394558</v>
      </c>
      <c r="P50" s="17">
        <v>585</v>
      </c>
      <c r="Q50" s="40">
        <v>92.1</v>
      </c>
      <c r="R50" s="40">
        <v>-3.5</v>
      </c>
      <c r="S50" s="40">
        <v>1.3</v>
      </c>
      <c r="V50" s="41">
        <f t="shared" si="5"/>
        <v>106.76794228850747</v>
      </c>
      <c r="W50" s="35">
        <f t="shared" si="3"/>
        <v>4.9147719911800145</v>
      </c>
      <c r="AB50" s="42"/>
    </row>
    <row r="51" spans="1:28" ht="11.5">
      <c r="A51" s="6">
        <v>590</v>
      </c>
      <c r="B51" s="28">
        <f>'Color metric'!B45</f>
        <v>0.98899127955690336</v>
      </c>
      <c r="C51" s="35">
        <f t="shared" si="0"/>
        <v>6.1969182558523368</v>
      </c>
      <c r="D51" s="36">
        <f>CMFs!B48</f>
        <v>1.0263</v>
      </c>
      <c r="E51" s="36">
        <f>CMFs!C48</f>
        <v>0.75700000000000001</v>
      </c>
      <c r="F51" s="36">
        <f>CMFs!D48</f>
        <v>1.1000000000000001E-3</v>
      </c>
      <c r="G51" s="62"/>
      <c r="H51" s="62"/>
      <c r="I51" s="6">
        <f t="shared" si="6"/>
        <v>3145595860957.2729</v>
      </c>
      <c r="J51" s="37">
        <f t="shared" si="2"/>
        <v>5.3968069956616214</v>
      </c>
      <c r="K51" s="37"/>
      <c r="L51" s="38"/>
      <c r="M51" s="43"/>
      <c r="N51" s="39">
        <f t="shared" si="1"/>
        <v>5.3968069956616214</v>
      </c>
      <c r="P51" s="17">
        <v>590</v>
      </c>
      <c r="Q51" s="40">
        <v>89.1</v>
      </c>
      <c r="R51" s="40">
        <v>-3.5</v>
      </c>
      <c r="S51" s="40">
        <v>2.1</v>
      </c>
      <c r="V51" s="41">
        <f t="shared" si="5"/>
        <v>109.13850457754478</v>
      </c>
      <c r="W51" s="35">
        <f t="shared" si="3"/>
        <v>5.0238943821503819</v>
      </c>
      <c r="AB51" s="42"/>
    </row>
    <row r="52" spans="1:28" ht="11.5">
      <c r="A52" s="6">
        <v>595</v>
      </c>
      <c r="B52" s="28">
        <f>'Color metric'!B46</f>
        <v>0.99767166544191965</v>
      </c>
      <c r="C52" s="35">
        <f t="shared" si="0"/>
        <v>6.2513086664359365</v>
      </c>
      <c r="D52" s="36">
        <f>CMFs!B49</f>
        <v>1.0567</v>
      </c>
      <c r="E52" s="36">
        <f>CMFs!C49</f>
        <v>0.69489999999999996</v>
      </c>
      <c r="F52" s="36">
        <f>CMFs!D49</f>
        <v>1E-3</v>
      </c>
      <c r="G52" s="62"/>
      <c r="H52" s="62"/>
      <c r="I52" s="6">
        <f t="shared" si="6"/>
        <v>3209704554233.2466</v>
      </c>
      <c r="J52" s="37">
        <f t="shared" si="2"/>
        <v>5.5067964093205042</v>
      </c>
      <c r="K52" s="37"/>
      <c r="L52" s="38"/>
      <c r="M52" s="43"/>
      <c r="N52" s="39">
        <f t="shared" si="1"/>
        <v>5.5067964093205042</v>
      </c>
      <c r="P52" s="17">
        <v>595</v>
      </c>
      <c r="Q52" s="40">
        <v>89.8</v>
      </c>
      <c r="R52" s="40">
        <v>-4.6500000000000004</v>
      </c>
      <c r="S52" s="40">
        <v>2.65</v>
      </c>
      <c r="V52" s="41">
        <f t="shared" si="5"/>
        <v>115.48273625244227</v>
      </c>
      <c r="W52" s="35">
        <f t="shared" si="3"/>
        <v>5.3159338414956565</v>
      </c>
      <c r="AB52" s="42"/>
    </row>
    <row r="53" spans="1:28" ht="11.5">
      <c r="A53" s="6">
        <v>600</v>
      </c>
      <c r="B53" s="28">
        <f>'Color metric'!B47</f>
        <v>0.99971044499709616</v>
      </c>
      <c r="C53" s="35">
        <f t="shared" si="0"/>
        <v>6.2640834507098617</v>
      </c>
      <c r="D53" s="36">
        <f>CMFs!B50</f>
        <v>1.0622</v>
      </c>
      <c r="E53" s="36">
        <f>CMFs!C50</f>
        <v>0.63100000000000001</v>
      </c>
      <c r="F53" s="36">
        <f>CMFs!D50</f>
        <v>8.0000000000000004E-4</v>
      </c>
      <c r="G53" s="62"/>
      <c r="H53" s="62"/>
      <c r="I53" s="6">
        <f t="shared" si="6"/>
        <v>3272880467314.4692</v>
      </c>
      <c r="J53" s="37">
        <f t="shared" si="2"/>
        <v>5.6151854792280087</v>
      </c>
      <c r="K53" s="37"/>
      <c r="L53" s="38"/>
      <c r="M53" s="43"/>
      <c r="N53" s="39">
        <f t="shared" si="1"/>
        <v>5.6151854792280087</v>
      </c>
      <c r="P53" s="17">
        <v>600</v>
      </c>
      <c r="Q53" s="40">
        <v>90.5</v>
      </c>
      <c r="R53" s="40">
        <v>-5.8</v>
      </c>
      <c r="S53" s="40">
        <v>3.2</v>
      </c>
      <c r="V53" s="41">
        <f t="shared" si="5"/>
        <v>121.82696792733974</v>
      </c>
      <c r="W53" s="35">
        <f t="shared" si="3"/>
        <v>5.6079733008409312</v>
      </c>
      <c r="AB53" s="42"/>
    </row>
    <row r="54" spans="1:28" ht="11.5">
      <c r="A54" s="6">
        <v>605</v>
      </c>
      <c r="B54" s="28">
        <f>'Color metric'!B48</f>
        <v>0.99249981705009171</v>
      </c>
      <c r="C54" s="35">
        <f t="shared" si="0"/>
        <v>6.2189023931165428</v>
      </c>
      <c r="D54" s="36">
        <f>CMFs!B51</f>
        <v>1.0456000000000001</v>
      </c>
      <c r="E54" s="36">
        <f>CMFs!C51</f>
        <v>0.56679999999999997</v>
      </c>
      <c r="F54" s="36">
        <f>CMFs!D51</f>
        <v>5.9999999999999995E-4</v>
      </c>
      <c r="G54" s="62"/>
      <c r="H54" s="62"/>
      <c r="I54" s="6">
        <f t="shared" si="6"/>
        <v>3335084501455.5161</v>
      </c>
      <c r="J54" s="37">
        <f t="shared" si="2"/>
        <v>5.7219071248079381</v>
      </c>
      <c r="K54" s="37"/>
      <c r="L54" s="38"/>
      <c r="M54" s="43"/>
      <c r="N54" s="39">
        <f t="shared" si="1"/>
        <v>5.7219071248079381</v>
      </c>
      <c r="P54" s="17">
        <v>605</v>
      </c>
      <c r="Q54" s="40">
        <v>90.4</v>
      </c>
      <c r="R54" s="40">
        <v>-6.5</v>
      </c>
      <c r="S54" s="40">
        <v>3.65</v>
      </c>
      <c r="V54" s="41">
        <f t="shared" si="5"/>
        <v>125.9360649286876</v>
      </c>
      <c r="W54" s="35">
        <f t="shared" si="3"/>
        <v>5.7971244113558713</v>
      </c>
      <c r="AB54" s="42"/>
    </row>
    <row r="55" spans="1:28" ht="11.5">
      <c r="A55" s="6">
        <v>610</v>
      </c>
      <c r="B55" s="28">
        <f>'Color metric'!B49</f>
        <v>0.97762727685260553</v>
      </c>
      <c r="C55" s="35">
        <f t="shared" si="0"/>
        <v>6.1257125766178655</v>
      </c>
      <c r="D55" s="36">
        <f>CMFs!B52</f>
        <v>1.0025999999999999</v>
      </c>
      <c r="E55" s="36">
        <f>CMFs!C52</f>
        <v>0.503</v>
      </c>
      <c r="F55" s="36">
        <f>CMFs!D52</f>
        <v>3.4000000000000002E-4</v>
      </c>
      <c r="G55" s="62"/>
      <c r="H55" s="62"/>
      <c r="I55" s="6">
        <f t="shared" si="6"/>
        <v>3396280162571.6514</v>
      </c>
      <c r="J55" s="37">
        <f t="shared" si="2"/>
        <v>5.8268987342244092</v>
      </c>
      <c r="K55" s="37"/>
      <c r="L55" s="38"/>
      <c r="M55" s="43"/>
      <c r="N55" s="39">
        <f t="shared" si="1"/>
        <v>5.8268987342244092</v>
      </c>
      <c r="P55" s="17">
        <v>610</v>
      </c>
      <c r="Q55" s="40">
        <v>90.3</v>
      </c>
      <c r="R55" s="40">
        <v>-7.2</v>
      </c>
      <c r="S55" s="40">
        <v>4.0999999999999996</v>
      </c>
      <c r="V55" s="41">
        <f t="shared" si="5"/>
        <v>130.04516193003545</v>
      </c>
      <c r="W55" s="35">
        <f t="shared" si="3"/>
        <v>5.9862755218708115</v>
      </c>
      <c r="AB55" s="42"/>
    </row>
    <row r="56" spans="1:28" ht="11.5">
      <c r="A56" s="6">
        <v>615</v>
      </c>
      <c r="B56" s="28">
        <f>'Color metric'!B50</f>
        <v>0.95710292718056567</v>
      </c>
      <c r="C56" s="35">
        <f t="shared" si="0"/>
        <v>5.9971090997205314</v>
      </c>
      <c r="D56" s="36">
        <f>CMFs!B53</f>
        <v>0.93840000000000001</v>
      </c>
      <c r="E56" s="36">
        <f>CMFs!C53</f>
        <v>0.44119999999999998</v>
      </c>
      <c r="F56" s="36">
        <f>CMFs!D53</f>
        <v>2.4000000000000001E-4</v>
      </c>
      <c r="G56" s="62"/>
      <c r="H56" s="62"/>
      <c r="I56" s="6">
        <f t="shared" si="6"/>
        <v>3456433518420.4233</v>
      </c>
      <c r="J56" s="37">
        <f t="shared" si="2"/>
        <v>5.930102090919565</v>
      </c>
      <c r="K56" s="37"/>
      <c r="L56" s="38"/>
      <c r="M56" s="43"/>
      <c r="N56" s="39">
        <f t="shared" si="1"/>
        <v>5.930102090919565</v>
      </c>
      <c r="P56" s="17">
        <v>615</v>
      </c>
      <c r="Q56" s="40">
        <v>89.35</v>
      </c>
      <c r="R56" s="40">
        <v>-7.9</v>
      </c>
      <c r="S56" s="40">
        <v>4.4000000000000004</v>
      </c>
      <c r="V56" s="41">
        <f t="shared" si="5"/>
        <v>132.29727850218882</v>
      </c>
      <c r="W56" s="35">
        <f t="shared" si="3"/>
        <v>6.0899455862407148</v>
      </c>
      <c r="AB56" s="42"/>
    </row>
    <row r="57" spans="1:28" ht="11.5">
      <c r="A57" s="6">
        <v>620</v>
      </c>
      <c r="B57" s="28">
        <f>'Color metric'!B51</f>
        <v>0.92699444845237799</v>
      </c>
      <c r="C57" s="35">
        <f t="shared" si="0"/>
        <v>5.8084524499164587</v>
      </c>
      <c r="D57" s="36">
        <f>CMFs!B54</f>
        <v>0.85444989999999998</v>
      </c>
      <c r="E57" s="36">
        <f>CMFs!C54</f>
        <v>0.38100000000000001</v>
      </c>
      <c r="F57" s="36">
        <f>CMFs!D54</f>
        <v>1.9000000000000001E-4</v>
      </c>
      <c r="G57" s="62"/>
      <c r="H57" s="62"/>
      <c r="I57" s="6">
        <f t="shared" si="6"/>
        <v>3515513150773.9214</v>
      </c>
      <c r="J57" s="37">
        <f t="shared" si="2"/>
        <v>6.0314632915569035</v>
      </c>
      <c r="K57" s="37"/>
      <c r="L57" s="38"/>
      <c r="M57" s="43"/>
      <c r="N57" s="39">
        <f t="shared" si="1"/>
        <v>6.0314632915569035</v>
      </c>
      <c r="P57" s="17">
        <v>620</v>
      </c>
      <c r="Q57" s="40">
        <v>88.4</v>
      </c>
      <c r="R57" s="40">
        <v>-8.6</v>
      </c>
      <c r="S57" s="40">
        <v>4.7</v>
      </c>
      <c r="V57" s="41">
        <f t="shared" si="5"/>
        <v>134.54939507434219</v>
      </c>
      <c r="W57" s="35">
        <f t="shared" si="3"/>
        <v>6.1936156506106181</v>
      </c>
      <c r="AB57" s="42"/>
    </row>
    <row r="58" spans="1:28" ht="11.5">
      <c r="A58" s="6">
        <v>625</v>
      </c>
      <c r="B58" s="28">
        <f>'Color metric'!B52</f>
        <v>0.88815042302655034</v>
      </c>
      <c r="C58" s="35">
        <f t="shared" si="0"/>
        <v>5.565059757515824</v>
      </c>
      <c r="D58" s="36">
        <f>CMFs!B55</f>
        <v>0.75139999999999996</v>
      </c>
      <c r="E58" s="36">
        <f>CMFs!C55</f>
        <v>0.32100000000000001</v>
      </c>
      <c r="F58" s="36">
        <f>CMFs!D55</f>
        <v>1E-4</v>
      </c>
      <c r="G58" s="62"/>
      <c r="H58" s="62"/>
      <c r="I58" s="6">
        <f t="shared" si="6"/>
        <v>3573490103157.5845</v>
      </c>
      <c r="J58" s="37">
        <f t="shared" si="2"/>
        <v>6.1309326563582918</v>
      </c>
      <c r="K58" s="37"/>
      <c r="L58" s="38"/>
      <c r="M58" s="43"/>
      <c r="N58" s="39">
        <f t="shared" si="1"/>
        <v>6.1309326563582918</v>
      </c>
      <c r="P58" s="17">
        <v>625</v>
      </c>
      <c r="Q58" s="40">
        <v>86.2</v>
      </c>
      <c r="R58" s="40">
        <v>-9.0500000000000007</v>
      </c>
      <c r="S58" s="40">
        <v>4.9000000000000004</v>
      </c>
      <c r="V58" s="41">
        <f t="shared" si="5"/>
        <v>134.45585003402147</v>
      </c>
      <c r="W58" s="35">
        <f t="shared" si="3"/>
        <v>6.1893095589671203</v>
      </c>
      <c r="AB58" s="42"/>
    </row>
    <row r="59" spans="1:28" ht="11.5">
      <c r="A59" s="6">
        <v>630</v>
      </c>
      <c r="B59" s="28">
        <f>'Color metric'!B53</f>
        <v>0.84397584865890107</v>
      </c>
      <c r="C59" s="35">
        <f t="shared" si="0"/>
        <v>5.288266390373054</v>
      </c>
      <c r="D59" s="36">
        <f>CMFs!B56</f>
        <v>0.64239999999999997</v>
      </c>
      <c r="E59" s="36">
        <f>CMFs!C56</f>
        <v>0.26500000000000001</v>
      </c>
      <c r="F59" s="36">
        <f>CMFs!D56</f>
        <v>4.9999990000000002E-5</v>
      </c>
      <c r="G59" s="62"/>
      <c r="H59" s="62"/>
      <c r="I59" s="6">
        <f t="shared" si="6"/>
        <v>3630337824700.2734</v>
      </c>
      <c r="J59" s="37">
        <f t="shared" si="2"/>
        <v>6.2284646327691586</v>
      </c>
      <c r="K59" s="37"/>
      <c r="L59" s="38"/>
      <c r="M59" s="43"/>
      <c r="N59" s="39">
        <f t="shared" si="1"/>
        <v>6.2284646327691586</v>
      </c>
      <c r="P59" s="17">
        <v>630</v>
      </c>
      <c r="Q59" s="40">
        <v>84</v>
      </c>
      <c r="R59" s="40">
        <v>-9.5</v>
      </c>
      <c r="S59" s="40">
        <v>5.0999999999999996</v>
      </c>
      <c r="V59" s="41">
        <f t="shared" si="5"/>
        <v>134.36230499370072</v>
      </c>
      <c r="W59" s="35">
        <f t="shared" si="3"/>
        <v>6.1850034673236198</v>
      </c>
      <c r="AB59" s="42"/>
    </row>
    <row r="60" spans="1:28" ht="11.5">
      <c r="A60" s="6">
        <v>635</v>
      </c>
      <c r="B60" s="28">
        <f>'Color metric'!B54</f>
        <v>0.79876622891989113</v>
      </c>
      <c r="C60" s="35">
        <f t="shared" si="0"/>
        <v>5.0049875347431705</v>
      </c>
      <c r="D60" s="36">
        <f>CMFs!B57</f>
        <v>0.54190000000000005</v>
      </c>
      <c r="E60" s="36">
        <f>CMFs!C57</f>
        <v>0.217</v>
      </c>
      <c r="F60" s="36">
        <f>CMFs!D57</f>
        <v>3.0000000000000001E-5</v>
      </c>
      <c r="G60" s="62"/>
      <c r="H60" s="62"/>
      <c r="I60" s="6">
        <f t="shared" si="6"/>
        <v>3686032110609.1836</v>
      </c>
      <c r="J60" s="37">
        <f t="shared" si="2"/>
        <v>6.3240176933330536</v>
      </c>
      <c r="K60" s="37"/>
      <c r="L60" s="38"/>
      <c r="M60" s="43"/>
      <c r="N60" s="39">
        <f t="shared" si="1"/>
        <v>6.3240176933330536</v>
      </c>
      <c r="P60" s="17">
        <v>635</v>
      </c>
      <c r="Q60" s="40">
        <v>84.55</v>
      </c>
      <c r="R60" s="40">
        <v>-10.199999999999999</v>
      </c>
      <c r="S60" s="40">
        <v>5.9</v>
      </c>
      <c r="V60" s="41">
        <f t="shared" si="5"/>
        <v>141.47102299650243</v>
      </c>
      <c r="W60" s="35">
        <f t="shared" si="3"/>
        <v>6.5122339766365984</v>
      </c>
      <c r="AB60" s="42"/>
    </row>
    <row r="61" spans="1:28" ht="11.5">
      <c r="A61" s="6">
        <v>640</v>
      </c>
      <c r="B61" s="28">
        <f>'Color metric'!B55</f>
        <v>0.75022952971835399</v>
      </c>
      <c r="C61" s="35">
        <f t="shared" si="0"/>
        <v>4.7008615393192521</v>
      </c>
      <c r="D61" s="36">
        <f>CMFs!B58</f>
        <v>0.44790000000000002</v>
      </c>
      <c r="E61" s="36">
        <f>CMFs!C58</f>
        <v>0.17499999999999999</v>
      </c>
      <c r="F61" s="36">
        <f>CMFs!D58</f>
        <v>2.0000000000000002E-5</v>
      </c>
      <c r="G61" s="62"/>
      <c r="H61" s="62"/>
      <c r="I61" s="6">
        <f t="shared" si="6"/>
        <v>3740551039752.2119</v>
      </c>
      <c r="J61" s="37">
        <f t="shared" si="2"/>
        <v>6.4175542286035236</v>
      </c>
      <c r="K61" s="37"/>
      <c r="L61" s="38"/>
      <c r="M61" s="43"/>
      <c r="N61" s="39">
        <f t="shared" si="1"/>
        <v>6.4175542286035236</v>
      </c>
      <c r="P61" s="17">
        <v>640</v>
      </c>
      <c r="Q61" s="40">
        <v>85.1</v>
      </c>
      <c r="R61" s="40">
        <v>-10.9</v>
      </c>
      <c r="S61" s="40">
        <v>6.7</v>
      </c>
      <c r="V61" s="41">
        <f t="shared" si="5"/>
        <v>148.57974099930411</v>
      </c>
      <c r="W61" s="35">
        <f t="shared" si="3"/>
        <v>6.8394644859495752</v>
      </c>
      <c r="AB61" s="42"/>
    </row>
    <row r="62" spans="1:28" ht="11.5">
      <c r="A62" s="6">
        <v>645</v>
      </c>
      <c r="B62" s="28">
        <f>'Color metric'!B56</f>
        <v>0.69795008845549134</v>
      </c>
      <c r="C62" s="35">
        <f t="shared" si="0"/>
        <v>4.3732839047492664</v>
      </c>
      <c r="D62" s="36">
        <f>CMFs!B59</f>
        <v>0.36080000000000001</v>
      </c>
      <c r="E62" s="36">
        <f>CMFs!C59</f>
        <v>0.13819999999999999</v>
      </c>
      <c r="F62" s="36">
        <f>CMFs!D59</f>
        <v>1.0000000000000001E-5</v>
      </c>
      <c r="G62" s="62"/>
      <c r="H62" s="62"/>
      <c r="I62" s="6">
        <f t="shared" si="6"/>
        <v>3793874909800.0005</v>
      </c>
      <c r="J62" s="37">
        <f t="shared" si="2"/>
        <v>6.5090404358692204</v>
      </c>
      <c r="K62" s="37"/>
      <c r="L62" s="38"/>
      <c r="M62" s="43"/>
      <c r="N62" s="39">
        <f t="shared" si="1"/>
        <v>6.5090404358692204</v>
      </c>
      <c r="P62" s="17">
        <v>645</v>
      </c>
      <c r="Q62" s="40">
        <v>83.5</v>
      </c>
      <c r="R62" s="40">
        <v>-10.8</v>
      </c>
      <c r="S62" s="40">
        <v>7</v>
      </c>
      <c r="V62" s="41">
        <f t="shared" si="5"/>
        <v>148.82396532715535</v>
      </c>
      <c r="W62" s="35">
        <f t="shared" si="3"/>
        <v>6.8507066889962971</v>
      </c>
      <c r="AB62" s="42"/>
    </row>
    <row r="63" spans="1:28" ht="11.5">
      <c r="A63" s="6">
        <v>650</v>
      </c>
      <c r="B63" s="28">
        <f>'Color metric'!B57</f>
        <v>0.64430444475501958</v>
      </c>
      <c r="C63" s="35">
        <f t="shared" si="0"/>
        <v>4.0371457853683301</v>
      </c>
      <c r="D63" s="36">
        <f>CMFs!B60</f>
        <v>0.28349999999999997</v>
      </c>
      <c r="E63" s="36">
        <f>CMFs!C60</f>
        <v>0.107</v>
      </c>
      <c r="F63" s="36">
        <f>CMFs!D60</f>
        <v>0</v>
      </c>
      <c r="G63" s="62"/>
      <c r="H63" s="62"/>
      <c r="I63" s="6">
        <f t="shared" si="6"/>
        <v>3845986170349.8862</v>
      </c>
      <c r="J63" s="37">
        <f t="shared" si="2"/>
        <v>6.5984462044166099</v>
      </c>
      <c r="K63" s="37"/>
      <c r="L63" s="38"/>
      <c r="M63" s="43"/>
      <c r="N63" s="39">
        <f t="shared" si="1"/>
        <v>6.5984462044166099</v>
      </c>
      <c r="P63" s="17">
        <v>650</v>
      </c>
      <c r="Q63" s="40">
        <v>81.900000000000006</v>
      </c>
      <c r="R63" s="40">
        <v>-10.7</v>
      </c>
      <c r="S63" s="40">
        <v>7.3</v>
      </c>
      <c r="V63" s="41">
        <f t="shared" si="5"/>
        <v>149.06818965500656</v>
      </c>
      <c r="W63" s="35">
        <f t="shared" si="3"/>
        <v>6.8619488920430172</v>
      </c>
      <c r="AB63" s="42"/>
    </row>
    <row r="64" spans="1:28" ht="11.5">
      <c r="A64" s="6">
        <v>655</v>
      </c>
      <c r="B64" s="28">
        <f>'Color metric'!B58</f>
        <v>0.59120222539010536</v>
      </c>
      <c r="C64" s="35">
        <f t="shared" si="0"/>
        <v>3.7044127073212261</v>
      </c>
      <c r="D64" s="36">
        <f>CMFs!B61</f>
        <v>0.21870000000000001</v>
      </c>
      <c r="E64" s="36">
        <f>CMFs!C61</f>
        <v>8.1600000000000006E-2</v>
      </c>
      <c r="F64" s="36">
        <f>CMFs!D61</f>
        <v>0</v>
      </c>
      <c r="G64" s="62"/>
      <c r="H64" s="62"/>
      <c r="I64" s="6">
        <f t="shared" si="6"/>
        <v>3896869354425.0356</v>
      </c>
      <c r="J64" s="37">
        <f t="shared" si="2"/>
        <v>6.6857449980050321</v>
      </c>
      <c r="K64" s="37"/>
      <c r="L64" s="38"/>
      <c r="M64" s="43"/>
      <c r="N64" s="39">
        <f t="shared" si="1"/>
        <v>6.6857449980050321</v>
      </c>
      <c r="P64" s="17">
        <v>655</v>
      </c>
      <c r="Q64" s="40">
        <v>82.25</v>
      </c>
      <c r="R64" s="40">
        <v>-11.35</v>
      </c>
      <c r="S64" s="40">
        <v>7.95</v>
      </c>
      <c r="V64" s="41">
        <f t="shared" si="5"/>
        <v>154.88505896334487</v>
      </c>
      <c r="W64" s="35">
        <f t="shared" si="3"/>
        <v>7.1297126583964419</v>
      </c>
      <c r="AB64" s="42"/>
    </row>
    <row r="65" spans="1:28" ht="11.5">
      <c r="A65" s="6">
        <v>660</v>
      </c>
      <c r="B65" s="28">
        <f>'Color metric'!B59</f>
        <v>0.53890700305334471</v>
      </c>
      <c r="C65" s="35">
        <f t="shared" si="0"/>
        <v>3.3767361901554516</v>
      </c>
      <c r="D65" s="36">
        <f>CMFs!B62</f>
        <v>0.16489999999999999</v>
      </c>
      <c r="E65" s="36">
        <f>CMFs!C62</f>
        <v>6.0999999999999999E-2</v>
      </c>
      <c r="F65" s="36">
        <f>CMFs!D62</f>
        <v>0</v>
      </c>
      <c r="G65" s="62"/>
      <c r="H65" s="62"/>
      <c r="I65" s="6">
        <f t="shared" si="6"/>
        <v>3946511008713.5479</v>
      </c>
      <c r="J65" s="37">
        <f t="shared" si="2"/>
        <v>6.7709137351799749</v>
      </c>
      <c r="K65" s="37"/>
      <c r="L65" s="38"/>
      <c r="M65" s="43"/>
      <c r="N65" s="39">
        <f t="shared" si="1"/>
        <v>6.7709137351799749</v>
      </c>
      <c r="P65" s="17">
        <v>660</v>
      </c>
      <c r="Q65" s="40">
        <v>82.6</v>
      </c>
      <c r="R65" s="40">
        <v>-12</v>
      </c>
      <c r="S65" s="40">
        <v>8.6</v>
      </c>
      <c r="V65" s="41">
        <f t="shared" si="5"/>
        <v>160.70192827168316</v>
      </c>
      <c r="W65" s="35">
        <f t="shared" si="3"/>
        <v>7.3974764247498648</v>
      </c>
      <c r="AB65" s="42"/>
    </row>
    <row r="66" spans="1:28" ht="11.5">
      <c r="A66" s="6">
        <v>665</v>
      </c>
      <c r="B66" s="28">
        <f>'Color metric'!B60</f>
        <v>0.48809961746466224</v>
      </c>
      <c r="C66" s="35">
        <f t="shared" si="0"/>
        <v>3.0583823059556869</v>
      </c>
      <c r="D66" s="36">
        <f>CMFs!B63</f>
        <v>0.1212</v>
      </c>
      <c r="E66" s="36">
        <f>CMFs!C63</f>
        <v>4.4580000000000002E-2</v>
      </c>
      <c r="F66" s="36">
        <f>CMFs!D63</f>
        <v>0</v>
      </c>
      <c r="G66" s="62"/>
      <c r="H66" s="62"/>
      <c r="I66" s="6">
        <f t="shared" si="6"/>
        <v>3994899622885.2051</v>
      </c>
      <c r="J66" s="37">
        <f t="shared" si="2"/>
        <v>6.8539326680038819</v>
      </c>
      <c r="K66" s="37"/>
      <c r="L66" s="38"/>
      <c r="M66" s="43"/>
      <c r="N66" s="39">
        <f t="shared" si="1"/>
        <v>6.8539326680038819</v>
      </c>
      <c r="P66" s="17">
        <v>665</v>
      </c>
      <c r="Q66" s="40">
        <v>83.75</v>
      </c>
      <c r="R66" s="40">
        <v>-13</v>
      </c>
      <c r="S66" s="40">
        <v>9.1999999999999993</v>
      </c>
      <c r="V66" s="41">
        <f t="shared" si="5"/>
        <v>167.5772152938388</v>
      </c>
      <c r="W66" s="35">
        <f t="shared" si="3"/>
        <v>7.7139615734146734</v>
      </c>
      <c r="AB66" s="42"/>
    </row>
    <row r="67" spans="1:28" ht="11.5">
      <c r="A67" s="6">
        <v>670</v>
      </c>
      <c r="B67" s="28">
        <f>'Color metric'!B61</f>
        <v>0.43955338944139394</v>
      </c>
      <c r="C67" s="35">
        <f t="shared" si="0"/>
        <v>2.7541966039089054</v>
      </c>
      <c r="D67" s="36">
        <f>CMFs!B64</f>
        <v>8.7400000000000005E-2</v>
      </c>
      <c r="E67" s="36">
        <f>CMFs!C64</f>
        <v>3.2000000000000001E-2</v>
      </c>
      <c r="F67" s="36">
        <f>CMFs!D64</f>
        <v>0</v>
      </c>
      <c r="G67" s="62"/>
      <c r="H67" s="62"/>
      <c r="I67" s="6">
        <f t="shared" si="6"/>
        <v>4042025558296.9141</v>
      </c>
      <c r="J67" s="37">
        <f t="shared" si="2"/>
        <v>6.9347852597381578</v>
      </c>
      <c r="K67" s="37"/>
      <c r="L67" s="38"/>
      <c r="M67" s="43"/>
      <c r="N67" s="39">
        <f t="shared" si="1"/>
        <v>6.9347852597381578</v>
      </c>
      <c r="P67" s="17">
        <v>670</v>
      </c>
      <c r="Q67" s="40">
        <v>84.9</v>
      </c>
      <c r="R67" s="40">
        <v>-14</v>
      </c>
      <c r="S67" s="40">
        <v>9.8000000000000007</v>
      </c>
      <c r="V67" s="41">
        <f t="shared" si="5"/>
        <v>174.45250231599448</v>
      </c>
      <c r="W67" s="35">
        <f t="shared" si="3"/>
        <v>8.0304467220794837</v>
      </c>
      <c r="AB67" s="42"/>
    </row>
    <row r="68" spans="1:28" ht="11.5">
      <c r="A68" s="6">
        <v>675</v>
      </c>
      <c r="B68" s="28">
        <f>'Color metric'!B62</f>
        <v>0.39455958877441283</v>
      </c>
      <c r="C68" s="35">
        <f t="shared" si="0"/>
        <v>2.4722700485217666</v>
      </c>
      <c r="D68" s="36">
        <f>CMFs!B65</f>
        <v>6.3600000000000004E-2</v>
      </c>
      <c r="E68" s="36">
        <f>CMFs!C65</f>
        <v>2.3199999999999998E-2</v>
      </c>
      <c r="F68" s="36">
        <f>CMFs!D65</f>
        <v>0</v>
      </c>
      <c r="G68" s="62"/>
      <c r="H68" s="62"/>
      <c r="I68" s="6">
        <f t="shared" si="6"/>
        <v>4087880976372.9287</v>
      </c>
      <c r="J68" s="37">
        <f t="shared" si="2"/>
        <v>7.0134580619672118</v>
      </c>
      <c r="K68" s="37"/>
      <c r="L68" s="38"/>
      <c r="M68" s="43"/>
      <c r="N68" s="39">
        <f t="shared" si="1"/>
        <v>7.0134580619672118</v>
      </c>
      <c r="P68" s="17">
        <v>675</v>
      </c>
      <c r="Q68" s="40">
        <v>83.1</v>
      </c>
      <c r="R68" s="40">
        <v>-13.8</v>
      </c>
      <c r="S68" s="40">
        <v>10</v>
      </c>
      <c r="V68" s="41">
        <f t="shared" si="5"/>
        <v>173.65566982717826</v>
      </c>
      <c r="W68" s="35">
        <f t="shared" si="3"/>
        <v>7.9937667045222121</v>
      </c>
      <c r="AB68" s="42"/>
    </row>
    <row r="69" spans="1:28" ht="11.5">
      <c r="A69" s="6">
        <v>680</v>
      </c>
      <c r="B69" s="28">
        <f>'Color metric'!B63</f>
        <v>0.35355494083059075</v>
      </c>
      <c r="C69" s="35">
        <f t="shared" ref="C69:C99" si="7">B69/$C$1*100</f>
        <v>2.2153391162978604</v>
      </c>
      <c r="D69" s="36">
        <f>CMFs!B66</f>
        <v>4.6769999999999999E-2</v>
      </c>
      <c r="E69" s="36">
        <f>CMFs!C66</f>
        <v>1.7000000000000001E-2</v>
      </c>
      <c r="F69" s="36">
        <f>CMFs!D66</f>
        <v>0</v>
      </c>
      <c r="G69" s="62"/>
      <c r="H69" s="62"/>
      <c r="I69" s="6">
        <f t="shared" si="6"/>
        <v>4132459766921.4707</v>
      </c>
      <c r="J69" s="37">
        <f t="shared" si="2"/>
        <v>7.0899405916133738</v>
      </c>
      <c r="K69" s="37"/>
      <c r="L69" s="38"/>
      <c r="M69" s="43"/>
      <c r="N69" s="39">
        <f t="shared" si="1"/>
        <v>7.0899405916133738</v>
      </c>
      <c r="P69" s="17">
        <v>680</v>
      </c>
      <c r="Q69" s="40">
        <v>81.3</v>
      </c>
      <c r="R69" s="40">
        <v>-13.6</v>
      </c>
      <c r="S69" s="40">
        <v>10.199999999999999</v>
      </c>
      <c r="V69" s="41">
        <f t="shared" si="5"/>
        <v>172.85883733836204</v>
      </c>
      <c r="W69" s="35">
        <f t="shared" si="3"/>
        <v>7.9570866869649395</v>
      </c>
      <c r="AB69" s="42"/>
    </row>
    <row r="70" spans="1:28" ht="11.5">
      <c r="A70" s="6">
        <v>685</v>
      </c>
      <c r="B70" s="28">
        <f>'Color metric'!B64</f>
        <v>0.3160976865072892</v>
      </c>
      <c r="C70" s="35">
        <f t="shared" si="7"/>
        <v>1.9806357898598685</v>
      </c>
      <c r="D70" s="36">
        <f>CMFs!B67</f>
        <v>3.2899999999999999E-2</v>
      </c>
      <c r="E70" s="36">
        <f>CMFs!C67</f>
        <v>1.192E-2</v>
      </c>
      <c r="F70" s="36">
        <f>CMFs!D67</f>
        <v>0</v>
      </c>
      <c r="G70" s="62"/>
      <c r="H70" s="62"/>
      <c r="I70" s="6">
        <f t="shared" si="6"/>
        <v>4175757476626.4985</v>
      </c>
      <c r="J70" s="37">
        <f t="shared" ref="J70:J99" si="8">I70/$I$101*100</f>
        <v>7.1642252082523044</v>
      </c>
      <c r="K70" s="37"/>
      <c r="L70" s="38"/>
      <c r="M70" s="43"/>
      <c r="N70" s="39">
        <f t="shared" ref="N70:N99" si="9">J70*$U$23+W70*$U$24</f>
        <v>7.1642252082523044</v>
      </c>
      <c r="P70" s="17">
        <v>685</v>
      </c>
      <c r="Q70" s="40">
        <v>76.599999999999994</v>
      </c>
      <c r="R70" s="40">
        <v>-12.8</v>
      </c>
      <c r="S70" s="40">
        <v>9.25</v>
      </c>
      <c r="V70" s="41">
        <f t="shared" ref="V70:V89" si="10">Q70+R70*U$15+S70*U$16</f>
        <v>160.42340237582812</v>
      </c>
      <c r="W70" s="35">
        <f t="shared" ref="W70:W99" si="11">V70/$V$1*100</f>
        <v>7.3846552422635741</v>
      </c>
      <c r="AB70" s="42"/>
    </row>
    <row r="71" spans="1:28" ht="11.5">
      <c r="A71" s="6">
        <v>690</v>
      </c>
      <c r="B71" s="28">
        <f>'Color metric'!B65</f>
        <v>0.28147275035464647</v>
      </c>
      <c r="C71" s="35">
        <f t="shared" si="7"/>
        <v>1.7636794795391486</v>
      </c>
      <c r="D71" s="36">
        <f>CMFs!B68</f>
        <v>2.2700000000000001E-2</v>
      </c>
      <c r="E71" s="36">
        <f>CMFs!C68</f>
        <v>8.2100000000000003E-3</v>
      </c>
      <c r="F71" s="36">
        <f>CMFs!D68</f>
        <v>0</v>
      </c>
      <c r="G71" s="62"/>
      <c r="H71" s="62"/>
      <c r="I71" s="6">
        <f t="shared" si="6"/>
        <v>4217771237931.4526</v>
      </c>
      <c r="J71" s="37">
        <f t="shared" si="8"/>
        <v>7.236306992100924</v>
      </c>
      <c r="K71" s="37"/>
      <c r="L71" s="38"/>
      <c r="M71" s="43"/>
      <c r="N71" s="39">
        <f t="shared" si="9"/>
        <v>7.236306992100924</v>
      </c>
      <c r="P71" s="17">
        <v>690</v>
      </c>
      <c r="Q71" s="40">
        <v>71.900000000000006</v>
      </c>
      <c r="R71" s="40">
        <v>-12</v>
      </c>
      <c r="S71" s="40">
        <v>8.3000000000000007</v>
      </c>
      <c r="V71" s="41">
        <f t="shared" si="10"/>
        <v>147.98796741329417</v>
      </c>
      <c r="W71" s="35">
        <f t="shared" si="11"/>
        <v>6.8122237975622069</v>
      </c>
      <c r="AB71" s="42"/>
    </row>
    <row r="72" spans="1:28" ht="11.5">
      <c r="A72" s="6">
        <v>695</v>
      </c>
      <c r="B72" s="28">
        <f>'Color metric'!B66</f>
        <v>0.24915246915584274</v>
      </c>
      <c r="C72" s="35">
        <f t="shared" si="7"/>
        <v>1.5611639015606635</v>
      </c>
      <c r="D72" s="36">
        <f>CMFs!B69</f>
        <v>1.584E-2</v>
      </c>
      <c r="E72" s="36">
        <f>CMFs!C69</f>
        <v>5.7229999999999998E-3</v>
      </c>
      <c r="F72" s="36">
        <f>CMFs!D69</f>
        <v>0</v>
      </c>
      <c r="G72" s="62"/>
      <c r="H72" s="62"/>
      <c r="I72" s="6">
        <f t="shared" si="6"/>
        <v>4258499698510.7979</v>
      </c>
      <c r="J72" s="37">
        <f t="shared" si="8"/>
        <v>7.3061836230137862</v>
      </c>
      <c r="K72" s="37"/>
      <c r="L72" s="38"/>
      <c r="M72" s="43"/>
      <c r="N72" s="39">
        <f t="shared" si="9"/>
        <v>7.3061836230137862</v>
      </c>
      <c r="P72" s="17">
        <v>695</v>
      </c>
      <c r="Q72" s="40">
        <v>73.099999999999994</v>
      </c>
      <c r="R72" s="40">
        <v>-12.65</v>
      </c>
      <c r="S72" s="40">
        <v>8.9499999999999993</v>
      </c>
      <c r="V72" s="41">
        <f t="shared" si="10"/>
        <v>154.65483672163245</v>
      </c>
      <c r="W72" s="35">
        <f t="shared" si="11"/>
        <v>7.1191150033226238</v>
      </c>
      <c r="AB72" s="42"/>
    </row>
    <row r="73" spans="1:28" ht="11.5">
      <c r="A73" s="6">
        <v>700</v>
      </c>
      <c r="B73" s="28">
        <f>'Color metric'!B67</f>
        <v>0.21988352041926046</v>
      </c>
      <c r="C73" s="35">
        <f t="shared" si="7"/>
        <v>1.3777676608611547</v>
      </c>
      <c r="D73" s="36">
        <f>CMFs!B70</f>
        <v>1.135916E-2</v>
      </c>
      <c r="E73" s="36">
        <f>CMFs!C70</f>
        <v>4.1019999999999997E-3</v>
      </c>
      <c r="F73" s="36">
        <f>CMFs!D70</f>
        <v>0</v>
      </c>
      <c r="G73" s="62"/>
      <c r="H73" s="62"/>
      <c r="I73" s="6">
        <f t="shared" si="6"/>
        <v>4297942951505.9575</v>
      </c>
      <c r="J73" s="37">
        <f t="shared" si="8"/>
        <v>7.3738552607909122</v>
      </c>
      <c r="K73" s="37"/>
      <c r="L73" s="38"/>
      <c r="M73" s="43"/>
      <c r="N73" s="39">
        <f t="shared" si="9"/>
        <v>7.3738552607909122</v>
      </c>
      <c r="P73" s="17">
        <v>700</v>
      </c>
      <c r="Q73" s="40">
        <v>74.3</v>
      </c>
      <c r="R73" s="40">
        <v>-13.3</v>
      </c>
      <c r="S73" s="40">
        <v>9.6</v>
      </c>
      <c r="V73" s="41">
        <f t="shared" si="10"/>
        <v>161.32170602997076</v>
      </c>
      <c r="W73" s="35">
        <f t="shared" si="11"/>
        <v>7.4260062090830417</v>
      </c>
      <c r="AB73" s="42"/>
    </row>
    <row r="74" spans="1:28" ht="11.5">
      <c r="A74" s="6">
        <v>705</v>
      </c>
      <c r="B74" s="28">
        <f>'Color metric'!B68</f>
        <v>0.19391260113546968</v>
      </c>
      <c r="C74" s="35">
        <f t="shared" si="7"/>
        <v>1.2150365355643817</v>
      </c>
      <c r="D74" s="36">
        <f>CMFs!B71</f>
        <v>8.1109159999999993E-3</v>
      </c>
      <c r="E74" s="36">
        <f>CMFs!C71</f>
        <v>2.9290000000000002E-3</v>
      </c>
      <c r="F74" s="36">
        <f>CMFs!D71</f>
        <v>0</v>
      </c>
      <c r="G74" s="62"/>
      <c r="H74" s="62"/>
      <c r="I74" s="6">
        <f t="shared" si="6"/>
        <v>4336102466683.2002</v>
      </c>
      <c r="J74" s="37">
        <f t="shared" si="8"/>
        <v>7.4393244270673868</v>
      </c>
      <c r="K74" s="37"/>
      <c r="L74" s="38"/>
      <c r="M74" s="43"/>
      <c r="N74" s="39">
        <f t="shared" si="9"/>
        <v>7.4393244270673868</v>
      </c>
      <c r="P74" s="17">
        <v>705</v>
      </c>
      <c r="Q74" s="40">
        <v>75.349999999999994</v>
      </c>
      <c r="R74" s="40">
        <v>-13.1</v>
      </c>
      <c r="S74" s="40">
        <v>9.0500000000000007</v>
      </c>
      <c r="V74" s="41">
        <f t="shared" si="10"/>
        <v>158.33997139518209</v>
      </c>
      <c r="W74" s="35">
        <f t="shared" si="11"/>
        <v>7.288750160553124</v>
      </c>
      <c r="AB74" s="42"/>
    </row>
    <row r="75" spans="1:28" ht="11.5">
      <c r="A75" s="6">
        <v>710</v>
      </c>
      <c r="B75" s="28">
        <f>'Color metric'!B69</f>
        <v>0.17056639462260265</v>
      </c>
      <c r="C75" s="35">
        <f t="shared" si="7"/>
        <v>1.0687515921730679</v>
      </c>
      <c r="D75" s="36">
        <f>CMFs!B72</f>
        <v>5.790346E-3</v>
      </c>
      <c r="E75" s="36">
        <f>CMFs!C72</f>
        <v>2.091E-3</v>
      </c>
      <c r="F75" s="36">
        <f>CMFs!D72</f>
        <v>0</v>
      </c>
      <c r="G75" s="62"/>
      <c r="H75" s="62"/>
      <c r="I75" s="6">
        <f t="shared" si="6"/>
        <v>4372981022654.1182</v>
      </c>
      <c r="J75" s="37">
        <f t="shared" si="8"/>
        <v>7.502595889026006</v>
      </c>
      <c r="K75" s="37"/>
      <c r="L75" s="38"/>
      <c r="M75" s="43"/>
      <c r="N75" s="39">
        <f t="shared" si="9"/>
        <v>7.502595889026006</v>
      </c>
      <c r="P75" s="17">
        <v>710</v>
      </c>
      <c r="Q75" s="40">
        <v>76.400000000000006</v>
      </c>
      <c r="R75" s="40">
        <v>-12.9</v>
      </c>
      <c r="S75" s="40">
        <v>8.5</v>
      </c>
      <c r="V75" s="41">
        <f t="shared" si="10"/>
        <v>155.35823676039342</v>
      </c>
      <c r="W75" s="35">
        <f t="shared" si="11"/>
        <v>7.1514941120232089</v>
      </c>
      <c r="AB75" s="42"/>
    </row>
    <row r="76" spans="1:28" ht="11.5">
      <c r="A76" s="6">
        <v>715</v>
      </c>
      <c r="B76" s="28">
        <f>'Color metric'!B70</f>
        <v>0.14960130184506393</v>
      </c>
      <c r="C76" s="35">
        <f t="shared" si="7"/>
        <v>0.93738646403263071</v>
      </c>
      <c r="D76" s="36">
        <f>CMFs!B73</f>
        <v>4.1094570000000004E-3</v>
      </c>
      <c r="E76" s="36">
        <f>CMFs!C73</f>
        <v>1.4840000000000001E-3</v>
      </c>
      <c r="F76" s="36">
        <f>CMFs!D73</f>
        <v>0</v>
      </c>
      <c r="G76" s="62"/>
      <c r="H76" s="62"/>
      <c r="I76" s="6">
        <f t="shared" si="6"/>
        <v>4408582640282.6572</v>
      </c>
      <c r="J76" s="37">
        <f t="shared" si="8"/>
        <v>7.56367654514567</v>
      </c>
      <c r="K76" s="37"/>
      <c r="L76" s="38"/>
      <c r="M76" s="43"/>
      <c r="N76" s="39">
        <f t="shared" si="9"/>
        <v>7.56367654514567</v>
      </c>
      <c r="P76" s="17">
        <v>715</v>
      </c>
      <c r="Q76" s="40">
        <v>69.849999999999994</v>
      </c>
      <c r="R76" s="40">
        <v>-11.75</v>
      </c>
      <c r="S76" s="40">
        <v>7.75</v>
      </c>
      <c r="V76" s="41">
        <f t="shared" si="10"/>
        <v>141.82136451323657</v>
      </c>
      <c r="W76" s="35">
        <f t="shared" si="11"/>
        <v>6.5283609960104449</v>
      </c>
      <c r="AB76" s="42"/>
    </row>
    <row r="77" spans="1:28" ht="11.5">
      <c r="A77" s="6">
        <v>720</v>
      </c>
      <c r="B77" s="28">
        <f>'Color metric'!B71</f>
        <v>0.13101116362871243</v>
      </c>
      <c r="C77" s="35">
        <f t="shared" si="7"/>
        <v>0.82090255838753701</v>
      </c>
      <c r="D77" s="36">
        <f>CMFs!B74</f>
        <v>2.8993270000000002E-3</v>
      </c>
      <c r="E77" s="36">
        <f>CMFs!C74</f>
        <v>1.047E-3</v>
      </c>
      <c r="F77" s="36">
        <f>CMFs!D74</f>
        <v>0</v>
      </c>
      <c r="G77" s="62"/>
      <c r="H77" s="62"/>
      <c r="I77" s="6">
        <f t="shared" si="6"/>
        <v>4442912517387.5195</v>
      </c>
      <c r="J77" s="37">
        <f t="shared" si="8"/>
        <v>7.6225753131721961</v>
      </c>
      <c r="K77" s="37"/>
      <c r="L77" s="38"/>
      <c r="M77" s="43"/>
      <c r="N77" s="39">
        <f t="shared" si="9"/>
        <v>7.6225753131721961</v>
      </c>
      <c r="P77" s="17">
        <v>720</v>
      </c>
      <c r="Q77" s="40">
        <v>63.3</v>
      </c>
      <c r="R77" s="40">
        <v>-10.6</v>
      </c>
      <c r="S77" s="40">
        <v>7</v>
      </c>
      <c r="V77" s="41">
        <f t="shared" si="10"/>
        <v>128.28449226607978</v>
      </c>
      <c r="W77" s="35">
        <f t="shared" si="11"/>
        <v>5.9052278799976845</v>
      </c>
      <c r="AB77" s="42"/>
    </row>
    <row r="78" spans="1:28" ht="11.5">
      <c r="A78" s="6">
        <v>725</v>
      </c>
      <c r="B78" s="28">
        <f>'Color metric'!B72</f>
        <v>0.1145449569610595</v>
      </c>
      <c r="C78" s="35">
        <f t="shared" si="7"/>
        <v>0.71772699070292334</v>
      </c>
      <c r="D78" s="36">
        <f>CMFs!B75</f>
        <v>2.0491900000000002E-3</v>
      </c>
      <c r="E78" s="36">
        <f>CMFs!C75</f>
        <v>7.3999999999999999E-4</v>
      </c>
      <c r="F78" s="36">
        <f>CMFs!D75</f>
        <v>0</v>
      </c>
      <c r="G78" s="62"/>
      <c r="H78" s="62"/>
      <c r="I78" s="6">
        <f t="shared" si="6"/>
        <v>4475976964834.4053</v>
      </c>
      <c r="J78" s="37">
        <f t="shared" si="8"/>
        <v>7.6793030204736477</v>
      </c>
      <c r="K78" s="37"/>
      <c r="L78" s="38"/>
      <c r="M78" s="43"/>
      <c r="N78" s="39">
        <f t="shared" si="9"/>
        <v>7.6793030204736477</v>
      </c>
      <c r="P78" s="17">
        <v>725</v>
      </c>
      <c r="Q78" s="40">
        <v>67.5</v>
      </c>
      <c r="R78" s="40">
        <v>-11.1</v>
      </c>
      <c r="S78" s="40">
        <v>7.3</v>
      </c>
      <c r="V78" s="41">
        <f t="shared" si="10"/>
        <v>135.3471357771576</v>
      </c>
      <c r="W78" s="35">
        <f t="shared" si="11"/>
        <v>6.2303374753305043</v>
      </c>
      <c r="AB78" s="42"/>
    </row>
    <row r="79" spans="1:28" ht="11.5">
      <c r="A79" s="6">
        <v>730</v>
      </c>
      <c r="B79" s="28">
        <f>'Color metric'!B73</f>
        <v>0.10011508726021938</v>
      </c>
      <c r="C79" s="35">
        <f t="shared" si="7"/>
        <v>0.62731090228324615</v>
      </c>
      <c r="D79" s="36">
        <f>CMFs!B76</f>
        <v>1.439971E-3</v>
      </c>
      <c r="E79" s="36">
        <f>CMFs!C76</f>
        <v>5.1999999999999995E-4</v>
      </c>
      <c r="F79" s="36">
        <f>CMFs!D76</f>
        <v>0</v>
      </c>
      <c r="G79" s="62"/>
      <c r="H79" s="62"/>
      <c r="I79" s="6">
        <f t="shared" si="6"/>
        <v>4507783344099.4629</v>
      </c>
      <c r="J79" s="37">
        <f t="shared" si="8"/>
        <v>7.7338722969197606</v>
      </c>
      <c r="K79" s="37"/>
      <c r="L79" s="38"/>
      <c r="M79" s="43"/>
      <c r="N79" s="39">
        <f t="shared" si="9"/>
        <v>7.7338722969197606</v>
      </c>
      <c r="P79" s="17">
        <v>730</v>
      </c>
      <c r="Q79" s="40">
        <v>71.7</v>
      </c>
      <c r="R79" s="40">
        <v>-11.6</v>
      </c>
      <c r="S79" s="40">
        <v>7.6</v>
      </c>
      <c r="V79" s="41">
        <f t="shared" si="10"/>
        <v>142.40977928823543</v>
      </c>
      <c r="W79" s="35">
        <f t="shared" si="11"/>
        <v>6.5554470706633241</v>
      </c>
      <c r="AB79" s="42"/>
    </row>
    <row r="80" spans="1:28" ht="11.5">
      <c r="A80" s="6">
        <v>735</v>
      </c>
      <c r="B80" s="28">
        <f>'Color metric'!B74</f>
        <v>8.7564332574284476E-2</v>
      </c>
      <c r="C80" s="35">
        <f t="shared" si="7"/>
        <v>0.54866915645021896</v>
      </c>
      <c r="D80" s="36">
        <f>CMFs!B77</f>
        <v>9.9994930000000008E-4</v>
      </c>
      <c r="E80" s="36">
        <f>CMFs!C77</f>
        <v>3.611E-4</v>
      </c>
      <c r="F80" s="36">
        <f>CMFs!D77</f>
        <v>0</v>
      </c>
      <c r="G80" s="62"/>
      <c r="H80" s="62"/>
      <c r="I80" s="6">
        <f t="shared" si="6"/>
        <v>4538340006372.6719</v>
      </c>
      <c r="J80" s="37">
        <f t="shared" si="8"/>
        <v>7.7862974704034071</v>
      </c>
      <c r="K80" s="37"/>
      <c r="L80" s="38"/>
      <c r="M80" s="43"/>
      <c r="N80" s="39">
        <f t="shared" si="9"/>
        <v>7.7862974704034071</v>
      </c>
      <c r="P80" s="17">
        <v>735</v>
      </c>
      <c r="Q80" s="40">
        <v>74.349999999999994</v>
      </c>
      <c r="R80" s="40">
        <v>-11.9</v>
      </c>
      <c r="S80" s="40">
        <v>7.8</v>
      </c>
      <c r="V80" s="41">
        <f t="shared" si="10"/>
        <v>146.91162945210809</v>
      </c>
      <c r="W80" s="35">
        <f t="shared" si="11"/>
        <v>6.7626775053766117</v>
      </c>
      <c r="AB80" s="42"/>
    </row>
    <row r="81" spans="1:28" ht="11.5">
      <c r="A81" s="6">
        <v>740</v>
      </c>
      <c r="B81" s="28">
        <f>'Color metric'!B75</f>
        <v>7.678907203765431E-2</v>
      </c>
      <c r="C81" s="35">
        <f t="shared" si="7"/>
        <v>0.48115247545286471</v>
      </c>
      <c r="D81" s="36">
        <f>CMFs!B78</f>
        <v>6.9007859999999999E-4</v>
      </c>
      <c r="E81" s="36">
        <f>CMFs!C78</f>
        <v>2.4919999999999999E-4</v>
      </c>
      <c r="F81" s="36">
        <f>CMFs!D78</f>
        <v>0</v>
      </c>
      <c r="G81" s="62"/>
      <c r="H81" s="62"/>
      <c r="I81" s="6">
        <f t="shared" si="6"/>
        <v>4567656233258.7852</v>
      </c>
      <c r="J81" s="37">
        <f t="shared" si="8"/>
        <v>7.8365944651029213</v>
      </c>
      <c r="K81" s="37"/>
      <c r="L81" s="38"/>
      <c r="M81" s="43"/>
      <c r="N81" s="39">
        <f t="shared" si="9"/>
        <v>7.8365944651029213</v>
      </c>
      <c r="P81" s="17">
        <v>740</v>
      </c>
      <c r="Q81" s="40">
        <v>77</v>
      </c>
      <c r="R81" s="40">
        <v>-12.2</v>
      </c>
      <c r="S81" s="40">
        <v>8</v>
      </c>
      <c r="V81" s="41">
        <f t="shared" si="10"/>
        <v>151.41347961598069</v>
      </c>
      <c r="W81" s="35">
        <f t="shared" si="11"/>
        <v>6.9699079400898949</v>
      </c>
      <c r="AB81" s="42"/>
    </row>
    <row r="82" spans="1:28" ht="11.5">
      <c r="A82" s="6">
        <v>745</v>
      </c>
      <c r="B82" s="28">
        <f>'Color metric'!B76</f>
        <v>6.7471844902865868E-2</v>
      </c>
      <c r="C82" s="35">
        <f t="shared" si="7"/>
        <v>0.42277168270071669</v>
      </c>
      <c r="D82" s="36">
        <f>CMFs!B79</f>
        <v>4.7602130000000002E-4</v>
      </c>
      <c r="E82" s="36">
        <f>CMFs!C79</f>
        <v>1.719E-4</v>
      </c>
      <c r="F82" s="36">
        <f>CMFs!D79</f>
        <v>0</v>
      </c>
      <c r="G82" s="62"/>
      <c r="H82" s="62"/>
      <c r="I82" s="6">
        <f t="shared" ref="I82:I89" si="12">$I$2/((A82*0.000000001)^5)/(EXP($I$3/(A82*0.000000001*$I$1))-1)</f>
        <v>4595742179122.6846</v>
      </c>
      <c r="J82" s="37">
        <f t="shared" si="8"/>
        <v>7.8847807025657133</v>
      </c>
      <c r="K82" s="37"/>
      <c r="L82" s="38"/>
      <c r="M82" s="43"/>
      <c r="N82" s="39">
        <f t="shared" si="9"/>
        <v>7.8847807025657133</v>
      </c>
      <c r="P82" s="17">
        <v>745</v>
      </c>
      <c r="Q82" s="40">
        <v>71.099999999999994</v>
      </c>
      <c r="R82" s="40">
        <v>-11.2</v>
      </c>
      <c r="S82" s="40">
        <v>7.35</v>
      </c>
      <c r="V82" s="41">
        <f t="shared" si="10"/>
        <v>139.4525324507602</v>
      </c>
      <c r="W82" s="35">
        <f t="shared" si="11"/>
        <v>6.4193182513164579</v>
      </c>
      <c r="AB82" s="42"/>
    </row>
    <row r="83" spans="1:28" ht="11.5">
      <c r="A83" s="6">
        <v>750</v>
      </c>
      <c r="B83" s="28">
        <f>'Color metric'!B77</f>
        <v>5.9345554190944054E-2</v>
      </c>
      <c r="C83" s="35">
        <f t="shared" si="7"/>
        <v>0.37185317582810462</v>
      </c>
      <c r="D83" s="36">
        <f>CMFs!B80</f>
        <v>3.323011E-4</v>
      </c>
      <c r="E83" s="36">
        <f>CMFs!C80</f>
        <v>1.2E-4</v>
      </c>
      <c r="F83" s="36">
        <f>CMFs!D80</f>
        <v>0</v>
      </c>
      <c r="G83" s="62"/>
      <c r="H83" s="62"/>
      <c r="I83" s="6">
        <f t="shared" si="12"/>
        <v>4622608815116.2754</v>
      </c>
      <c r="J83" s="37">
        <f t="shared" si="8"/>
        <v>7.9308750056768513</v>
      </c>
      <c r="K83" s="37"/>
      <c r="L83" s="38"/>
      <c r="M83" s="43"/>
      <c r="N83" s="39">
        <f t="shared" si="9"/>
        <v>7.9308750056768513</v>
      </c>
      <c r="P83" s="17">
        <v>750</v>
      </c>
      <c r="Q83" s="40">
        <v>65.2</v>
      </c>
      <c r="R83" s="40">
        <v>-10.199999999999999</v>
      </c>
      <c r="S83" s="40">
        <v>6.7</v>
      </c>
      <c r="V83" s="41">
        <f t="shared" si="10"/>
        <v>127.49158528553974</v>
      </c>
      <c r="W83" s="35">
        <f t="shared" si="11"/>
        <v>5.8687285625430219</v>
      </c>
      <c r="AB83" s="42"/>
    </row>
    <row r="84" spans="1:28" ht="11.5">
      <c r="A84" s="6">
        <v>755</v>
      </c>
      <c r="B84" s="28">
        <f>'Color metric'!B78</f>
        <v>5.2025671007898573E-2</v>
      </c>
      <c r="C84" s="35">
        <f t="shared" si="7"/>
        <v>0.32598753609461378</v>
      </c>
      <c r="D84" s="36">
        <f>CMFs!B81</f>
        <v>2.348261E-4</v>
      </c>
      <c r="E84" s="36">
        <f>CMFs!C81</f>
        <v>8.4800000000000001E-5</v>
      </c>
      <c r="F84" s="36">
        <f>CMFs!D81</f>
        <v>0</v>
      </c>
      <c r="G84" s="62"/>
      <c r="H84" s="62"/>
      <c r="I84" s="6">
        <f t="shared" si="12"/>
        <v>4648267874915.3057</v>
      </c>
      <c r="J84" s="37">
        <f t="shared" si="8"/>
        <v>7.9748975055612972</v>
      </c>
      <c r="K84" s="37"/>
      <c r="L84" s="38"/>
      <c r="M84" s="43"/>
      <c r="N84" s="39">
        <f t="shared" si="9"/>
        <v>7.9748975055612972</v>
      </c>
      <c r="P84" s="17">
        <v>755</v>
      </c>
      <c r="Q84" s="40">
        <v>56.45</v>
      </c>
      <c r="R84" s="40">
        <v>-9</v>
      </c>
      <c r="S84" s="40">
        <v>5.95</v>
      </c>
      <c r="V84" s="41">
        <f t="shared" si="10"/>
        <v>111.66984477311405</v>
      </c>
      <c r="W84" s="35">
        <f t="shared" si="11"/>
        <v>5.1404177469981764</v>
      </c>
      <c r="AB84" s="42"/>
    </row>
    <row r="85" spans="1:28" ht="11.5">
      <c r="A85" s="6">
        <v>760</v>
      </c>
      <c r="B85" s="28">
        <f>'Color metric'!B79</f>
        <v>4.5682177177113745E-2</v>
      </c>
      <c r="C85" s="35">
        <f t="shared" si="7"/>
        <v>0.28623985222879722</v>
      </c>
      <c r="D85" s="36">
        <f>CMFs!B82</f>
        <v>1.6615050000000001E-4</v>
      </c>
      <c r="E85" s="36">
        <f>CMFs!C82</f>
        <v>6.0000000000000002E-5</v>
      </c>
      <c r="F85" s="36">
        <f>CMFs!D82</f>
        <v>0</v>
      </c>
      <c r="G85" s="62"/>
      <c r="H85" s="62"/>
      <c r="I85" s="6">
        <f t="shared" si="12"/>
        <v>4672731802186.0049</v>
      </c>
      <c r="J85" s="37">
        <f t="shared" si="8"/>
        <v>8.0168695514539596</v>
      </c>
      <c r="K85" s="37"/>
      <c r="L85" s="38"/>
      <c r="M85" s="43"/>
      <c r="N85" s="39">
        <f t="shared" si="9"/>
        <v>8.0168695514539596</v>
      </c>
      <c r="P85" s="17">
        <v>760</v>
      </c>
      <c r="Q85" s="40">
        <v>47.7</v>
      </c>
      <c r="R85" s="40">
        <v>-7.8</v>
      </c>
      <c r="S85" s="40">
        <v>5.2</v>
      </c>
      <c r="V85" s="41">
        <f t="shared" si="10"/>
        <v>95.848104260688359</v>
      </c>
      <c r="W85" s="35">
        <f t="shared" si="11"/>
        <v>4.4121069314533301</v>
      </c>
      <c r="AB85" s="42"/>
    </row>
    <row r="86" spans="1:28" ht="11.5">
      <c r="A86" s="6">
        <v>765</v>
      </c>
      <c r="B86" s="28">
        <f>'Color metric'!B80</f>
        <v>3.9927560758034546E-2</v>
      </c>
      <c r="C86" s="35">
        <f t="shared" si="7"/>
        <v>0.25018201402541429</v>
      </c>
      <c r="D86" s="36">
        <f>CMFs!B83</f>
        <v>1.17413E-4</v>
      </c>
      <c r="E86" s="36">
        <f>CMFs!C83</f>
        <v>4.2400000000000001E-5</v>
      </c>
      <c r="F86" s="36">
        <f>CMFs!D83</f>
        <v>0</v>
      </c>
      <c r="G86" s="62"/>
      <c r="H86" s="62"/>
      <c r="I86" s="6">
        <f t="shared" si="12"/>
        <v>4696013699794.2129</v>
      </c>
      <c r="J86" s="37">
        <f t="shared" si="8"/>
        <v>8.0568136235592736</v>
      </c>
      <c r="K86" s="37"/>
      <c r="L86" s="38"/>
      <c r="M86" s="43"/>
      <c r="N86" s="39">
        <f t="shared" si="9"/>
        <v>8.0568136235592736</v>
      </c>
      <c r="P86" s="17">
        <v>765</v>
      </c>
      <c r="Q86" s="40">
        <v>58.15</v>
      </c>
      <c r="R86" s="40">
        <v>-9.5</v>
      </c>
      <c r="S86" s="40">
        <v>6.3</v>
      </c>
      <c r="V86" s="41">
        <f t="shared" si="10"/>
        <v>116.56814842725672</v>
      </c>
      <c r="W86" s="35">
        <f t="shared" si="11"/>
        <v>5.3658978404387936</v>
      </c>
      <c r="AB86" s="42"/>
    </row>
    <row r="87" spans="1:28" ht="11.5">
      <c r="A87" s="6">
        <v>770</v>
      </c>
      <c r="B87" s="28">
        <f>'Color metric'!B81</f>
        <v>3.4924883904470662E-2</v>
      </c>
      <c r="C87" s="35">
        <f t="shared" si="7"/>
        <v>0.21883575227084215</v>
      </c>
      <c r="D87" s="36">
        <f>CMFs!B84</f>
        <v>8.3075270000000005E-5</v>
      </c>
      <c r="E87" s="36">
        <f>CMFs!C84</f>
        <v>3.0000000000000001E-5</v>
      </c>
      <c r="F87" s="36">
        <f>CMFs!D84</f>
        <v>0</v>
      </c>
      <c r="G87" s="62"/>
      <c r="H87" s="62"/>
      <c r="I87" s="6">
        <f t="shared" si="12"/>
        <v>4718127280762.7363</v>
      </c>
      <c r="J87" s="37">
        <f t="shared" si="8"/>
        <v>8.0947532489101732</v>
      </c>
      <c r="K87" s="37"/>
      <c r="L87" s="38"/>
      <c r="M87" s="43"/>
      <c r="N87" s="39">
        <f t="shared" si="9"/>
        <v>8.0947532489101732</v>
      </c>
      <c r="P87" s="17">
        <v>770</v>
      </c>
      <c r="Q87" s="40">
        <v>68.599999999999994</v>
      </c>
      <c r="R87" s="40">
        <v>-11.2</v>
      </c>
      <c r="S87" s="40">
        <v>7.4</v>
      </c>
      <c r="V87" s="41">
        <f t="shared" si="10"/>
        <v>137.28819259382504</v>
      </c>
      <c r="W87" s="35">
        <f t="shared" si="11"/>
        <v>6.3196887494242553</v>
      </c>
      <c r="AB87" s="42"/>
    </row>
    <row r="88" spans="1:28" ht="11.5">
      <c r="A88" s="6">
        <v>775</v>
      </c>
      <c r="B88" s="28">
        <f>'Color metric'!B82</f>
        <v>3.0611337225072678E-2</v>
      </c>
      <c r="C88" s="35">
        <f t="shared" si="7"/>
        <v>0.19180750973971616</v>
      </c>
      <c r="D88" s="36">
        <f>CMFs!B85</f>
        <v>5.8706519999999999E-5</v>
      </c>
      <c r="E88" s="36">
        <f>CMFs!C85</f>
        <v>2.12E-5</v>
      </c>
      <c r="F88" s="36">
        <f>CMFs!D85</f>
        <v>0</v>
      </c>
      <c r="G88" s="62"/>
      <c r="H88" s="62"/>
      <c r="I88" s="6">
        <f t="shared" si="12"/>
        <v>4739086820976.4619</v>
      </c>
      <c r="J88" s="37">
        <f t="shared" si="8"/>
        <v>8.1307129202256299</v>
      </c>
      <c r="K88" s="37"/>
      <c r="L88" s="38"/>
      <c r="M88" s="43"/>
      <c r="N88" s="39">
        <f t="shared" si="9"/>
        <v>8.1307129202256299</v>
      </c>
      <c r="P88" s="17">
        <v>775</v>
      </c>
      <c r="Q88" s="40">
        <v>66.8</v>
      </c>
      <c r="R88" s="40">
        <v>-10.8</v>
      </c>
      <c r="S88" s="40">
        <v>7.1</v>
      </c>
      <c r="V88" s="41">
        <f t="shared" si="10"/>
        <v>132.79528561328499</v>
      </c>
      <c r="W88" s="35">
        <f t="shared" si="11"/>
        <v>6.1128699898450298</v>
      </c>
      <c r="AB88" s="42"/>
    </row>
    <row r="89" spans="1:28" ht="11.5">
      <c r="A89" s="6">
        <v>780</v>
      </c>
      <c r="B89" s="28">
        <f>'Color metric'!B83</f>
        <v>2.7176764262350855E-2</v>
      </c>
      <c r="C89" s="35">
        <f t="shared" si="7"/>
        <v>0.17028682666222386</v>
      </c>
      <c r="D89" s="36">
        <f>CMFs!B86</f>
        <v>4.1509940000000003E-5</v>
      </c>
      <c r="E89" s="36">
        <f>CMFs!C86</f>
        <v>1.499E-5</v>
      </c>
      <c r="F89" s="36">
        <f>CMFs!D86</f>
        <v>0</v>
      </c>
      <c r="G89" s="62"/>
      <c r="H89" s="62"/>
      <c r="I89" s="6">
        <f t="shared" si="12"/>
        <v>4758907113629.2139</v>
      </c>
      <c r="J89" s="37">
        <f t="shared" si="8"/>
        <v>8.1647180177564618</v>
      </c>
      <c r="K89" s="37"/>
      <c r="L89" s="38"/>
      <c r="M89" s="43"/>
      <c r="N89" s="39">
        <f t="shared" si="9"/>
        <v>8.1647180177564618</v>
      </c>
      <c r="P89" s="17">
        <v>780</v>
      </c>
      <c r="Q89" s="40">
        <v>65</v>
      </c>
      <c r="R89" s="40">
        <v>-10.4</v>
      </c>
      <c r="S89" s="40">
        <v>6.8</v>
      </c>
      <c r="V89" s="41">
        <f t="shared" si="10"/>
        <v>128.30237863274493</v>
      </c>
      <c r="W89" s="35">
        <f t="shared" si="11"/>
        <v>5.9060512302658044</v>
      </c>
      <c r="AB89" s="42"/>
    </row>
    <row r="90" spans="1:28" ht="11.5">
      <c r="A90" s="232">
        <v>785</v>
      </c>
      <c r="B90" s="233">
        <v>0</v>
      </c>
      <c r="C90" s="234">
        <f t="shared" si="7"/>
        <v>0</v>
      </c>
      <c r="D90" s="235">
        <f>CMFs!B87</f>
        <v>2.935326E-5</v>
      </c>
      <c r="E90" s="235">
        <f>CMFs!C87</f>
        <v>1.06E-5</v>
      </c>
      <c r="F90" s="235">
        <f>CMFs!D87</f>
        <v>0</v>
      </c>
      <c r="G90" s="234"/>
      <c r="H90" s="234"/>
      <c r="I90" s="232">
        <v>0</v>
      </c>
      <c r="J90" s="236">
        <f t="shared" si="8"/>
        <v>0</v>
      </c>
      <c r="K90" s="37"/>
      <c r="L90" s="38"/>
      <c r="M90" s="43"/>
      <c r="N90" s="231">
        <f t="shared" si="9"/>
        <v>0</v>
      </c>
      <c r="P90" s="240">
        <v>785</v>
      </c>
      <c r="Q90" s="241">
        <v>65.5</v>
      </c>
      <c r="R90" s="241">
        <v>-10.5</v>
      </c>
      <c r="S90" s="241">
        <v>6.9</v>
      </c>
      <c r="T90" s="232"/>
      <c r="U90" s="232"/>
      <c r="V90" s="241">
        <v>0</v>
      </c>
      <c r="W90" s="234">
        <f t="shared" si="11"/>
        <v>0</v>
      </c>
      <c r="AB90" s="42"/>
    </row>
    <row r="91" spans="1:28" ht="11.5">
      <c r="A91" s="232">
        <v>790</v>
      </c>
      <c r="B91" s="233">
        <f t="shared" ref="B91:B99" si="13">B90</f>
        <v>0</v>
      </c>
      <c r="C91" s="234">
        <f t="shared" si="7"/>
        <v>0</v>
      </c>
      <c r="D91" s="235">
        <f>CMFs!B88</f>
        <v>2.0673830000000001E-5</v>
      </c>
      <c r="E91" s="235">
        <f>CMFs!C88</f>
        <v>7.4657000000000004E-6</v>
      </c>
      <c r="F91" s="235">
        <f>CMFs!D88</f>
        <v>0</v>
      </c>
      <c r="G91" s="234"/>
      <c r="H91" s="234"/>
      <c r="I91" s="232">
        <v>0</v>
      </c>
      <c r="J91" s="236">
        <f t="shared" si="8"/>
        <v>0</v>
      </c>
      <c r="K91" s="37"/>
      <c r="L91" s="38"/>
      <c r="M91" s="43"/>
      <c r="N91" s="231">
        <f t="shared" si="9"/>
        <v>0</v>
      </c>
      <c r="P91" s="240">
        <v>790</v>
      </c>
      <c r="Q91" s="241">
        <v>66</v>
      </c>
      <c r="R91" s="241">
        <v>-10.6</v>
      </c>
      <c r="S91" s="241">
        <v>7</v>
      </c>
      <c r="T91" s="232"/>
      <c r="U91" s="232"/>
      <c r="V91" s="241">
        <v>0</v>
      </c>
      <c r="W91" s="234">
        <f t="shared" si="11"/>
        <v>0</v>
      </c>
      <c r="AB91" s="42"/>
    </row>
    <row r="92" spans="1:28" ht="11.5">
      <c r="A92" s="232">
        <v>795</v>
      </c>
      <c r="B92" s="233">
        <f t="shared" si="13"/>
        <v>0</v>
      </c>
      <c r="C92" s="234">
        <f t="shared" si="7"/>
        <v>0</v>
      </c>
      <c r="D92" s="235">
        <f>CMFs!B89</f>
        <v>1.455977E-5</v>
      </c>
      <c r="E92" s="235">
        <f>CMFs!C89</f>
        <v>5.2577999999999999E-6</v>
      </c>
      <c r="F92" s="235">
        <f>CMFs!D89</f>
        <v>0</v>
      </c>
      <c r="G92" s="234"/>
      <c r="H92" s="234"/>
      <c r="I92" s="232">
        <v>0</v>
      </c>
      <c r="J92" s="236">
        <f t="shared" si="8"/>
        <v>0</v>
      </c>
      <c r="K92" s="37"/>
      <c r="L92" s="38"/>
      <c r="M92" s="43"/>
      <c r="N92" s="231">
        <f t="shared" si="9"/>
        <v>0</v>
      </c>
      <c r="P92" s="240">
        <v>795</v>
      </c>
      <c r="Q92" s="241">
        <v>63.5</v>
      </c>
      <c r="R92" s="241">
        <v>-10.15</v>
      </c>
      <c r="S92" s="241">
        <v>6.7</v>
      </c>
      <c r="T92" s="232"/>
      <c r="U92" s="232"/>
      <c r="V92" s="241">
        <v>0</v>
      </c>
      <c r="W92" s="234">
        <f t="shared" si="11"/>
        <v>0</v>
      </c>
      <c r="AB92" s="42"/>
    </row>
    <row r="93" spans="1:28" ht="11.5">
      <c r="A93" s="232">
        <v>800</v>
      </c>
      <c r="B93" s="233">
        <f t="shared" si="13"/>
        <v>0</v>
      </c>
      <c r="C93" s="234">
        <f t="shared" si="7"/>
        <v>0</v>
      </c>
      <c r="D93" s="235">
        <f>CMFs!B90</f>
        <v>1.0253980000000001E-5</v>
      </c>
      <c r="E93" s="235">
        <f>CMFs!C90</f>
        <v>3.7029000000000002E-6</v>
      </c>
      <c r="F93" s="235">
        <f>CMFs!D90</f>
        <v>0</v>
      </c>
      <c r="G93" s="234"/>
      <c r="H93" s="234"/>
      <c r="I93" s="232">
        <v>0</v>
      </c>
      <c r="J93" s="236">
        <f t="shared" si="8"/>
        <v>0</v>
      </c>
      <c r="K93" s="37"/>
      <c r="L93" s="38"/>
      <c r="M93" s="43"/>
      <c r="N93" s="231">
        <f t="shared" si="9"/>
        <v>0</v>
      </c>
      <c r="P93" s="240">
        <v>800</v>
      </c>
      <c r="Q93" s="241">
        <v>61</v>
      </c>
      <c r="R93" s="241">
        <v>-9.6999999999999993</v>
      </c>
      <c r="S93" s="241">
        <v>6.4</v>
      </c>
      <c r="T93" s="232"/>
      <c r="U93" s="232"/>
      <c r="V93" s="241">
        <v>0</v>
      </c>
      <c r="W93" s="234">
        <f t="shared" si="11"/>
        <v>0</v>
      </c>
    </row>
    <row r="94" spans="1:28" ht="11.5">
      <c r="A94" s="232">
        <v>805</v>
      </c>
      <c r="B94" s="233">
        <f t="shared" si="13"/>
        <v>0</v>
      </c>
      <c r="C94" s="234">
        <f t="shared" si="7"/>
        <v>0</v>
      </c>
      <c r="D94" s="235">
        <f>CMFs!B91</f>
        <v>7.2214559999999999E-6</v>
      </c>
      <c r="E94" s="235">
        <f>CMFs!C91</f>
        <v>2.6077999999999998E-6</v>
      </c>
      <c r="F94" s="235">
        <f>CMFs!D91</f>
        <v>0</v>
      </c>
      <c r="G94" s="234"/>
      <c r="H94" s="234"/>
      <c r="I94" s="232">
        <v>0</v>
      </c>
      <c r="J94" s="236">
        <f t="shared" si="8"/>
        <v>0</v>
      </c>
      <c r="K94" s="37"/>
      <c r="L94" s="38"/>
      <c r="M94" s="43"/>
      <c r="N94" s="231">
        <f t="shared" si="9"/>
        <v>0</v>
      </c>
      <c r="P94" s="240">
        <v>805</v>
      </c>
      <c r="Q94" s="241">
        <v>57.15</v>
      </c>
      <c r="R94" s="241">
        <v>-9</v>
      </c>
      <c r="S94" s="241">
        <v>5.95</v>
      </c>
      <c r="T94" s="232"/>
      <c r="U94" s="232"/>
      <c r="V94" s="241">
        <v>0</v>
      </c>
      <c r="W94" s="234">
        <f t="shared" si="11"/>
        <v>0</v>
      </c>
    </row>
    <row r="95" spans="1:28" ht="11.5">
      <c r="A95" s="232">
        <v>810</v>
      </c>
      <c r="B95" s="233">
        <f t="shared" si="13"/>
        <v>0</v>
      </c>
      <c r="C95" s="234">
        <f t="shared" si="7"/>
        <v>0</v>
      </c>
      <c r="D95" s="235">
        <f>CMFs!B92</f>
        <v>5.0858679999999998E-6</v>
      </c>
      <c r="E95" s="235">
        <f>CMFs!C92</f>
        <v>1.8365999999999999E-6</v>
      </c>
      <c r="F95" s="235">
        <f>CMFs!D92</f>
        <v>0</v>
      </c>
      <c r="G95" s="234"/>
      <c r="H95" s="234"/>
      <c r="I95" s="232">
        <v>0</v>
      </c>
      <c r="J95" s="236">
        <f t="shared" si="8"/>
        <v>0</v>
      </c>
      <c r="K95" s="37"/>
      <c r="L95" s="38"/>
      <c r="M95" s="43"/>
      <c r="N95" s="231">
        <f t="shared" si="9"/>
        <v>0</v>
      </c>
      <c r="P95" s="240">
        <v>810</v>
      </c>
      <c r="Q95" s="241">
        <v>53.3</v>
      </c>
      <c r="R95" s="241">
        <v>-8.3000000000000007</v>
      </c>
      <c r="S95" s="241">
        <v>5.5</v>
      </c>
      <c r="T95" s="232"/>
      <c r="U95" s="232"/>
      <c r="V95" s="241">
        <v>0</v>
      </c>
      <c r="W95" s="234">
        <f t="shared" si="11"/>
        <v>0</v>
      </c>
    </row>
    <row r="96" spans="1:28" ht="11.5">
      <c r="A96" s="232">
        <v>815</v>
      </c>
      <c r="B96" s="233">
        <f t="shared" si="13"/>
        <v>0</v>
      </c>
      <c r="C96" s="234">
        <f t="shared" si="7"/>
        <v>0</v>
      </c>
      <c r="D96" s="235">
        <f>CMFs!B93</f>
        <v>3.5816519999999999E-6</v>
      </c>
      <c r="E96" s="235">
        <f>CMFs!C93</f>
        <v>1.2934E-6</v>
      </c>
      <c r="F96" s="235">
        <f>CMFs!D93</f>
        <v>0</v>
      </c>
      <c r="G96" s="234"/>
      <c r="H96" s="234"/>
      <c r="I96" s="232">
        <v>0</v>
      </c>
      <c r="J96" s="236">
        <f t="shared" si="8"/>
        <v>0</v>
      </c>
      <c r="K96" s="37"/>
      <c r="L96" s="38"/>
      <c r="M96" s="43"/>
      <c r="N96" s="231">
        <f t="shared" si="9"/>
        <v>0</v>
      </c>
      <c r="P96" s="240">
        <v>815</v>
      </c>
      <c r="Q96" s="241">
        <v>56.1</v>
      </c>
      <c r="R96" s="241">
        <v>-8.8000000000000007</v>
      </c>
      <c r="S96" s="241">
        <v>5.8</v>
      </c>
      <c r="T96" s="232"/>
      <c r="U96" s="232"/>
      <c r="V96" s="241">
        <v>0</v>
      </c>
      <c r="W96" s="234">
        <f t="shared" si="11"/>
        <v>0</v>
      </c>
    </row>
    <row r="97" spans="1:23" ht="11.5">
      <c r="A97" s="232">
        <v>820</v>
      </c>
      <c r="B97" s="233">
        <f t="shared" si="13"/>
        <v>0</v>
      </c>
      <c r="C97" s="234">
        <f t="shared" si="7"/>
        <v>0</v>
      </c>
      <c r="D97" s="235">
        <f>CMFs!B94</f>
        <v>2.522525E-6</v>
      </c>
      <c r="E97" s="235">
        <f>CMFs!C94</f>
        <v>9.1093000000000002E-7</v>
      </c>
      <c r="F97" s="235">
        <f>CMFs!D94</f>
        <v>0</v>
      </c>
      <c r="G97" s="234"/>
      <c r="H97" s="234"/>
      <c r="I97" s="232">
        <v>0</v>
      </c>
      <c r="J97" s="236">
        <f t="shared" si="8"/>
        <v>0</v>
      </c>
      <c r="K97" s="37"/>
      <c r="L97" s="38"/>
      <c r="M97" s="43"/>
      <c r="N97" s="231">
        <f t="shared" si="9"/>
        <v>0</v>
      </c>
      <c r="P97" s="240">
        <v>820</v>
      </c>
      <c r="Q97" s="241">
        <v>58.9</v>
      </c>
      <c r="R97" s="241">
        <v>-9.3000000000000007</v>
      </c>
      <c r="S97" s="241">
        <v>6.1</v>
      </c>
      <c r="T97" s="232"/>
      <c r="U97" s="232"/>
      <c r="V97" s="241">
        <v>0</v>
      </c>
      <c r="W97" s="234">
        <f t="shared" si="11"/>
        <v>0</v>
      </c>
    </row>
    <row r="98" spans="1:23" ht="11.5">
      <c r="A98" s="232">
        <v>825</v>
      </c>
      <c r="B98" s="233">
        <f t="shared" si="13"/>
        <v>0</v>
      </c>
      <c r="C98" s="234">
        <f t="shared" si="7"/>
        <v>0</v>
      </c>
      <c r="D98" s="235">
        <f>CMFs!B95</f>
        <v>1.7765090000000001E-6</v>
      </c>
      <c r="E98" s="235">
        <f>CMFs!C95</f>
        <v>6.4153E-7</v>
      </c>
      <c r="F98" s="235">
        <f>CMFs!D95</f>
        <v>0</v>
      </c>
      <c r="G98" s="234"/>
      <c r="H98" s="234"/>
      <c r="I98" s="232">
        <v>0</v>
      </c>
      <c r="J98" s="236">
        <f t="shared" si="8"/>
        <v>0</v>
      </c>
      <c r="K98" s="37"/>
      <c r="L98" s="38"/>
      <c r="M98" s="43"/>
      <c r="N98" s="231">
        <f t="shared" si="9"/>
        <v>0</v>
      </c>
      <c r="P98" s="240">
        <v>825</v>
      </c>
      <c r="Q98" s="241">
        <v>60.4</v>
      </c>
      <c r="R98" s="241">
        <v>-9.5500000000000007</v>
      </c>
      <c r="S98" s="241">
        <v>6.3</v>
      </c>
      <c r="T98" s="232"/>
      <c r="U98" s="232"/>
      <c r="V98" s="241">
        <v>0</v>
      </c>
      <c r="W98" s="234">
        <f t="shared" si="11"/>
        <v>0</v>
      </c>
    </row>
    <row r="99" spans="1:23" ht="11.5">
      <c r="A99" s="232">
        <v>830</v>
      </c>
      <c r="B99" s="233">
        <f t="shared" si="13"/>
        <v>0</v>
      </c>
      <c r="C99" s="234">
        <f t="shared" si="7"/>
        <v>0</v>
      </c>
      <c r="D99" s="235">
        <f>CMFs!B96</f>
        <v>1.251141E-6</v>
      </c>
      <c r="E99" s="235">
        <f>CMFs!C96</f>
        <v>4.5181000000000002E-7</v>
      </c>
      <c r="F99" s="235">
        <f>CMFs!D96</f>
        <v>0</v>
      </c>
      <c r="G99" s="234"/>
      <c r="H99" s="234"/>
      <c r="I99" s="232">
        <v>0</v>
      </c>
      <c r="J99" s="236">
        <f t="shared" si="8"/>
        <v>0</v>
      </c>
      <c r="K99" s="37"/>
      <c r="L99" s="38"/>
      <c r="M99" s="43"/>
      <c r="N99" s="231">
        <f t="shared" si="9"/>
        <v>0</v>
      </c>
      <c r="P99" s="240">
        <v>830</v>
      </c>
      <c r="Q99" s="241">
        <v>61.9</v>
      </c>
      <c r="R99" s="241">
        <v>-9.8000000000000007</v>
      </c>
      <c r="S99" s="241">
        <v>6.5</v>
      </c>
      <c r="T99" s="232"/>
      <c r="U99" s="232"/>
      <c r="V99" s="241">
        <v>0</v>
      </c>
      <c r="W99" s="234">
        <f t="shared" si="11"/>
        <v>0</v>
      </c>
    </row>
    <row r="100" spans="1:23">
      <c r="J100" s="37"/>
      <c r="K100" s="37"/>
      <c r="L100" s="38"/>
      <c r="M100" s="43"/>
    </row>
    <row r="101" spans="1:23">
      <c r="B101" s="9">
        <f>SUMPRODUCT(B5:B99,C5:C99)</f>
        <v>145.82366283581317</v>
      </c>
      <c r="I101" s="6">
        <f>SUMPRODUCT(E5:E99,I5:I99)</f>
        <v>58286239687392.023</v>
      </c>
    </row>
    <row r="104" spans="1:23">
      <c r="A104" s="19"/>
      <c r="B104" s="249"/>
      <c r="C104" s="32"/>
    </row>
    <row r="105" spans="1:23">
      <c r="A105" s="19"/>
      <c r="B105" s="249"/>
      <c r="C105" s="32"/>
    </row>
    <row r="106" spans="1:23">
      <c r="A106" s="19"/>
      <c r="B106" s="249"/>
      <c r="C106" s="32"/>
    </row>
    <row r="107" spans="1:23">
      <c r="A107" s="253"/>
      <c r="B107" s="254"/>
      <c r="C107" s="32"/>
    </row>
    <row r="108" spans="1:23">
      <c r="A108" s="253"/>
      <c r="B108" s="254"/>
      <c r="C108" s="32"/>
    </row>
    <row r="109" spans="1:23">
      <c r="A109" s="253"/>
      <c r="B109" s="254"/>
      <c r="C109" s="32"/>
    </row>
    <row r="110" spans="1:23">
      <c r="A110" s="253"/>
      <c r="B110" s="253"/>
      <c r="C110" s="32"/>
    </row>
    <row r="111" spans="1:23">
      <c r="A111" s="253"/>
      <c r="B111" s="253"/>
      <c r="C111" s="32"/>
    </row>
    <row r="112" spans="1:23">
      <c r="A112" s="33"/>
      <c r="B112" s="253"/>
      <c r="C112" s="32"/>
    </row>
    <row r="113" spans="1:3">
      <c r="A113" s="33"/>
      <c r="B113" s="253"/>
      <c r="C113" s="32"/>
    </row>
    <row r="114" spans="1:3">
      <c r="A114" s="253"/>
      <c r="B114" s="255"/>
      <c r="C114" s="32"/>
    </row>
    <row r="115" spans="1:3">
      <c r="A115" s="253"/>
      <c r="B115" s="253"/>
      <c r="C115" s="32"/>
    </row>
    <row r="116" spans="1:3">
      <c r="A116" s="19"/>
      <c r="B116" s="249"/>
      <c r="C116" s="32"/>
    </row>
    <row r="180" spans="28:28">
      <c r="AB180" s="65"/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09"/>
  <sheetViews>
    <sheetView topLeftCell="A7" workbookViewId="0">
      <selection activeCell="H20" sqref="H20"/>
    </sheetView>
  </sheetViews>
  <sheetFormatPr defaultColWidth="12.453125" defaultRowHeight="15.5"/>
  <cols>
    <col min="1" max="1" width="9.36328125" style="186" customWidth="1"/>
    <col min="2" max="2" width="10.90625" style="175" customWidth="1"/>
    <col min="3" max="4" width="9.36328125" style="175" customWidth="1"/>
    <col min="5" max="5" width="9.36328125" style="176" customWidth="1"/>
    <col min="6" max="6" width="7.54296875" style="177" customWidth="1"/>
    <col min="7" max="7" width="14.6328125" style="177" customWidth="1"/>
    <col min="8" max="8" width="12.90625" style="177" customWidth="1"/>
    <col min="9" max="9" width="10.1796875" style="177" customWidth="1"/>
    <col min="10" max="10" width="11.36328125" style="177" customWidth="1"/>
    <col min="11" max="11" width="12" style="177" customWidth="1"/>
    <col min="12" max="12" width="12.90625" style="178" customWidth="1"/>
    <col min="13" max="13" width="10.1796875" style="179" customWidth="1"/>
    <col min="14" max="14" width="8" style="179" customWidth="1"/>
    <col min="15" max="17" width="8" style="209" customWidth="1"/>
    <col min="18" max="16384" width="12.453125" style="209"/>
  </cols>
  <sheetData>
    <row r="1" spans="1:12" ht="18">
      <c r="A1" s="174" t="s">
        <v>200</v>
      </c>
    </row>
    <row r="2" spans="1:12">
      <c r="A2" s="264" t="s">
        <v>201</v>
      </c>
    </row>
    <row r="4" spans="1:12" s="179" customFormat="1">
      <c r="A4" s="180"/>
      <c r="B4" s="262" t="s">
        <v>56</v>
      </c>
      <c r="C4" s="263">
        <f>Reference!H13</f>
        <v>0.41743646998377076</v>
      </c>
      <c r="D4" s="181" t="s">
        <v>430</v>
      </c>
      <c r="E4" s="176"/>
      <c r="F4" s="177"/>
      <c r="G4" s="265" t="s">
        <v>431</v>
      </c>
      <c r="H4" s="177"/>
      <c r="I4" s="258" t="str">
        <f>G38</f>
        <v>Final CCT</v>
      </c>
      <c r="J4" s="259">
        <f>H38</f>
        <v>3287.7263415831103</v>
      </c>
      <c r="K4" s="177"/>
      <c r="L4" s="182"/>
    </row>
    <row r="5" spans="1:12" s="179" customFormat="1">
      <c r="A5" s="180" t="s">
        <v>12</v>
      </c>
      <c r="B5" s="262" t="s">
        <v>58</v>
      </c>
      <c r="C5" s="263">
        <f>Reference!H14</f>
        <v>0.39570133637395477</v>
      </c>
      <c r="D5" s="181" t="s">
        <v>430</v>
      </c>
      <c r="E5" s="176"/>
      <c r="F5" s="177"/>
      <c r="G5" s="177"/>
      <c r="H5" s="177"/>
      <c r="I5" s="258" t="str">
        <f>G39</f>
        <v>Final Duv</v>
      </c>
      <c r="J5" s="260">
        <f>H39</f>
        <v>-3.0434933115461408E-4</v>
      </c>
      <c r="K5" s="177"/>
      <c r="L5" s="182"/>
    </row>
    <row r="6" spans="1:12" s="179" customFormat="1">
      <c r="A6" s="180"/>
      <c r="B6" s="183" t="s">
        <v>202</v>
      </c>
      <c r="C6" s="184">
        <f>4*C4/(-2*C4+12*C5+3)</f>
        <v>0.24151811258334185</v>
      </c>
      <c r="D6" s="175"/>
      <c r="E6" s="176"/>
      <c r="F6" s="177"/>
      <c r="G6" s="177"/>
      <c r="H6" s="177"/>
      <c r="I6" s="177"/>
      <c r="J6" s="177"/>
      <c r="K6" s="177"/>
      <c r="L6" s="182"/>
    </row>
    <row r="7" spans="1:12" s="179" customFormat="1">
      <c r="A7" s="180"/>
      <c r="B7" s="183" t="s">
        <v>203</v>
      </c>
      <c r="C7" s="184">
        <f>9*C5/(-2*C4+12*C5+3)</f>
        <v>0.51512111483882372</v>
      </c>
      <c r="D7" s="175"/>
      <c r="E7" s="176" t="s">
        <v>12</v>
      </c>
      <c r="F7" s="177"/>
      <c r="G7" s="177"/>
      <c r="H7" s="177"/>
      <c r="I7" s="177"/>
      <c r="J7" s="177"/>
      <c r="K7" s="177"/>
      <c r="L7" s="182"/>
    </row>
    <row r="8" spans="1:12" s="179" customFormat="1">
      <c r="A8" s="180"/>
      <c r="B8" s="183" t="s">
        <v>13</v>
      </c>
      <c r="C8" s="185">
        <f>C6</f>
        <v>0.24151811258334185</v>
      </c>
      <c r="D8" s="175"/>
      <c r="E8" s="176" t="s">
        <v>12</v>
      </c>
      <c r="F8" s="177"/>
      <c r="G8" s="177"/>
      <c r="H8" s="177"/>
      <c r="I8" s="177"/>
      <c r="J8" s="177"/>
      <c r="K8" s="177"/>
      <c r="L8" s="182"/>
    </row>
    <row r="9" spans="1:12" s="179" customFormat="1">
      <c r="A9" s="180"/>
      <c r="B9" s="183" t="s">
        <v>14</v>
      </c>
      <c r="C9" s="185">
        <f>2/3*C7</f>
        <v>0.3434140765592158</v>
      </c>
      <c r="D9" s="175"/>
      <c r="E9" s="176" t="s">
        <v>12</v>
      </c>
      <c r="F9" s="177"/>
      <c r="G9" s="177"/>
      <c r="H9" s="177"/>
      <c r="I9" s="177"/>
      <c r="J9" s="177"/>
      <c r="K9" s="177"/>
      <c r="L9" s="182"/>
    </row>
    <row r="10" spans="1:12" s="179" customFormat="1">
      <c r="A10" s="186"/>
      <c r="B10" s="183"/>
      <c r="C10" s="187"/>
      <c r="D10" s="175"/>
      <c r="E10" s="176"/>
      <c r="F10" s="177"/>
      <c r="G10" s="177"/>
      <c r="H10" s="177"/>
      <c r="I10" s="177"/>
      <c r="J10" s="177"/>
      <c r="K10" s="177"/>
      <c r="L10" s="178"/>
    </row>
    <row r="11" spans="1:12" s="179" customFormat="1" ht="14">
      <c r="A11" s="186" t="s">
        <v>15</v>
      </c>
      <c r="B11" s="175" t="s">
        <v>13</v>
      </c>
      <c r="C11" s="175" t="s">
        <v>14</v>
      </c>
      <c r="D11" s="175" t="s">
        <v>204</v>
      </c>
      <c r="E11" s="176"/>
      <c r="F11" s="177" t="s">
        <v>12</v>
      </c>
      <c r="G11" s="177"/>
      <c r="H11" s="177"/>
      <c r="I11" s="177"/>
      <c r="J11" s="177"/>
      <c r="K11" s="177"/>
      <c r="L11" s="178"/>
    </row>
    <row r="12" spans="1:12" s="179" customFormat="1" ht="14">
      <c r="A12" s="186">
        <v>1000</v>
      </c>
      <c r="B12" s="175">
        <v>0.44801089488981843</v>
      </c>
      <c r="C12" s="175">
        <v>0.35462498084228011</v>
      </c>
      <c r="D12" s="175">
        <f t="shared" ref="D12:D75" si="0">SQRT(($C$8-B12)^2+($C$9-C12)^2)</f>
        <v>0.20679688953055836</v>
      </c>
      <c r="E12" s="176"/>
      <c r="F12" s="177"/>
      <c r="G12" s="177"/>
      <c r="H12" s="177"/>
      <c r="I12" s="177"/>
      <c r="J12" s="177"/>
      <c r="K12" s="177"/>
      <c r="L12" s="178"/>
    </row>
    <row r="13" spans="1:12" s="179" customFormat="1" ht="14">
      <c r="A13" s="186">
        <v>1010</v>
      </c>
      <c r="B13" s="175">
        <v>0.44568129266336581</v>
      </c>
      <c r="C13" s="175">
        <v>0.35482617570499636</v>
      </c>
      <c r="D13" s="175">
        <f t="shared" si="0"/>
        <v>0.20448188210034995</v>
      </c>
      <c r="E13" s="188"/>
      <c r="F13" s="177" t="s">
        <v>205</v>
      </c>
      <c r="G13" s="189">
        <f>MIN(D12:D314)</f>
        <v>5.0503596714466907E-4</v>
      </c>
      <c r="H13" s="177"/>
      <c r="I13" s="177"/>
      <c r="J13" s="177"/>
      <c r="K13" s="177"/>
      <c r="L13" s="178"/>
    </row>
    <row r="14" spans="1:12" s="179" customFormat="1" ht="14">
      <c r="A14" s="186">
        <v>1020.1</v>
      </c>
      <c r="B14" s="175">
        <v>0.44335347846954293</v>
      </c>
      <c r="C14" s="175">
        <v>0.35502562637433721</v>
      </c>
      <c r="D14" s="175">
        <f t="shared" si="0"/>
        <v>0.20216909509498651</v>
      </c>
      <c r="E14" s="188"/>
      <c r="F14" s="177" t="s">
        <v>206</v>
      </c>
      <c r="G14" s="186">
        <f>MATCH(G13,D12:D314,0)</f>
        <v>121</v>
      </c>
      <c r="H14" s="177"/>
      <c r="I14" s="177"/>
      <c r="J14" s="177"/>
      <c r="K14" s="177"/>
      <c r="L14" s="178"/>
    </row>
    <row r="15" spans="1:12" s="179" customFormat="1" ht="14">
      <c r="A15" s="186">
        <v>1030.3009999999999</v>
      </c>
      <c r="B15" s="175">
        <v>0.44102783487219727</v>
      </c>
      <c r="C15" s="175">
        <v>0.35522323363848951</v>
      </c>
      <c r="D15" s="175">
        <f t="shared" si="0"/>
        <v>0.19985891393355257</v>
      </c>
      <c r="E15" s="188"/>
      <c r="F15" s="177"/>
      <c r="G15" s="177"/>
      <c r="H15" s="177" t="s">
        <v>207</v>
      </c>
      <c r="I15" s="177" t="s">
        <v>13</v>
      </c>
      <c r="J15" s="177" t="s">
        <v>14</v>
      </c>
      <c r="K15" s="177"/>
      <c r="L15" s="178"/>
    </row>
    <row r="16" spans="1:12" s="179" customFormat="1" ht="14">
      <c r="A16" s="186">
        <v>1040.60401</v>
      </c>
      <c r="B16" s="175">
        <v>0.43870473853461356</v>
      </c>
      <c r="C16" s="175">
        <v>0.35541889751459266</v>
      </c>
      <c r="D16" s="175">
        <f t="shared" si="0"/>
        <v>0.19755171773542593</v>
      </c>
      <c r="E16" s="188"/>
      <c r="F16" s="177" t="s">
        <v>208</v>
      </c>
      <c r="G16" s="177">
        <f>INDEX(A12:A314,G14-1)</f>
        <v>3267.7097966075921</v>
      </c>
      <c r="H16" s="175">
        <f>INDEX(D12:D314,G14-1)</f>
        <v>7.0913901969995598E-4</v>
      </c>
      <c r="I16" s="175">
        <f>INDEX(B12:B314,G14-1)</f>
        <v>0.24196637855969508</v>
      </c>
      <c r="J16" s="175">
        <f>INDEX(C12:C314,G14-1)</f>
        <v>0.34396356337771566</v>
      </c>
      <c r="K16" s="177"/>
      <c r="L16" s="178"/>
    </row>
    <row r="17" spans="1:12" s="179" customFormat="1" ht="14">
      <c r="A17" s="186">
        <v>1051.0100500999999</v>
      </c>
      <c r="B17" s="175">
        <v>0.43638456011786375</v>
      </c>
      <c r="C17" s="175">
        <v>0.35561251728135151</v>
      </c>
      <c r="D17" s="175">
        <f t="shared" si="0"/>
        <v>0.19524787919661515</v>
      </c>
      <c r="E17" s="188"/>
      <c r="F17" s="177" t="s">
        <v>209</v>
      </c>
      <c r="G17" s="177">
        <f>INDEX(A12:A314,G14)</f>
        <v>3300.3868945736681</v>
      </c>
      <c r="H17" s="175">
        <f>INDEX(D12:D314,G14)</f>
        <v>5.0503596714466907E-4</v>
      </c>
      <c r="I17" s="177"/>
      <c r="J17" s="177"/>
      <c r="K17" s="177"/>
      <c r="L17" s="178"/>
    </row>
    <row r="18" spans="1:12" s="179" customFormat="1" ht="14">
      <c r="A18" s="186">
        <v>1061.5201506009998</v>
      </c>
      <c r="B18" s="175">
        <v>0.43406766418812687</v>
      </c>
      <c r="C18" s="175">
        <v>0.35580399151373487</v>
      </c>
      <c r="D18" s="175">
        <f t="shared" si="0"/>
        <v>0.19294776447469916</v>
      </c>
      <c r="E18" s="188"/>
      <c r="F18" s="177" t="s">
        <v>210</v>
      </c>
      <c r="G18" s="177">
        <f>INDEX(A12:A314,G14+1)</f>
        <v>3333.3907635194046</v>
      </c>
      <c r="H18" s="175">
        <f>INDEX(D12:D314,G14+1)</f>
        <v>1.4626081223119906E-3</v>
      </c>
      <c r="I18" s="175">
        <f>INDEX(B12:B314,G14+1)</f>
        <v>0.24009512705631436</v>
      </c>
      <c r="J18" s="175">
        <f>INDEX(C12:C314,G14+1)</f>
        <v>0.34307594240045142</v>
      </c>
      <c r="K18" s="177"/>
      <c r="L18" s="178"/>
    </row>
    <row r="19" spans="1:12" s="179" customFormat="1" ht="14">
      <c r="A19" s="186">
        <v>1072.1353521070098</v>
      </c>
      <c r="B19" s="175">
        <v>0.43175440913289981</v>
      </c>
      <c r="C19" s="175">
        <v>0.35599321811980217</v>
      </c>
      <c r="D19" s="175">
        <f t="shared" si="0"/>
        <v>0.19065173308232114</v>
      </c>
      <c r="E19" s="188"/>
      <c r="F19" s="177"/>
      <c r="G19" s="177"/>
      <c r="H19" s="177"/>
      <c r="I19" s="177" t="s">
        <v>211</v>
      </c>
      <c r="J19" s="184">
        <f>SQRT((I18-I16)^2+(J18-J16)^2)</f>
        <v>2.0710995118979987E-3</v>
      </c>
      <c r="K19" s="177"/>
      <c r="L19" s="178"/>
    </row>
    <row r="20" spans="1:12" s="179" customFormat="1" ht="14">
      <c r="A20" s="186">
        <v>1082.8567056280799</v>
      </c>
      <c r="B20" s="175">
        <v>0.4294451470860029</v>
      </c>
      <c r="C20" s="175">
        <v>0.35618009437969167</v>
      </c>
      <c r="D20" s="175">
        <f t="shared" si="0"/>
        <v>0.18836013778917518</v>
      </c>
      <c r="E20" s="188"/>
      <c r="F20" s="190" t="s">
        <v>212</v>
      </c>
      <c r="G20" s="177" t="s">
        <v>213</v>
      </c>
      <c r="H20" s="175">
        <f>(H16^2-H18^2+J19^2)/(2*J19)</f>
        <v>6.4050732539663716E-4</v>
      </c>
      <c r="I20" s="177" t="s">
        <v>214</v>
      </c>
      <c r="J20" s="175">
        <f>I16+(I18-I16)*H20/J19</f>
        <v>0.24138767614163673</v>
      </c>
      <c r="K20" s="177"/>
      <c r="L20" s="178"/>
    </row>
    <row r="21" spans="1:12" s="179" customFormat="1" ht="14">
      <c r="A21" s="186">
        <v>1093.6852726843608</v>
      </c>
      <c r="B21" s="175">
        <v>0.42714022386124079</v>
      </c>
      <c r="C21" s="175">
        <v>0.35636451698680344</v>
      </c>
      <c r="D21" s="175">
        <f t="shared" si="0"/>
        <v>0.1860733245323821</v>
      </c>
      <c r="E21" s="188"/>
      <c r="F21" s="190" t="s">
        <v>215</v>
      </c>
      <c r="G21" s="177" t="s">
        <v>216</v>
      </c>
      <c r="H21" s="190">
        <f>G16+(G18-G16)*H20/J19</f>
        <v>3288.0222635868331</v>
      </c>
      <c r="I21" s="177" t="s">
        <v>217</v>
      </c>
      <c r="J21" s="175">
        <f>J16+(J18-J16)*H20/J19</f>
        <v>0.34368905810414119</v>
      </c>
      <c r="K21" s="177"/>
      <c r="L21" s="178"/>
    </row>
    <row r="22" spans="1:12" s="179" customFormat="1" ht="14">
      <c r="A22" s="186">
        <v>1104.6221254112045</v>
      </c>
      <c r="B22" s="175">
        <v>0.42483997889459479</v>
      </c>
      <c r="C22" s="175">
        <v>0.35654638209119877</v>
      </c>
      <c r="D22" s="175">
        <f t="shared" si="0"/>
        <v>0.18379163233516982</v>
      </c>
      <c r="E22" s="188"/>
      <c r="F22" s="177"/>
      <c r="G22" s="177" t="s">
        <v>218</v>
      </c>
      <c r="H22" s="190">
        <f>H21*0.99991</f>
        <v>3287.7263415831103</v>
      </c>
      <c r="I22" s="177" t="s">
        <v>219</v>
      </c>
      <c r="J22" s="186">
        <f>IF(C9&gt;J21,1,-1)</f>
        <v>-1</v>
      </c>
      <c r="K22" s="177"/>
      <c r="L22" s="178"/>
    </row>
    <row r="23" spans="1:12" s="179" customFormat="1" ht="14">
      <c r="A23" s="186">
        <v>1115.6683466653164</v>
      </c>
      <c r="B23" s="175">
        <v>0.42254474519475504</v>
      </c>
      <c r="C23" s="175">
        <v>0.35672558534523757</v>
      </c>
      <c r="D23" s="175">
        <f t="shared" si="0"/>
        <v>0.18151539323370869</v>
      </c>
      <c r="E23" s="188"/>
      <c r="F23" s="177"/>
      <c r="G23" s="177" t="s">
        <v>22</v>
      </c>
      <c r="H23" s="184">
        <f>SQRT(H16^2-H20^2)</f>
        <v>3.0434933115461408E-4</v>
      </c>
      <c r="I23" s="192"/>
      <c r="J23" s="177"/>
      <c r="K23" s="177"/>
      <c r="L23" s="178"/>
    </row>
    <row r="24" spans="1:12" s="179" customFormat="1" ht="14">
      <c r="A24" s="186">
        <v>1126.8250301319697</v>
      </c>
      <c r="B24" s="175">
        <v>0.42025484930181978</v>
      </c>
      <c r="C24" s="175">
        <v>0.35690202195146581</v>
      </c>
      <c r="D24" s="175">
        <f t="shared" si="0"/>
        <v>0.17924493221197305</v>
      </c>
      <c r="E24" s="188"/>
      <c r="F24" s="177"/>
      <c r="G24" s="177" t="s">
        <v>194</v>
      </c>
      <c r="H24" s="193">
        <f>H23*J22</f>
        <v>-3.0434933115461408E-4</v>
      </c>
      <c r="I24" s="194"/>
      <c r="J24" s="177"/>
      <c r="K24" s="177"/>
      <c r="L24" s="178"/>
    </row>
    <row r="25" spans="1:12" s="179" customFormat="1" ht="14">
      <c r="A25" s="186">
        <v>1138.0932804332895</v>
      </c>
      <c r="B25" s="175">
        <v>0.41797061125396229</v>
      </c>
      <c r="C25" s="175">
        <v>0.35707558671275813</v>
      </c>
      <c r="D25" s="175">
        <f t="shared" si="0"/>
        <v>0.17698056714447674</v>
      </c>
      <c r="E25" s="188"/>
      <c r="F25" s="177"/>
      <c r="G25" s="177"/>
      <c r="H25" s="177"/>
      <c r="I25" s="177"/>
      <c r="J25" s="177"/>
      <c r="K25" s="177"/>
      <c r="L25" s="178"/>
    </row>
    <row r="26" spans="1:12" s="179" customFormat="1" ht="14">
      <c r="A26" s="186">
        <v>1149.4742132376223</v>
      </c>
      <c r="B26" s="175">
        <v>0.41569234456182597</v>
      </c>
      <c r="C26" s="175">
        <v>0.35724617408471859</v>
      </c>
      <c r="D26" s="175">
        <f t="shared" si="0"/>
        <v>0.1747226087466926</v>
      </c>
      <c r="E26" s="188"/>
      <c r="F26" s="190" t="s">
        <v>220</v>
      </c>
      <c r="G26" s="195" t="s">
        <v>16</v>
      </c>
      <c r="H26" s="196">
        <f>H16/(G16-G17)/(G16-G18)</f>
        <v>3.3040633452083304E-7</v>
      </c>
      <c r="I26" s="177"/>
      <c r="J26" s="177"/>
      <c r="K26" s="177"/>
      <c r="L26" s="178"/>
    </row>
    <row r="27" spans="1:12" s="179" customFormat="1" ht="14">
      <c r="A27" s="186">
        <v>1160.9689553699984</v>
      </c>
      <c r="B27" s="175">
        <v>0.41342035619042972</v>
      </c>
      <c r="C27" s="175">
        <v>0.35741367823032966</v>
      </c>
      <c r="D27" s="175">
        <f t="shared" si="0"/>
        <v>0.17247136053298948</v>
      </c>
      <c r="E27" s="188"/>
      <c r="F27" s="190" t="s">
        <v>215</v>
      </c>
      <c r="G27" s="195" t="s">
        <v>17</v>
      </c>
      <c r="H27" s="196">
        <f>H17/(G17-G16)/(G17-G18)</f>
        <v>-4.6828901929229488E-7</v>
      </c>
      <c r="I27" s="177"/>
      <c r="J27" s="177"/>
      <c r="K27" s="177"/>
      <c r="L27" s="178"/>
    </row>
    <row r="28" spans="1:12" s="179" customFormat="1" ht="14">
      <c r="A28" s="186">
        <v>1172.5786449236984</v>
      </c>
      <c r="B28" s="175">
        <v>0.41115494654833629</v>
      </c>
      <c r="C28" s="175">
        <v>0.35757799307683558</v>
      </c>
      <c r="D28" s="175">
        <f t="shared" si="0"/>
        <v>0.17022711878189442</v>
      </c>
      <c r="E28" s="188"/>
      <c r="F28" s="177"/>
      <c r="G28" s="195" t="s">
        <v>18</v>
      </c>
      <c r="H28" s="196">
        <f>H18/(G18-G16)/(G18-G17)</f>
        <v>6.747200088907601E-7</v>
      </c>
      <c r="I28" s="177"/>
      <c r="J28" s="177"/>
      <c r="K28" s="177"/>
      <c r="L28" s="178"/>
    </row>
    <row r="29" spans="1:12" s="179" customFormat="1" ht="14">
      <c r="A29" s="186">
        <v>1184.3044313729354</v>
      </c>
      <c r="B29" s="175">
        <v>0.40889640948379852</v>
      </c>
      <c r="C29" s="175">
        <v>0.3577390123748419</v>
      </c>
      <c r="D29" s="175">
        <f t="shared" si="0"/>
        <v>0.1679901725084513</v>
      </c>
      <c r="E29" s="188"/>
      <c r="F29" s="177"/>
      <c r="G29" s="196" t="s">
        <v>19</v>
      </c>
      <c r="H29" s="196">
        <f>H26+H27+H28</f>
        <v>5.368373241192982E-7</v>
      </c>
      <c r="I29" s="177"/>
      <c r="J29" s="177"/>
      <c r="K29" s="177"/>
      <c r="L29" s="178"/>
    </row>
    <row r="30" spans="1:12" s="179" customFormat="1" ht="14">
      <c r="A30" s="186">
        <v>1196.1474756866646</v>
      </c>
      <c r="B30" s="175">
        <v>0.4066450322876427</v>
      </c>
      <c r="C30" s="175">
        <v>0.35789662975959841</v>
      </c>
      <c r="D30" s="175">
        <f t="shared" si="0"/>
        <v>0.16576080344349364</v>
      </c>
      <c r="E30" s="188"/>
      <c r="F30" s="177"/>
      <c r="G30" s="196" t="s">
        <v>20</v>
      </c>
      <c r="H30" s="196">
        <f>-(H26*(G18+G17)+H27*(G16+G18)+H28*(G17+G16))</f>
        <v>-3.5322455103542309E-3</v>
      </c>
      <c r="I30" s="177"/>
      <c r="J30" s="177"/>
      <c r="K30" s="177"/>
      <c r="L30" s="197"/>
    </row>
    <row r="31" spans="1:12" s="179" customFormat="1" ht="14">
      <c r="A31" s="186">
        <v>1208.1089504435313</v>
      </c>
      <c r="B31" s="175">
        <v>0.40440109570258687</v>
      </c>
      <c r="C31" s="175">
        <v>0.35805073881443272</v>
      </c>
      <c r="D31" s="175">
        <f t="shared" si="0"/>
        <v>0.16353928601959086</v>
      </c>
      <c r="E31" s="188"/>
      <c r="F31" s="177"/>
      <c r="G31" s="196" t="s">
        <v>21</v>
      </c>
      <c r="H31" s="196">
        <f>H26*G17*G18+H27*G16*G18+H28*G16*G17</f>
        <v>5.8107524703855251</v>
      </c>
      <c r="I31" s="177"/>
      <c r="J31" s="177"/>
      <c r="K31" s="177"/>
      <c r="L31" s="197"/>
    </row>
    <row r="32" spans="1:12" s="179" customFormat="1" ht="14">
      <c r="A32" s="186">
        <v>1220.1900399479666</v>
      </c>
      <c r="B32" s="175">
        <v>0.40216487393871087</v>
      </c>
      <c r="C32" s="175">
        <v>0.35820123313628977</v>
      </c>
      <c r="D32" s="175">
        <f t="shared" si="0"/>
        <v>0.16132588736344761</v>
      </c>
      <c r="E32" s="188"/>
      <c r="F32" s="177"/>
      <c r="G32" s="196" t="s">
        <v>193</v>
      </c>
      <c r="H32" s="179">
        <f>-H30/(2*H29)</f>
        <v>3289.8658044585595</v>
      </c>
      <c r="I32" s="192"/>
      <c r="J32" s="177"/>
      <c r="K32" s="177"/>
      <c r="L32" s="178"/>
    </row>
    <row r="33" spans="1:12" s="179" customFormat="1" ht="14">
      <c r="A33" s="186">
        <v>1232.3919403474463</v>
      </c>
      <c r="B33" s="175">
        <v>0.39993663469478646</v>
      </c>
      <c r="C33" s="175">
        <v>0.35834800640332498</v>
      </c>
      <c r="D33" s="175">
        <f t="shared" si="0"/>
        <v>0.15912086729452879</v>
      </c>
      <c r="E33" s="188"/>
      <c r="F33" s="177"/>
      <c r="G33" s="177" t="s">
        <v>218</v>
      </c>
      <c r="H33" s="190">
        <f>H32*0.99991</f>
        <v>3289.569716536158</v>
      </c>
      <c r="I33" s="177"/>
      <c r="J33" s="177"/>
      <c r="K33" s="177"/>
      <c r="L33" s="178"/>
    </row>
    <row r="34" spans="1:12" s="179" customFormat="1" ht="14">
      <c r="A34" s="186">
        <v>1244.7158597509208</v>
      </c>
      <c r="B34" s="175">
        <v>0.39771663918515815</v>
      </c>
      <c r="C34" s="175">
        <v>0.35849095244449619</v>
      </c>
      <c r="D34" s="175">
        <f t="shared" si="0"/>
        <v>0.15692447832966808</v>
      </c>
      <c r="E34" s="188"/>
      <c r="F34" s="177"/>
      <c r="G34" s="177" t="s">
        <v>22</v>
      </c>
      <c r="H34" s="184">
        <f>H29*H33^2+H30*H33+H31</f>
        <v>4.4565871568202908E-4</v>
      </c>
      <c r="I34" s="194" t="s">
        <v>12</v>
      </c>
      <c r="J34" s="177"/>
      <c r="K34" s="177"/>
      <c r="L34" s="178"/>
    </row>
    <row r="35" spans="1:12" s="179" customFormat="1" ht="14">
      <c r="A35" s="186">
        <v>1257.1630183484301</v>
      </c>
      <c r="B35" s="175">
        <v>0.39550514217188043</v>
      </c>
      <c r="C35" s="175">
        <v>0.35862996531108327</v>
      </c>
      <c r="D35" s="175">
        <f t="shared" si="0"/>
        <v>0.15473696569343301</v>
      </c>
      <c r="E35" s="188"/>
      <c r="F35" s="177"/>
      <c r="G35" s="177" t="s">
        <v>194</v>
      </c>
      <c r="H35" s="193">
        <f>H34*J22</f>
        <v>-4.4565871568202908E-4</v>
      </c>
      <c r="I35" s="177"/>
      <c r="J35" s="177"/>
      <c r="K35" s="177"/>
      <c r="L35" s="178"/>
    </row>
    <row r="36" spans="1:12">
      <c r="A36" s="186">
        <v>1269.7346485319144</v>
      </c>
      <c r="B36" s="175">
        <v>0.39330239200179484</v>
      </c>
      <c r="C36" s="175">
        <v>0.35876493935006687</v>
      </c>
      <c r="D36" s="175">
        <f t="shared" si="0"/>
        <v>0.15255856733399981</v>
      </c>
      <c r="E36" s="188"/>
    </row>
    <row r="37" spans="1:12">
      <c r="A37" s="186">
        <v>1282.4319950172337</v>
      </c>
      <c r="B37" s="175">
        <v>0.39110863064824802</v>
      </c>
      <c r="C37" s="175">
        <v>0.35889576927928107</v>
      </c>
      <c r="D37" s="175">
        <f t="shared" si="0"/>
        <v>0.15038951394430911</v>
      </c>
      <c r="E37" s="188"/>
      <c r="G37" s="177" t="s">
        <v>221</v>
      </c>
      <c r="H37" s="198">
        <v>2E-3</v>
      </c>
      <c r="I37" s="199" t="s">
        <v>222</v>
      </c>
    </row>
    <row r="38" spans="1:12">
      <c r="A38" s="186">
        <v>1295.2563149674061</v>
      </c>
      <c r="B38" s="175">
        <v>0.38892409375713077</v>
      </c>
      <c r="C38" s="175">
        <v>0.35902235026425561</v>
      </c>
      <c r="D38" s="175">
        <f t="shared" si="0"/>
        <v>0.14823002898825477</v>
      </c>
      <c r="E38" s="188"/>
      <c r="G38" s="258" t="s">
        <v>223</v>
      </c>
      <c r="H38" s="261">
        <f>IF(H23&lt;H37,H22,H33)</f>
        <v>3287.7263415831103</v>
      </c>
      <c r="I38" s="199" t="s">
        <v>222</v>
      </c>
    </row>
    <row r="39" spans="1:12">
      <c r="A39" s="186">
        <v>1308.2088781170801</v>
      </c>
      <c r="B39" s="175">
        <v>0.38674901069693729</v>
      </c>
      <c r="C39" s="175">
        <v>0.35914457799664862</v>
      </c>
      <c r="D39" s="175">
        <f t="shared" si="0"/>
        <v>0.14608032873167631</v>
      </c>
      <c r="E39" s="188"/>
      <c r="G39" s="258" t="s">
        <v>224</v>
      </c>
      <c r="H39" s="260">
        <f>IF(H23&lt;H37,H24,H35)</f>
        <v>-3.0434933115461408E-4</v>
      </c>
    </row>
    <row r="40" spans="1:12">
      <c r="A40" s="186">
        <v>1321.2909668982509</v>
      </c>
      <c r="B40" s="175">
        <v>0.38458360461254942</v>
      </c>
      <c r="C40" s="175">
        <v>0.3592623487741709</v>
      </c>
      <c r="D40" s="175">
        <f t="shared" si="0"/>
        <v>0.14394062227793297</v>
      </c>
      <c r="E40" s="188"/>
    </row>
    <row r="41" spans="1:12">
      <c r="A41" s="186">
        <v>1334.5038765672334</v>
      </c>
      <c r="B41" s="175">
        <v>0.38242809248242526</v>
      </c>
      <c r="C41" s="175">
        <v>0.3593755595818906</v>
      </c>
      <c r="D41" s="175">
        <f t="shared" si="0"/>
        <v>0.14181111160781171</v>
      </c>
      <c r="E41" s="188"/>
      <c r="H41" s="184"/>
    </row>
    <row r="42" spans="1:12">
      <c r="A42" s="186">
        <v>1347.8489153329058</v>
      </c>
      <c r="B42" s="175">
        <v>0.38028268517890007</v>
      </c>
      <c r="C42" s="175">
        <v>0.35948410817480486</v>
      </c>
      <c r="D42" s="175">
        <f t="shared" si="0"/>
        <v>0.13969199162355006</v>
      </c>
      <c r="E42" s="188"/>
      <c r="F42" s="200"/>
      <c r="H42" s="184"/>
    </row>
    <row r="43" spans="1:12">
      <c r="A43" s="186">
        <v>1361.3274044862349</v>
      </c>
      <c r="B43" s="175">
        <v>0.37814758753132766</v>
      </c>
      <c r="C43" s="175">
        <v>0.35958789316155426</v>
      </c>
      <c r="D43" s="175">
        <f t="shared" si="0"/>
        <v>0.13758345019677462</v>
      </c>
      <c r="E43" s="188"/>
      <c r="F43" s="200"/>
      <c r="H43" s="184"/>
      <c r="L43" s="201"/>
    </row>
    <row r="44" spans="1:12">
      <c r="A44" s="186">
        <v>1374.9406785310973</v>
      </c>
      <c r="B44" s="175">
        <v>0.37602299839174269</v>
      </c>
      <c r="C44" s="175">
        <v>0.35968681408915498</v>
      </c>
      <c r="D44" s="175">
        <f t="shared" si="0"/>
        <v>0.13548566822010821</v>
      </c>
      <c r="E44" s="188"/>
      <c r="F44" s="200"/>
      <c r="H44" s="184"/>
      <c r="L44" s="201"/>
    </row>
    <row r="45" spans="1:12">
      <c r="A45" s="186">
        <v>1388.6900853164084</v>
      </c>
      <c r="B45" s="175">
        <v>0.37390911070279348</v>
      </c>
      <c r="C45" s="175">
        <v>0.35978077152861437</v>
      </c>
      <c r="D45" s="175">
        <f t="shared" si="0"/>
        <v>0.1333988196622668</v>
      </c>
      <c r="E45" s="188"/>
      <c r="F45" s="200"/>
      <c r="H45" s="184"/>
      <c r="L45" s="201"/>
    </row>
    <row r="46" spans="1:12">
      <c r="A46" s="186">
        <v>1402.5769861695726</v>
      </c>
      <c r="B46" s="175">
        <v>0.37180611156766535</v>
      </c>
      <c r="C46" s="175">
        <v>0.35986966716129132</v>
      </c>
      <c r="D46" s="175">
        <f t="shared" si="0"/>
        <v>0.13132307162643658</v>
      </c>
      <c r="E46" s="188"/>
      <c r="F46" s="200"/>
      <c r="G46" s="191"/>
      <c r="H46" s="202"/>
      <c r="I46" s="200"/>
      <c r="L46" s="201"/>
    </row>
    <row r="47" spans="1:12">
      <c r="A47" s="186">
        <v>1416.6027560312684</v>
      </c>
      <c r="B47" s="175">
        <v>0.36971418232172187</v>
      </c>
      <c r="C47" s="175">
        <v>0.35995340386585939</v>
      </c>
      <c r="D47" s="175">
        <f t="shared" si="0"/>
        <v>0.12925858441172827</v>
      </c>
      <c r="E47" s="188"/>
      <c r="F47" s="200"/>
      <c r="G47" s="199"/>
      <c r="H47" s="202"/>
      <c r="I47" s="200"/>
      <c r="L47" s="203"/>
    </row>
    <row r="48" spans="1:12">
      <c r="A48" s="186">
        <v>1430.768783591581</v>
      </c>
      <c r="B48" s="175">
        <v>0.36763349860563038</v>
      </c>
      <c r="C48" s="175">
        <v>0.36003188580572387</v>
      </c>
      <c r="D48" s="175">
        <f t="shared" si="0"/>
        <v>0.12720551157754204</v>
      </c>
      <c r="E48" s="188"/>
      <c r="F48" s="200"/>
      <c r="G48" s="199"/>
      <c r="H48" s="202"/>
      <c r="I48" s="200"/>
      <c r="L48" s="203"/>
    </row>
    <row r="49" spans="1:12">
      <c r="A49" s="186">
        <v>1445.0764714274969</v>
      </c>
      <c r="B49" s="175">
        <v>0.36556423043971031</v>
      </c>
      <c r="C49" s="175">
        <v>0.36010501851674143</v>
      </c>
      <c r="D49" s="175">
        <f t="shared" si="0"/>
        <v>0.1251640000106482</v>
      </c>
      <c r="E49" s="188"/>
      <c r="F49" s="200"/>
      <c r="G49" s="199"/>
      <c r="H49" s="202"/>
      <c r="I49" s="200"/>
      <c r="L49" s="203"/>
    </row>
    <row r="50" spans="1:12">
      <c r="A50" s="186">
        <v>1459.5272361417719</v>
      </c>
      <c r="B50" s="175">
        <v>0.36350654229928614</v>
      </c>
      <c r="C50" s="175">
        <v>0.36017270899508691</v>
      </c>
      <c r="D50" s="175">
        <f t="shared" si="0"/>
        <v>0.12313418999482845</v>
      </c>
      <c r="E50" s="188"/>
      <c r="F50" s="200"/>
      <c r="G50" s="199"/>
      <c r="H50" s="202"/>
      <c r="I50" s="200"/>
      <c r="L50" s="203"/>
    </row>
    <row r="51" spans="1:12">
      <c r="A51" s="186">
        <v>1474.1225085031897</v>
      </c>
      <c r="B51" s="175">
        <v>0.36146059319080825</v>
      </c>
      <c r="C51" s="175">
        <v>0.36023486578511016</v>
      </c>
      <c r="D51" s="175">
        <f t="shared" si="0"/>
        <v>0.12111621528290263</v>
      </c>
      <c r="E51" s="188"/>
      <c r="F51" s="200"/>
      <c r="G51" s="199"/>
      <c r="H51" s="202"/>
      <c r="I51" s="200"/>
      <c r="K51" s="196"/>
      <c r="L51" s="203"/>
    </row>
    <row r="52" spans="1:12" s="179" customFormat="1" ht="14">
      <c r="A52" s="186">
        <v>1488.8637335882215</v>
      </c>
      <c r="B52" s="175">
        <v>0.35942653672854535</v>
      </c>
      <c r="C52" s="175">
        <v>0.36029139906701818</v>
      </c>
      <c r="D52" s="175">
        <f t="shared" si="0"/>
        <v>0.11911020317100286</v>
      </c>
      <c r="E52" s="188"/>
      <c r="F52" s="200"/>
      <c r="G52" s="199"/>
      <c r="H52" s="202"/>
      <c r="I52" s="200"/>
      <c r="J52" s="204"/>
      <c r="K52" s="196"/>
      <c r="L52" s="203"/>
    </row>
    <row r="53" spans="1:12" s="179" customFormat="1" ht="14">
      <c r="A53" s="186">
        <v>1503.7523709241038</v>
      </c>
      <c r="B53" s="175">
        <v>0.3574045212116404</v>
      </c>
      <c r="C53" s="175">
        <v>0.3603422207442234</v>
      </c>
      <c r="D53" s="175">
        <f t="shared" si="0"/>
        <v>0.11711627457494281</v>
      </c>
      <c r="E53" s="188"/>
      <c r="F53" s="200"/>
      <c r="G53" s="199"/>
      <c r="H53" s="202"/>
      <c r="I53" s="200"/>
      <c r="J53" s="177"/>
      <c r="K53" s="196"/>
      <c r="L53" s="203"/>
    </row>
    <row r="54" spans="1:12" s="179" customFormat="1" ht="14">
      <c r="A54" s="186">
        <v>1518.7898946333448</v>
      </c>
      <c r="B54" s="175">
        <v>0.35539468970133475</v>
      </c>
      <c r="C54" s="175">
        <v>0.36038724453019055</v>
      </c>
      <c r="D54" s="175">
        <f t="shared" si="0"/>
        <v>0.11513454410853897</v>
      </c>
      <c r="E54" s="188"/>
      <c r="F54" s="200"/>
      <c r="G54" s="199"/>
      <c r="H54" s="202"/>
      <c r="I54" s="200"/>
      <c r="J54" s="186"/>
      <c r="K54" s="177"/>
      <c r="L54" s="203"/>
    </row>
    <row r="55" spans="1:12" s="179" customFormat="1" ht="14">
      <c r="A55" s="186">
        <v>1533.9777935796783</v>
      </c>
      <c r="B55" s="175">
        <v>0.3533971800982052</v>
      </c>
      <c r="C55" s="175">
        <v>0.3604263860346148</v>
      </c>
      <c r="D55" s="175">
        <f t="shared" si="0"/>
        <v>0.11316512016377706</v>
      </c>
      <c r="E55" s="188"/>
      <c r="F55" s="200"/>
      <c r="G55" s="199"/>
      <c r="H55" s="202"/>
      <c r="I55" s="200"/>
      <c r="J55" s="177"/>
      <c r="K55" s="177"/>
      <c r="L55" s="203"/>
    </row>
    <row r="56" spans="1:12" s="179" customFormat="1" ht="14">
      <c r="A56" s="186">
        <v>1549.317571515475</v>
      </c>
      <c r="B56" s="175">
        <v>0.35141212521922505</v>
      </c>
      <c r="C56" s="175">
        <v>0.3604595628487684</v>
      </c>
      <c r="D56" s="175">
        <f t="shared" si="0"/>
        <v>0.11120810499268019</v>
      </c>
      <c r="E56" s="188"/>
      <c r="F56" s="200"/>
      <c r="G56" s="191"/>
      <c r="H56" s="202"/>
      <c r="I56" s="200"/>
      <c r="J56" s="177"/>
      <c r="K56" s="177"/>
      <c r="L56" s="203"/>
    </row>
    <row r="57" spans="1:12" s="179" customFormat="1" ht="14">
      <c r="A57" s="186">
        <v>1564.8107472306299</v>
      </c>
      <c r="B57" s="175">
        <v>0.34943965287451761</v>
      </c>
      <c r="C57" s="175">
        <v>0.36048669462984329</v>
      </c>
      <c r="D57" s="175">
        <f t="shared" si="0"/>
        <v>0.10926359479078743</v>
      </c>
      <c r="E57" s="188"/>
      <c r="F57" s="200"/>
      <c r="G57" s="199"/>
      <c r="H57" s="202"/>
      <c r="I57" s="200"/>
      <c r="J57" s="177"/>
      <c r="K57" s="177"/>
      <c r="L57" s="203"/>
    </row>
    <row r="58" spans="1:12" s="179" customFormat="1" ht="14">
      <c r="A58" s="186">
        <v>1580.4588547029362</v>
      </c>
      <c r="B58" s="175">
        <v>0.34747988594364965</v>
      </c>
      <c r="C58" s="175">
        <v>0.36050770318412645</v>
      </c>
      <c r="D58" s="175">
        <f t="shared" si="0"/>
        <v>0.10733167978212718</v>
      </c>
      <c r="E58" s="188"/>
      <c r="F58" s="200"/>
      <c r="G58" s="199"/>
      <c r="H58" s="202"/>
      <c r="I58" s="200"/>
      <c r="J58" s="177"/>
      <c r="K58" s="177"/>
      <c r="L58" s="203"/>
    </row>
    <row r="59" spans="1:12" s="179" customFormat="1" ht="14">
      <c r="A59" s="186">
        <v>1596.2634432499656</v>
      </c>
      <c r="B59" s="175">
        <v>0.34553294245133837</v>
      </c>
      <c r="C59" s="175">
        <v>0.36052251254884121</v>
      </c>
      <c r="D59" s="175">
        <f t="shared" si="0"/>
        <v>0.10541244430559121</v>
      </c>
      <c r="E59" s="188"/>
      <c r="F59" s="200"/>
      <c r="G59" s="199"/>
      <c r="H59" s="202"/>
      <c r="I59" s="200"/>
      <c r="J59" s="177"/>
      <c r="K59" s="177"/>
      <c r="L59" s="203"/>
    </row>
    <row r="60" spans="1:12" s="179" customFormat="1" ht="14">
      <c r="A60" s="186">
        <v>1612.2260776824653</v>
      </c>
      <c r="B60" s="175">
        <v>0.34359893564246441</v>
      </c>
      <c r="C60" s="175">
        <v>0.3605310490724889</v>
      </c>
      <c r="D60" s="175">
        <f t="shared" si="0"/>
        <v>0.10350596690262855</v>
      </c>
      <c r="E60" s="188"/>
      <c r="F60" s="200"/>
      <c r="G60" s="199"/>
      <c r="H60" s="202"/>
      <c r="I60" s="200"/>
      <c r="J60" s="177"/>
      <c r="K60" s="177"/>
      <c r="L60" s="203"/>
    </row>
    <row r="61" spans="1:12" s="179" customFormat="1" ht="14">
      <c r="A61" s="186">
        <v>1628.3483384592901</v>
      </c>
      <c r="B61" s="175">
        <v>0.34167797405626865</v>
      </c>
      <c r="C61" s="175">
        <v>0.36053324149353067</v>
      </c>
      <c r="D61" s="175">
        <f t="shared" si="0"/>
        <v>0.10161232040616021</v>
      </c>
      <c r="E61" s="188"/>
      <c r="F61" s="200"/>
      <c r="G61" s="199"/>
      <c r="H61" s="202"/>
      <c r="I61" s="200"/>
      <c r="J61" s="177"/>
      <c r="K61" s="177"/>
      <c r="L61" s="203"/>
    </row>
    <row r="62" spans="1:12" s="179" customFormat="1" ht="14">
      <c r="A62" s="186">
        <v>1644.631821843883</v>
      </c>
      <c r="B62" s="175">
        <v>0.33977016159966777</v>
      </c>
      <c r="C62" s="175">
        <v>0.36052902101724515</v>
      </c>
      <c r="D62" s="175">
        <f t="shared" si="0"/>
        <v>9.9731572030666099E-2</v>
      </c>
      <c r="E62" s="188"/>
      <c r="F62" s="200"/>
      <c r="G62" s="199"/>
      <c r="H62" s="202"/>
      <c r="I62" s="200"/>
      <c r="J62" s="177"/>
      <c r="K62" s="177"/>
      <c r="L62" s="203"/>
    </row>
    <row r="63" spans="1:12" s="179" customFormat="1" ht="14">
      <c r="A63" s="186">
        <v>1661.0781400623218</v>
      </c>
      <c r="B63" s="175">
        <v>0.33787559761957225</v>
      </c>
      <c r="C63" s="175">
        <v>0.36051832139061091</v>
      </c>
      <c r="D63" s="175">
        <f t="shared" si="0"/>
        <v>9.7863783463340875E-2</v>
      </c>
      <c r="E63" s="188"/>
      <c r="F63" s="200"/>
      <c r="G63" s="199"/>
      <c r="H63" s="202"/>
      <c r="I63" s="200"/>
      <c r="J63" s="177"/>
      <c r="K63" s="177"/>
      <c r="L63" s="203"/>
    </row>
    <row r="64" spans="1:12" s="179" customFormat="1" ht="14">
      <c r="A64" s="186">
        <v>1677.688921462945</v>
      </c>
      <c r="B64" s="175">
        <v>0.33599437697417173</v>
      </c>
      <c r="C64" s="175">
        <v>0.36050107897505196</v>
      </c>
      <c r="D64" s="175">
        <f t="shared" si="0"/>
        <v>9.6009010956288776E-2</v>
      </c>
      <c r="E64" s="188"/>
      <c r="F64" s="200"/>
      <c r="G64" s="199"/>
      <c r="H64" s="202"/>
      <c r="I64" s="200"/>
      <c r="J64" s="177"/>
      <c r="K64" s="177"/>
      <c r="L64" s="203"/>
    </row>
    <row r="65" spans="1:12" s="179" customFormat="1" ht="14">
      <c r="A65" s="186">
        <v>1694.4658106775744</v>
      </c>
      <c r="B65" s="175">
        <v>0.33412659010310197</v>
      </c>
      <c r="C65" s="175">
        <v>0.3604772328169053</v>
      </c>
      <c r="D65" s="175">
        <f t="shared" si="0"/>
        <v>9.4167305419674427E-2</v>
      </c>
      <c r="E65" s="188"/>
      <c r="F65" s="200"/>
      <c r="G65" s="199"/>
      <c r="H65" s="202"/>
      <c r="I65" s="200"/>
      <c r="J65" s="177"/>
      <c r="K65" s="177"/>
      <c r="L65" s="203"/>
    </row>
    <row r="66" spans="1:12" s="179" customFormat="1" ht="14">
      <c r="A66" s="186">
        <v>1711.4104687843501</v>
      </c>
      <c r="B66" s="175">
        <v>0.33227232309645893</v>
      </c>
      <c r="C66" s="175">
        <v>0.36044672471545741</v>
      </c>
      <c r="D66" s="175">
        <f t="shared" si="0"/>
        <v>9.2338712515788804E-2</v>
      </c>
      <c r="E66" s="188"/>
      <c r="F66" s="200"/>
      <c r="G66" s="191"/>
      <c r="H66" s="202"/>
      <c r="I66" s="200"/>
      <c r="J66" s="177"/>
      <c r="K66" s="177"/>
      <c r="L66" s="203"/>
    </row>
    <row r="67" spans="1:12" s="179" customFormat="1" ht="14">
      <c r="A67" s="186">
        <v>1728.5245734721937</v>
      </c>
      <c r="B67" s="175">
        <v>0.33043165776261368</v>
      </c>
      <c r="C67" s="175">
        <v>0.36040949928841493</v>
      </c>
      <c r="D67" s="175">
        <f t="shared" si="0"/>
        <v>9.0523272753975217E-2</v>
      </c>
      <c r="E67" s="188"/>
      <c r="F67" s="200"/>
      <c r="G67" s="177"/>
      <c r="H67" s="184"/>
      <c r="I67" s="177"/>
      <c r="J67" s="177"/>
      <c r="K67" s="177"/>
      <c r="L67" s="203"/>
    </row>
    <row r="68" spans="1:12" s="179" customFormat="1" ht="14">
      <c r="A68" s="186">
        <v>1745.8098192069156</v>
      </c>
      <c r="B68" s="175">
        <v>0.32860467169480911</v>
      </c>
      <c r="C68" s="175">
        <v>0.36036550403466966</v>
      </c>
      <c r="D68" s="175">
        <f t="shared" si="0"/>
        <v>8.8721021586378582E-2</v>
      </c>
      <c r="E68" s="188"/>
      <c r="F68" s="200"/>
      <c r="G68" s="177"/>
      <c r="H68" s="184"/>
      <c r="I68" s="177"/>
      <c r="J68" s="177"/>
      <c r="K68" s="177"/>
      <c r="L68" s="203"/>
    </row>
    <row r="69" spans="1:12" s="179" customFormat="1" ht="14">
      <c r="A69" s="186">
        <v>1763.2679173989848</v>
      </c>
      <c r="B69" s="175">
        <v>0.32679143833650587</v>
      </c>
      <c r="C69" s="175">
        <v>0.36031468939423356</v>
      </c>
      <c r="D69" s="175">
        <f t="shared" si="0"/>
        <v>8.6931989504464874E-2</v>
      </c>
      <c r="E69" s="188"/>
      <c r="F69" s="200"/>
      <c r="G69" s="177"/>
      <c r="H69" s="184"/>
      <c r="I69" s="177"/>
      <c r="J69" s="177"/>
      <c r="K69" s="177"/>
      <c r="L69" s="203"/>
    </row>
    <row r="70" spans="1:12" s="179" customFormat="1" ht="14">
      <c r="A70" s="186">
        <v>1780.9005965729746</v>
      </c>
      <c r="B70" s="175">
        <v>0.32499202704547198</v>
      </c>
      <c r="C70" s="175">
        <v>0.36025700880521583</v>
      </c>
      <c r="D70" s="175">
        <f t="shared" si="0"/>
        <v>8.5156202136276393E-2</v>
      </c>
      <c r="E70" s="188"/>
      <c r="F70" s="200"/>
      <c r="G70" s="177"/>
      <c r="H70" s="184"/>
      <c r="I70" s="177"/>
      <c r="J70" s="177"/>
      <c r="K70" s="177"/>
      <c r="L70" s="178"/>
    </row>
    <row r="71" spans="1:12" s="179" customFormat="1" ht="14">
      <c r="A71" s="186">
        <v>1798.7096025387043</v>
      </c>
      <c r="B71" s="175">
        <v>0.32320650315661903</v>
      </c>
      <c r="C71" s="175">
        <v>0.36019241875772812</v>
      </c>
      <c r="D71" s="175">
        <f t="shared" si="0"/>
        <v>8.3393680344392151E-2</v>
      </c>
      <c r="E71" s="188"/>
      <c r="F71" s="177"/>
      <c r="G71" s="177"/>
      <c r="H71" s="177"/>
      <c r="I71" s="177"/>
      <c r="J71" s="177"/>
      <c r="K71" s="177"/>
      <c r="L71" s="178"/>
    </row>
    <row r="72" spans="1:12" s="179" customFormat="1" ht="14">
      <c r="A72" s="186">
        <v>1816.6966985640913</v>
      </c>
      <c r="B72" s="175">
        <v>0.32143492804358348</v>
      </c>
      <c r="C72" s="175">
        <v>0.36012087884460781</v>
      </c>
      <c r="D72" s="175">
        <f t="shared" si="0"/>
        <v>8.1644440324552994E-2</v>
      </c>
      <c r="E72" s="188"/>
      <c r="F72" s="177"/>
      <c r="G72" s="177"/>
      <c r="H72" s="177"/>
      <c r="I72" s="177"/>
      <c r="J72" s="177"/>
      <c r="K72" s="177"/>
      <c r="L72" s="178"/>
    </row>
    <row r="73" spans="1:12" s="179" customFormat="1" ht="14">
      <c r="A73" s="186">
        <v>1834.8636655497323</v>
      </c>
      <c r="B73" s="175">
        <v>0.31967735917906537</v>
      </c>
      <c r="C73" s="175">
        <v>0.36004235180885619</v>
      </c>
      <c r="D73" s="175">
        <f t="shared" si="0"/>
        <v>7.990849370491801E-2</v>
      </c>
      <c r="E73" s="188"/>
      <c r="F73" s="177"/>
      <c r="G73" s="177"/>
      <c r="H73" s="177"/>
      <c r="I73" s="177"/>
      <c r="J73" s="177"/>
      <c r="K73" s="177"/>
      <c r="L73" s="178"/>
    </row>
    <row r="74" spans="1:12" s="179" customFormat="1" ht="14">
      <c r="A74" s="186">
        <v>1853.2123022052297</v>
      </c>
      <c r="B74" s="175">
        <v>0.3179338501939466</v>
      </c>
      <c r="C74" s="175">
        <v>0.35995680358769705</v>
      </c>
      <c r="D74" s="175">
        <f t="shared" si="0"/>
        <v>7.8185847645923984E-2</v>
      </c>
      <c r="E74" s="188"/>
      <c r="F74" s="177"/>
      <c r="G74" s="177"/>
      <c r="H74" s="177"/>
      <c r="I74" s="177"/>
      <c r="J74" s="177"/>
      <c r="K74" s="177"/>
      <c r="L74" s="178"/>
    </row>
    <row r="75" spans="1:12" s="179" customFormat="1" ht="14">
      <c r="A75" s="186">
        <v>1871.7444252272819</v>
      </c>
      <c r="B75" s="175">
        <v>0.31620445093521798</v>
      </c>
      <c r="C75" s="175">
        <v>0.35986420335316943</v>
      </c>
      <c r="D75" s="175">
        <f t="shared" si="0"/>
        <v>7.6476504940720683E-2</v>
      </c>
      <c r="E75" s="188"/>
      <c r="F75" s="177"/>
      <c r="G75" s="177"/>
      <c r="H75" s="177"/>
      <c r="I75" s="177"/>
      <c r="J75" s="177"/>
      <c r="K75" s="177"/>
      <c r="L75" s="178"/>
    </row>
    <row r="76" spans="1:12" s="179" customFormat="1" ht="14">
      <c r="A76" s="186">
        <v>1890.4618694795547</v>
      </c>
      <c r="B76" s="175">
        <v>0.31448920752273213</v>
      </c>
      <c r="C76" s="175">
        <v>0.35976452354917271</v>
      </c>
      <c r="D76" s="175">
        <f t="shared" ref="D76:D139" si="1">SQRT(($C$8-B76)^2+($C$9-C76)^2)</f>
        <v>7.4780464116137313E-2</v>
      </c>
      <c r="E76" s="188"/>
      <c r="F76" s="177"/>
      <c r="G76" s="177"/>
      <c r="H76" s="177"/>
      <c r="I76" s="177"/>
      <c r="J76" s="177"/>
      <c r="K76" s="177"/>
      <c r="L76" s="178"/>
    </row>
    <row r="77" spans="1:12" s="179" customFormat="1" ht="14">
      <c r="A77" s="186">
        <v>1909.3664881743503</v>
      </c>
      <c r="B77" s="175">
        <v>0.31278816240483875</v>
      </c>
      <c r="C77" s="175">
        <v>0.35965773992489786</v>
      </c>
      <c r="D77" s="175">
        <f t="shared" si="1"/>
        <v>7.3097719534170505E-2</v>
      </c>
      <c r="E77" s="188"/>
      <c r="F77" s="177"/>
      <c r="G77" s="177"/>
      <c r="H77" s="177"/>
      <c r="I77" s="177"/>
      <c r="J77" s="177"/>
      <c r="K77" s="177"/>
      <c r="L77" s="178"/>
    </row>
    <row r="78" spans="1:12" s="179" customFormat="1" ht="14">
      <c r="A78" s="186">
        <v>1928.4601530560938</v>
      </c>
      <c r="B78" s="175">
        <v>0.31110135441292663</v>
      </c>
      <c r="C78" s="175">
        <v>0.35954383156457864</v>
      </c>
      <c r="D78" s="175">
        <f t="shared" si="1"/>
        <v>7.1428261493945835E-2</v>
      </c>
      <c r="E78" s="188"/>
      <c r="F78" s="177"/>
      <c r="G78" s="177"/>
      <c r="H78" s="177"/>
      <c r="I78" s="177"/>
      <c r="J78" s="177"/>
      <c r="K78" s="177"/>
      <c r="L78" s="178"/>
    </row>
    <row r="79" spans="1:12" s="179" customFormat="1" ht="14">
      <c r="A79" s="186">
        <v>1947.7447545866546</v>
      </c>
      <c r="B79" s="175">
        <v>0.30942881881493028</v>
      </c>
      <c r="C79" s="175">
        <v>0.35942278091351054</v>
      </c>
      <c r="D79" s="175">
        <f t="shared" si="1"/>
        <v>6.9772076334134694E-2</v>
      </c>
      <c r="E79" s="188"/>
      <c r="F79" s="177"/>
      <c r="G79" s="177"/>
      <c r="H79" s="177"/>
      <c r="I79" s="177"/>
      <c r="J79" s="177"/>
      <c r="K79" s="177"/>
      <c r="L79" s="178"/>
    </row>
    <row r="80" spans="1:12" s="179" customFormat="1" ht="14">
      <c r="A80" s="186">
        <v>1967.2222021325213</v>
      </c>
      <c r="B80" s="175">
        <v>0.30777058736783258</v>
      </c>
      <c r="C80" s="175">
        <v>0.35929457380029467</v>
      </c>
      <c r="D80" s="175">
        <f t="shared" si="1"/>
        <v>6.8129146535777868E-2</v>
      </c>
      <c r="E80" s="188"/>
      <c r="F80" s="177"/>
      <c r="G80" s="177"/>
      <c r="H80" s="177"/>
      <c r="I80" s="177"/>
      <c r="J80" s="177"/>
      <c r="K80" s="177"/>
      <c r="L80" s="178"/>
    </row>
    <row r="81" spans="1:14" s="179" customFormat="1" ht="14">
      <c r="A81" s="186">
        <v>1986.8944241538466</v>
      </c>
      <c r="B81" s="175">
        <v>0.30612668836924273</v>
      </c>
      <c r="C81" s="175">
        <v>0.35915919945526742</v>
      </c>
      <c r="D81" s="175">
        <f t="shared" si="1"/>
        <v>6.649945082550883E-2</v>
      </c>
      <c r="E81" s="188"/>
      <c r="F81" s="177"/>
      <c r="G81" s="177"/>
      <c r="H81" s="177"/>
      <c r="I81" s="177"/>
      <c r="J81" s="177"/>
      <c r="K81" s="177"/>
      <c r="L81" s="178"/>
    </row>
    <row r="82" spans="1:14" s="179" customFormat="1" ht="14">
      <c r="A82" s="186">
        <v>2006.763368395385</v>
      </c>
      <c r="B82" s="175">
        <v>0.30449714670807398</v>
      </c>
      <c r="C82" s="175">
        <v>0.35901665052509141</v>
      </c>
      <c r="D82" s="175">
        <f t="shared" si="1"/>
        <v>6.488296427911408E-2</v>
      </c>
      <c r="E82" s="188"/>
      <c r="F82" s="177"/>
      <c r="G82" s="177"/>
      <c r="H82" s="177"/>
      <c r="I82" s="177"/>
      <c r="J82" s="177"/>
      <c r="K82" s="177"/>
      <c r="L82" s="178"/>
    </row>
    <row r="83" spans="1:14" s="179" customFormat="1" ht="14">
      <c r="A83" s="186">
        <v>2026.8310020793388</v>
      </c>
      <c r="B83" s="175">
        <v>0.3028819839144018</v>
      </c>
      <c r="C83" s="175">
        <v>0.35886692308348922</v>
      </c>
      <c r="D83" s="175">
        <f t="shared" si="1"/>
        <v>6.3279658425418425E-2</v>
      </c>
      <c r="E83" s="188"/>
      <c r="F83" s="177"/>
      <c r="G83" s="177"/>
      <c r="H83" s="177"/>
      <c r="I83" s="177"/>
      <c r="J83" s="177"/>
      <c r="K83" s="177"/>
      <c r="L83" s="178"/>
    </row>
    <row r="84" spans="1:14" s="177" customFormat="1" ht="14">
      <c r="A84" s="186">
        <v>2047.0993121001322</v>
      </c>
      <c r="B84" s="175">
        <v>0.3012812182085432</v>
      </c>
      <c r="C84" s="175">
        <v>0.3587100166381102</v>
      </c>
      <c r="D84" s="175">
        <f t="shared" si="1"/>
        <v>6.1689501350441316E-2</v>
      </c>
      <c r="E84" s="188"/>
      <c r="L84" s="178"/>
      <c r="M84" s="179"/>
      <c r="N84" s="179"/>
    </row>
    <row r="85" spans="1:14" s="177" customFormat="1" ht="14">
      <c r="A85" s="186">
        <v>2067.5703052211334</v>
      </c>
      <c r="B85" s="175">
        <v>0.2996948645494299</v>
      </c>
      <c r="C85" s="175">
        <v>0.35854593413353159</v>
      </c>
      <c r="D85" s="175">
        <f t="shared" si="1"/>
        <v>6.0112457801799343E-2</v>
      </c>
      <c r="E85" s="188"/>
      <c r="L85" s="178"/>
      <c r="M85" s="179"/>
      <c r="N85" s="179"/>
    </row>
    <row r="86" spans="1:14" s="177" customFormat="1" ht="14">
      <c r="A86" s="186">
        <v>2088.2460082733446</v>
      </c>
      <c r="B86" s="175">
        <v>0.29812293468232454</v>
      </c>
      <c r="C86" s="175">
        <v>0.35837468195040162</v>
      </c>
      <c r="D86" s="175">
        <f t="shared" si="1"/>
        <v>5.8548489293305056E-2</v>
      </c>
      <c r="E86" s="188"/>
      <c r="L86" s="178"/>
      <c r="M86" s="179"/>
      <c r="N86" s="179"/>
    </row>
    <row r="87" spans="1:14" s="177" customFormat="1" ht="14">
      <c r="A87" s="186">
        <v>2109.128468356078</v>
      </c>
      <c r="B87" s="175">
        <v>0.29656543718594958</v>
      </c>
      <c r="C87" s="175">
        <v>0.35819626990074299</v>
      </c>
      <c r="D87" s="175">
        <f t="shared" si="1"/>
        <v>5.6997554209730371E-2</v>
      </c>
      <c r="E87" s="188"/>
      <c r="L87" s="178"/>
      <c r="M87" s="179"/>
      <c r="N87" s="179"/>
    </row>
    <row r="88" spans="1:14" s="177" customFormat="1" ht="14">
      <c r="A88" s="186">
        <v>2130.2197530396388</v>
      </c>
      <c r="B88" s="175">
        <v>0.29502237751907395</v>
      </c>
      <c r="C88" s="175">
        <v>0.3580107112194425</v>
      </c>
      <c r="D88" s="175">
        <f t="shared" si="1"/>
        <v>5.5459607911678775E-2</v>
      </c>
      <c r="E88" s="188"/>
      <c r="L88" s="178"/>
      <c r="M88" s="179"/>
      <c r="N88" s="179"/>
    </row>
    <row r="89" spans="1:14" s="177" customFormat="1" ht="14">
      <c r="A89" s="186">
        <v>2151.5219505700352</v>
      </c>
      <c r="B89" s="175">
        <v>0.29349375806664146</v>
      </c>
      <c r="C89" s="175">
        <v>0.35781802255196121</v>
      </c>
      <c r="D89" s="175">
        <f t="shared" si="1"/>
        <v>5.3934602840547269E-2</v>
      </c>
      <c r="E89" s="188"/>
      <c r="L89" s="178"/>
      <c r="M89" s="179"/>
      <c r="N89" s="179"/>
    </row>
    <row r="90" spans="1:14" s="177" customFormat="1" ht="14">
      <c r="A90" s="186">
        <v>2173.0371700757355</v>
      </c>
      <c r="B90" s="175">
        <v>0.29197957818546688</v>
      </c>
      <c r="C90" s="175">
        <v>0.35761822393830955</v>
      </c>
      <c r="D90" s="175">
        <f t="shared" si="1"/>
        <v>5.2422488623504543E-2</v>
      </c>
      <c r="E90" s="188"/>
      <c r="L90" s="178"/>
      <c r="M90" s="179"/>
      <c r="N90" s="179"/>
    </row>
    <row r="91" spans="1:14" s="177" customFormat="1" ht="14">
      <c r="A91" s="186">
        <v>2194.7675417764931</v>
      </c>
      <c r="B91" s="175">
        <v>0.29047983424958673</v>
      </c>
      <c r="C91" s="175">
        <v>0.35741133879333592</v>
      </c>
      <c r="D91" s="175">
        <f t="shared" si="1"/>
        <v>5.0923212178470817E-2</v>
      </c>
      <c r="E91" s="188"/>
      <c r="L91" s="178"/>
      <c r="M91" s="179"/>
      <c r="N91" s="179"/>
    </row>
    <row r="92" spans="1:14" s="177" customFormat="1" ht="14">
      <c r="A92" s="186">
        <v>2216.715217194258</v>
      </c>
      <c r="B92" s="175">
        <v>0.28899451969530027</v>
      </c>
      <c r="C92" s="175">
        <v>0.35719739388339006</v>
      </c>
      <c r="D92" s="175">
        <f t="shared" si="1"/>
        <v>4.9436717819039099E-2</v>
      </c>
      <c r="E92" s="188"/>
      <c r="L92" s="178"/>
      <c r="M92" s="179"/>
      <c r="N92" s="179"/>
    </row>
    <row r="93" spans="1:14" s="177" customFormat="1" ht="14">
      <c r="A93" s="186">
        <v>2238.8823693662007</v>
      </c>
      <c r="B93" s="175">
        <v>0.28752362506595874</v>
      </c>
      <c r="C93" s="175">
        <v>0.35697641929942636</v>
      </c>
      <c r="D93" s="175">
        <f t="shared" si="1"/>
        <v>4.7962947359301851E-2</v>
      </c>
      <c r="E93" s="188"/>
      <c r="L93" s="178"/>
      <c r="M93" s="179"/>
      <c r="N93" s="179"/>
    </row>
    <row r="94" spans="1:14" s="177" customFormat="1" ht="14">
      <c r="A94" s="186">
        <v>2261.2711930598625</v>
      </c>
      <c r="B94" s="175">
        <v>0.28606713805656125</v>
      </c>
      <c r="C94" s="175">
        <v>0.35674844842661968</v>
      </c>
      <c r="D94" s="175">
        <f t="shared" si="1"/>
        <v>4.6501840218552248E-2</v>
      </c>
      <c r="E94" s="188"/>
      <c r="L94" s="178"/>
      <c r="M94" s="179"/>
      <c r="N94" s="179"/>
    </row>
    <row r="95" spans="1:14" s="177" customFormat="1" ht="14">
      <c r="A95" s="186">
        <v>2283.8839049904614</v>
      </c>
      <c r="B95" s="175">
        <v>0.28462504355819213</v>
      </c>
      <c r="C95" s="175">
        <v>0.35651351791057712</v>
      </c>
      <c r="D95" s="175">
        <f t="shared" si="1"/>
        <v>4.5053333525814275E-2</v>
      </c>
      <c r="E95" s="188"/>
      <c r="L95" s="178"/>
      <c r="M95" s="179"/>
      <c r="N95" s="179"/>
    </row>
    <row r="96" spans="1:14" s="177" customFormat="1" ht="14">
      <c r="A96" s="186">
        <v>2306.7227440403658</v>
      </c>
      <c r="B96" s="175">
        <v>0.28319732370235873</v>
      </c>
      <c r="C96" s="175">
        <v>0.35627166762022838</v>
      </c>
      <c r="D96" s="175">
        <f t="shared" si="1"/>
        <v>4.3617362224185573E-2</v>
      </c>
      <c r="E96" s="188"/>
      <c r="L96" s="178"/>
      <c r="M96" s="179"/>
      <c r="N96" s="179"/>
    </row>
    <row r="97" spans="1:14" s="177" customFormat="1" ht="14">
      <c r="A97" s="186">
        <v>2329.7899714807695</v>
      </c>
      <c r="B97" s="175">
        <v>0.28178395790526228</v>
      </c>
      <c r="C97" s="175">
        <v>0.3560229406074934</v>
      </c>
      <c r="D97" s="175">
        <f t="shared" si="1"/>
        <v>4.219385917496489E-2</v>
      </c>
      <c r="E97" s="188"/>
      <c r="L97" s="178"/>
      <c r="M97" s="179"/>
      <c r="N97" s="179"/>
    </row>
    <row r="98" spans="1:14" s="177" customFormat="1" ht="14">
      <c r="A98" s="186">
        <v>2353.087871195577</v>
      </c>
      <c r="B98" s="175">
        <v>0.28038492291204581</v>
      </c>
      <c r="C98" s="175">
        <v>0.35576738306382089</v>
      </c>
      <c r="D98" s="175">
        <f t="shared" si="1"/>
        <v>4.0782755261558369E-2</v>
      </c>
      <c r="E98" s="188"/>
      <c r="L98" s="178"/>
      <c r="M98" s="179"/>
      <c r="N98" s="179"/>
    </row>
    <row r="99" spans="1:14" s="177" customFormat="1" ht="14">
      <c r="A99" s="186">
        <v>2376.6187499075327</v>
      </c>
      <c r="B99" s="175">
        <v>0.27900019284105848</v>
      </c>
      <c r="C99" s="175">
        <v>0.35550504427370661</v>
      </c>
      <c r="D99" s="175">
        <f t="shared" si="1"/>
        <v>3.9383979493174244E-2</v>
      </c>
      <c r="E99" s="188"/>
      <c r="L99" s="178"/>
      <c r="M99" s="179"/>
      <c r="N99" s="179"/>
    </row>
    <row r="100" spans="1:14" s="177" customFormat="1" ht="14">
      <c r="A100" s="186">
        <v>2400.3849374066081</v>
      </c>
      <c r="B100" s="175">
        <v>0.27762973922815887</v>
      </c>
      <c r="C100" s="175">
        <v>0.35523597656529854</v>
      </c>
      <c r="D100" s="175">
        <f t="shared" si="1"/>
        <v>3.799745910832035E-2</v>
      </c>
      <c r="E100" s="188"/>
      <c r="L100" s="178"/>
      <c r="M100" s="179"/>
      <c r="N100" s="179"/>
    </row>
    <row r="101" spans="1:14" s="177" customFormat="1" ht="14">
      <c r="A101" s="186">
        <v>2424.3887867806743</v>
      </c>
      <c r="B101" s="175">
        <v>0.27627353107110286</v>
      </c>
      <c r="C101" s="175">
        <v>0.35496023525820336</v>
      </c>
      <c r="D101" s="175">
        <f t="shared" si="1"/>
        <v>3.6623119678170592E-2</v>
      </c>
      <c r="E101" s="188"/>
      <c r="L101" s="178"/>
      <c r="M101" s="179"/>
      <c r="N101" s="179"/>
    </row>
    <row r="102" spans="1:14" s="177" customFormat="1" ht="14">
      <c r="A102" s="186">
        <v>2448.632674648481</v>
      </c>
      <c r="B102" s="175">
        <v>0.2749315348740235</v>
      </c>
      <c r="C102" s="175">
        <v>0.35467787860861433</v>
      </c>
      <c r="D102" s="175">
        <f t="shared" si="1"/>
        <v>3.5260885209867546E-2</v>
      </c>
      <c r="E102" s="188"/>
      <c r="L102" s="178"/>
      <c r="M102" s="179"/>
      <c r="N102" s="179"/>
    </row>
    <row r="103" spans="1:14" s="177" customFormat="1" ht="14">
      <c r="A103" s="186">
        <v>2473.1190013949658</v>
      </c>
      <c r="B103" s="175">
        <v>0.2736037146920412</v>
      </c>
      <c r="C103" s="175">
        <v>0.35438896775188006</v>
      </c>
      <c r="D103" s="175">
        <f t="shared" si="1"/>
        <v>3.3910678249905173E-2</v>
      </c>
      <c r="E103" s="188"/>
      <c r="L103" s="178"/>
      <c r="M103" s="179"/>
      <c r="N103" s="179"/>
    </row>
    <row r="104" spans="1:14" s="177" customFormat="1" ht="14">
      <c r="A104" s="186">
        <v>2497.8501914089156</v>
      </c>
      <c r="B104" s="175">
        <v>0.27229003217601583</v>
      </c>
      <c r="C104" s="175">
        <v>0.35409356664264208</v>
      </c>
      <c r="D104" s="175">
        <f t="shared" si="1"/>
        <v>3.2572419987774819E-2</v>
      </c>
      <c r="E104" s="188"/>
      <c r="L104" s="178"/>
      <c r="M104" s="179"/>
      <c r="N104" s="179"/>
    </row>
    <row r="105" spans="1:14" s="177" customFormat="1" ht="14">
      <c r="A105" s="186">
        <v>2522.8286933230047</v>
      </c>
      <c r="B105" s="175">
        <v>0.27099044661745286</v>
      </c>
      <c r="C105" s="175">
        <v>0.35379174199266716</v>
      </c>
      <c r="D105" s="175">
        <f t="shared" si="1"/>
        <v>3.1246030360141262E-2</v>
      </c>
      <c r="E105" s="188"/>
      <c r="L105" s="178"/>
      <c r="M105" s="179"/>
      <c r="N105" s="179"/>
    </row>
    <row r="106" spans="1:14" s="177" customFormat="1" ht="14">
      <c r="A106" s="186">
        <v>2548.056980256235</v>
      </c>
      <c r="B106" s="175">
        <v>0.26970491499358529</v>
      </c>
      <c r="C106" s="175">
        <v>0.35348356320650742</v>
      </c>
      <c r="D106" s="175">
        <f t="shared" si="1"/>
        <v>2.9931428155938189E-2</v>
      </c>
      <c r="E106" s="188"/>
      <c r="L106" s="178"/>
      <c r="M106" s="179"/>
      <c r="N106" s="179"/>
    </row>
    <row r="107" spans="1:14" s="177" customFormat="1" ht="14">
      <c r="A107" s="186">
        <v>2573.5375500587975</v>
      </c>
      <c r="B107" s="175">
        <v>0.26843339201262995</v>
      </c>
      <c r="C107" s="175">
        <v>0.35316910231511861</v>
      </c>
      <c r="D107" s="175">
        <f t="shared" si="1"/>
        <v>2.8628531122902305E-2</v>
      </c>
      <c r="E107" s="188"/>
      <c r="L107" s="178"/>
      <c r="M107" s="179"/>
      <c r="N107" s="179"/>
    </row>
    <row r="108" spans="1:14" s="177" customFormat="1" ht="14">
      <c r="A108" s="186">
        <v>2599.2729255593854</v>
      </c>
      <c r="B108" s="175">
        <v>0.26717583015922786</v>
      </c>
      <c r="C108" s="175">
        <v>0.35284843390757287</v>
      </c>
      <c r="D108" s="175">
        <f t="shared" si="1"/>
        <v>2.7337256076285867E-2</v>
      </c>
      <c r="E108" s="188"/>
      <c r="L108" s="178"/>
      <c r="M108" s="179"/>
      <c r="N108" s="179"/>
    </row>
    <row r="109" spans="1:14" s="177" customFormat="1" ht="14">
      <c r="A109" s="186">
        <v>2625.2656548149794</v>
      </c>
      <c r="B109" s="175">
        <v>0.26593217974006983</v>
      </c>
      <c r="C109" s="175">
        <v>0.35252163506099848</v>
      </c>
      <c r="D109" s="175">
        <f t="shared" si="1"/>
        <v>2.6057519010769574E-2</v>
      </c>
      <c r="E109" s="188"/>
      <c r="L109" s="178"/>
      <c r="M109" s="179"/>
      <c r="N109" s="179"/>
    </row>
    <row r="110" spans="1:14" s="177" customFormat="1" ht="14">
      <c r="A110" s="186">
        <v>2651.5183113631292</v>
      </c>
      <c r="B110" s="175">
        <v>0.26470238892970527</v>
      </c>
      <c r="C110" s="175">
        <v>0.35218878526888642</v>
      </c>
      <c r="D110" s="175">
        <f t="shared" si="1"/>
        <v>2.4789235217007311E-2</v>
      </c>
      <c r="E110" s="188"/>
      <c r="L110" s="178"/>
      <c r="M110" s="179"/>
      <c r="N110" s="179"/>
    </row>
    <row r="111" spans="1:14" s="177" customFormat="1" ht="14">
      <c r="A111" s="186">
        <v>2678.0334944767606</v>
      </c>
      <c r="B111" s="175">
        <v>0.26348640381653016</v>
      </c>
      <c r="C111" s="175">
        <v>0.35184996636789495</v>
      </c>
      <c r="D111" s="175">
        <f t="shared" si="1"/>
        <v>2.3532319404817596E-2</v>
      </c>
      <c r="E111" s="188"/>
      <c r="L111" s="178"/>
      <c r="M111" s="179"/>
      <c r="N111" s="179"/>
    </row>
    <row r="112" spans="1:14" s="177" customFormat="1" ht="14">
      <c r="A112" s="186">
        <v>2704.8138294215282</v>
      </c>
      <c r="B112" s="175">
        <v>0.26228416844894181</v>
      </c>
      <c r="C112" s="175">
        <v>0.35150526246329272</v>
      </c>
      <c r="D112" s="175">
        <f t="shared" si="1"/>
        <v>2.2286685835887568E-2</v>
      </c>
      <c r="E112" s="188"/>
      <c r="L112" s="178"/>
      <c r="M112" s="179"/>
      <c r="N112" s="179"/>
    </row>
    <row r="113" spans="1:14" s="177" customFormat="1" ht="14">
      <c r="A113" s="186">
        <v>2731.8619677157435</v>
      </c>
      <c r="B113" s="175">
        <v>0.26109562488166216</v>
      </c>
      <c r="C113" s="175">
        <v>0.35115475985317202</v>
      </c>
      <c r="D113" s="175">
        <f t="shared" si="1"/>
        <v>2.1052248470132963E-2</v>
      </c>
      <c r="E113" s="188"/>
      <c r="L113" s="178"/>
      <c r="M113" s="179"/>
      <c r="N113" s="179"/>
    </row>
    <row r="114" spans="1:14" s="177" customFormat="1" ht="14">
      <c r="A114" s="186">
        <v>2759.1805873929011</v>
      </c>
      <c r="B114" s="175">
        <v>0.25992071322219945</v>
      </c>
      <c r="C114" s="175">
        <v>0.35079854695156887</v>
      </c>
      <c r="D114" s="175">
        <f t="shared" si="1"/>
        <v>1.9828921131741412E-2</v>
      </c>
      <c r="E114" s="188"/>
      <c r="L114" s="178"/>
      <c r="M114" s="179"/>
      <c r="N114" s="179"/>
    </row>
    <row r="115" spans="1:14" s="177" customFormat="1" ht="14">
      <c r="A115" s="186">
        <v>2786.77239326683</v>
      </c>
      <c r="B115" s="175">
        <v>0.25875937167744673</v>
      </c>
      <c r="C115" s="175">
        <v>0.35043671421062156</v>
      </c>
      <c r="D115" s="175">
        <f t="shared" si="1"/>
        <v>1.861661770389551E-2</v>
      </c>
      <c r="E115" s="188"/>
      <c r="L115" s="178"/>
      <c r="M115" s="179"/>
      <c r="N115" s="179"/>
    </row>
    <row r="116" spans="1:14" s="177" customFormat="1" ht="14">
      <c r="A116" s="186">
        <v>2814.6401171994985</v>
      </c>
      <c r="B116" s="175">
        <v>0.25761153660039221</v>
      </c>
      <c r="C116" s="175">
        <v>0.35006935404189965</v>
      </c>
      <c r="D116" s="175">
        <f t="shared" si="1"/>
        <v>1.7415252365788211E-2</v>
      </c>
      <c r="E116" s="188"/>
      <c r="L116" s="178"/>
      <c r="M116" s="179"/>
      <c r="N116" s="179"/>
    </row>
    <row r="117" spans="1:14" s="177" customFormat="1" ht="14">
      <c r="A117" s="186">
        <v>2842.7865183714935</v>
      </c>
      <c r="B117" s="175">
        <v>0.25647714253692516</v>
      </c>
      <c r="C117" s="175">
        <v>0.3496965607370312</v>
      </c>
      <c r="D117" s="175">
        <f t="shared" si="1"/>
        <v>1.6224739893036917E-2</v>
      </c>
      <c r="E117" s="188"/>
      <c r="L117" s="178"/>
      <c r="M117" s="179"/>
      <c r="N117" s="179"/>
    </row>
    <row r="118" spans="1:14" s="177" customFormat="1" ht="14">
      <c r="A118" s="186">
        <v>2871.2143835552083</v>
      </c>
      <c r="B118" s="175">
        <v>0.25535612227271004</v>
      </c>
      <c r="C118" s="175">
        <v>0.3493184303877564</v>
      </c>
      <c r="D118" s="175">
        <f t="shared" si="1"/>
        <v>1.504499605502274E-2</v>
      </c>
      <c r="E118" s="188"/>
      <c r="L118" s="178"/>
      <c r="M118" s="179"/>
      <c r="N118" s="179"/>
    </row>
    <row r="119" spans="1:14" s="177" customFormat="1" ht="14">
      <c r="A119" s="186">
        <v>2899.9265273907604</v>
      </c>
      <c r="B119" s="175">
        <v>0.25424840688011419</v>
      </c>
      <c r="C119" s="175">
        <v>0.34893506080553049</v>
      </c>
      <c r="D119" s="175">
        <f t="shared" si="1"/>
        <v>1.3875938163976129E-2</v>
      </c>
      <c r="E119" s="188"/>
      <c r="L119" s="178"/>
      <c r="M119" s="179"/>
      <c r="N119" s="179"/>
    </row>
    <row r="120" spans="1:14" s="177" customFormat="1" ht="14">
      <c r="A120" s="186">
        <v>2928.9257926646678</v>
      </c>
      <c r="B120" s="175">
        <v>0.25315392576515272</v>
      </c>
      <c r="C120" s="175">
        <v>0.34854655144079733</v>
      </c>
      <c r="D120" s="175">
        <f t="shared" si="1"/>
        <v>1.271748586836521E-2</v>
      </c>
      <c r="E120" s="188"/>
      <c r="L120" s="178"/>
      <c r="M120" s="179"/>
      <c r="N120" s="179"/>
    </row>
    <row r="121" spans="1:14" s="177" customFormat="1" ht="14">
      <c r="A121" s="186">
        <v>2958.2150505913146</v>
      </c>
      <c r="B121" s="175">
        <v>0.25207260671443404</v>
      </c>
      <c r="C121" s="175">
        <v>0.34815300330205168</v>
      </c>
      <c r="D121" s="175">
        <f t="shared" si="1"/>
        <v>1.1569562352882003E-2</v>
      </c>
      <c r="E121" s="188"/>
      <c r="L121" s="178"/>
      <c r="M121" s="179"/>
      <c r="N121" s="179"/>
    </row>
    <row r="122" spans="1:14" s="177" customFormat="1" ht="14">
      <c r="A122" s="186">
        <v>2987.7972010972276</v>
      </c>
      <c r="B122" s="175">
        <v>0.25100437594207292</v>
      </c>
      <c r="C122" s="175">
        <v>0.34775451887480335</v>
      </c>
      <c r="D122" s="175">
        <f t="shared" si="1"/>
        <v>1.0432096242181946E-2</v>
      </c>
      <c r="E122" s="188"/>
      <c r="L122" s="178"/>
      <c r="M122" s="179"/>
      <c r="N122" s="179"/>
    </row>
    <row r="123" spans="1:14" s="177" customFormat="1" ht="14">
      <c r="A123" s="186">
        <v>3017.6751731081999</v>
      </c>
      <c r="B123" s="175">
        <v>0.24994915813654528</v>
      </c>
      <c r="C123" s="175">
        <v>0.34735120204055409</v>
      </c>
      <c r="D123" s="175">
        <f t="shared" si="1"/>
        <v>9.3050247810521434E-3</v>
      </c>
      <c r="E123" s="188"/>
      <c r="L123" s="178"/>
      <c r="M123" s="179"/>
      <c r="N123" s="179"/>
    </row>
    <row r="124" spans="1:14" s="177" customFormat="1" ht="14">
      <c r="A124" s="186">
        <v>3047.8519248392818</v>
      </c>
      <c r="B124" s="175">
        <v>0.24890687650745227</v>
      </c>
      <c r="C124" s="175">
        <v>0.34694315799589531</v>
      </c>
      <c r="D124" s="175">
        <f t="shared" si="1"/>
        <v>8.1882994640493922E-3</v>
      </c>
      <c r="E124" s="188"/>
      <c r="L124" s="178"/>
      <c r="M124" s="179"/>
      <c r="N124" s="179"/>
    </row>
    <row r="125" spans="1:14" s="177" customFormat="1" ht="14">
      <c r="A125" s="186">
        <v>3078.3304440876746</v>
      </c>
      <c r="B125" s="175">
        <v>0.24787745283217003</v>
      </c>
      <c r="C125" s="175">
        <v>0.3465304931718261</v>
      </c>
      <c r="D125" s="175">
        <f t="shared" si="1"/>
        <v>7.0818967024180359E-3</v>
      </c>
      <c r="E125" s="200"/>
      <c r="L125" s="178"/>
      <c r="M125" s="179"/>
      <c r="N125" s="179"/>
    </row>
    <row r="126" spans="1:14" s="177" customFormat="1" ht="14">
      <c r="A126" s="186">
        <v>3109.1137485285512</v>
      </c>
      <c r="B126" s="175">
        <v>0.24686080750234435</v>
      </c>
      <c r="C126" s="175">
        <v>0.34611331515339328</v>
      </c>
      <c r="D126" s="175">
        <f t="shared" si="1"/>
        <v>5.9858397895226258E-3</v>
      </c>
      <c r="E126" s="200"/>
      <c r="L126" s="178"/>
      <c r="M126" s="179"/>
      <c r="N126" s="179"/>
    </row>
    <row r="127" spans="1:14" s="177" customFormat="1" ht="14">
      <c r="A127" s="186">
        <v>3140.2048860138366</v>
      </c>
      <c r="B127" s="175">
        <v>0.24585685957021722</v>
      </c>
      <c r="C127" s="175">
        <v>0.34569173259974356</v>
      </c>
      <c r="D127" s="175">
        <f t="shared" si="1"/>
        <v>4.9002492237714464E-3</v>
      </c>
      <c r="E127" s="200"/>
      <c r="L127" s="178"/>
      <c r="M127" s="179"/>
      <c r="N127" s="179"/>
    </row>
    <row r="128" spans="1:14" s="177" customFormat="1" ht="14">
      <c r="A128" s="186">
        <v>3171.6069348739752</v>
      </c>
      <c r="B128" s="175">
        <v>0.24486552679473556</v>
      </c>
      <c r="C128" s="175">
        <v>0.34526585516468078</v>
      </c>
      <c r="D128" s="175">
        <f t="shared" si="1"/>
        <v>3.825475905857773E-3</v>
      </c>
      <c r="E128" s="200"/>
      <c r="L128" s="178"/>
      <c r="M128" s="179"/>
      <c r="N128" s="179"/>
    </row>
    <row r="129" spans="1:14" s="177" customFormat="1" ht="14">
      <c r="A129" s="186">
        <v>3203.3230042227151</v>
      </c>
      <c r="B129" s="175">
        <v>0.2438867256874265</v>
      </c>
      <c r="C129" s="175">
        <v>0.34483579341781145</v>
      </c>
      <c r="D129" s="175">
        <f t="shared" si="1"/>
        <v>2.7625363097806728E-3</v>
      </c>
      <c r="E129" s="200"/>
      <c r="L129" s="178"/>
      <c r="M129" s="179"/>
      <c r="N129" s="179"/>
    </row>
    <row r="130" spans="1:14" s="177" customFormat="1" ht="14">
      <c r="A130" s="186">
        <v>3235.3562342649425</v>
      </c>
      <c r="B130" s="175">
        <v>0.24292037155800775</v>
      </c>
      <c r="C130" s="175">
        <v>0.34440165876635748</v>
      </c>
      <c r="D130" s="175">
        <f t="shared" si="1"/>
        <v>1.7151235663630398E-3</v>
      </c>
      <c r="E130" s="200"/>
      <c r="L130" s="178"/>
      <c r="M130" s="179"/>
      <c r="N130" s="179"/>
    </row>
    <row r="131" spans="1:14" s="177" customFormat="1" ht="14">
      <c r="A131" s="186">
        <v>3267.7097966075921</v>
      </c>
      <c r="B131" s="175">
        <v>0.24196637855969508</v>
      </c>
      <c r="C131" s="175">
        <v>0.34396356337771566</v>
      </c>
      <c r="D131" s="175">
        <f t="shared" si="1"/>
        <v>7.0913901969995598E-4</v>
      </c>
      <c r="E131" s="200"/>
      <c r="L131" s="178"/>
      <c r="M131" s="179"/>
      <c r="N131" s="179"/>
    </row>
    <row r="132" spans="1:14" s="177" customFormat="1" ht="14">
      <c r="A132" s="186">
        <v>3300.3868945736681</v>
      </c>
      <c r="B132" s="175">
        <v>0.24102465973418963</v>
      </c>
      <c r="C132" s="175">
        <v>0.34352162010283094</v>
      </c>
      <c r="D132" s="175">
        <f t="shared" si="1"/>
        <v>5.0503596714466907E-4</v>
      </c>
      <c r="E132" s="200"/>
      <c r="L132" s="178"/>
      <c r="M132" s="179"/>
      <c r="N132" s="179"/>
    </row>
    <row r="133" spans="1:14" s="177" customFormat="1" ht="14">
      <c r="A133" s="186">
        <v>3333.3907635194046</v>
      </c>
      <c r="B133" s="175">
        <v>0.24009512705631436</v>
      </c>
      <c r="C133" s="175">
        <v>0.34307594240045142</v>
      </c>
      <c r="D133" s="175">
        <f t="shared" si="1"/>
        <v>1.4626081223119906E-3</v>
      </c>
      <c r="E133" s="200"/>
      <c r="L133" s="178"/>
      <c r="M133" s="179"/>
      <c r="N133" s="179"/>
    </row>
    <row r="134" spans="1:14" s="177" customFormat="1" ht="14">
      <c r="A134" s="186">
        <v>3366.7246711545986</v>
      </c>
      <c r="B134" s="175">
        <v>0.23917769147826914</v>
      </c>
      <c r="C134" s="175">
        <v>0.34262664426232803</v>
      </c>
      <c r="D134" s="175">
        <f t="shared" si="1"/>
        <v>2.469336058792264E-3</v>
      </c>
      <c r="E134" s="200"/>
      <c r="L134" s="178"/>
      <c r="M134" s="179"/>
      <c r="N134" s="179"/>
    </row>
    <row r="135" spans="1:14" s="177" customFormat="1" ht="14">
      <c r="A135" s="186">
        <v>3400.3919178661445</v>
      </c>
      <c r="B135" s="175">
        <v>0.23827226297348511</v>
      </c>
      <c r="C135" s="175">
        <v>0.3421738401394141</v>
      </c>
      <c r="D135" s="175">
        <f t="shared" si="1"/>
        <v>3.4747267614604906E-3</v>
      </c>
      <c r="E135" s="200"/>
      <c r="L135" s="178"/>
      <c r="M135" s="179"/>
      <c r="N135" s="179"/>
    </row>
    <row r="136" spans="1:14" s="177" customFormat="1" ht="14">
      <c r="A136" s="186">
        <v>3434.3958370448058</v>
      </c>
      <c r="B136" s="175">
        <v>0.23737875058004959</v>
      </c>
      <c r="C136" s="175">
        <v>0.34171764486911921</v>
      </c>
      <c r="D136" s="175">
        <f t="shared" si="1"/>
        <v>4.4734995555452675E-3</v>
      </c>
      <c r="E136" s="200"/>
      <c r="L136" s="178"/>
      <c r="M136" s="179"/>
      <c r="N136" s="179"/>
    </row>
    <row r="137" spans="1:14" s="177" customFormat="1" ht="14">
      <c r="A137" s="186">
        <v>3468.7397954152539</v>
      </c>
      <c r="B137" s="175">
        <v>0.23649706244368066</v>
      </c>
      <c r="C137" s="175">
        <v>0.34125817360366428</v>
      </c>
      <c r="D137" s="175">
        <f t="shared" si="1"/>
        <v>5.4643263133480136E-3</v>
      </c>
      <c r="E137" s="200"/>
      <c r="L137" s="178"/>
      <c r="M137" s="179"/>
      <c r="N137" s="179"/>
    </row>
    <row r="138" spans="1:14" s="177" customFormat="1" ht="14">
      <c r="A138" s="186">
        <v>3503.4271933694063</v>
      </c>
      <c r="B138" s="175">
        <v>0.23562710586023305</v>
      </c>
      <c r="C138" s="175">
        <v>0.34079554173958315</v>
      </c>
      <c r="D138" s="175">
        <f t="shared" si="1"/>
        <v>6.446757697737805E-3</v>
      </c>
      <c r="E138" s="200"/>
      <c r="L138" s="178"/>
      <c r="M138" s="179"/>
      <c r="N138" s="179"/>
    </row>
    <row r="139" spans="1:14" s="177" customFormat="1" ht="14">
      <c r="A139" s="186">
        <v>3538.4614653031003</v>
      </c>
      <c r="B139" s="175">
        <v>0.23476878731770548</v>
      </c>
      <c r="C139" s="175">
        <v>0.34032986484840988</v>
      </c>
      <c r="D139" s="175">
        <f t="shared" si="1"/>
        <v>7.4206302574936238E-3</v>
      </c>
      <c r="E139" s="200"/>
      <c r="L139" s="178"/>
      <c r="M139" s="179"/>
      <c r="N139" s="179"/>
    </row>
    <row r="140" spans="1:14" s="177" customFormat="1" ht="14">
      <c r="A140" s="186">
        <v>3573.8460799561312</v>
      </c>
      <c r="B140" s="175">
        <v>0.2339220125377432</v>
      </c>
      <c r="C140" s="175">
        <v>0.33986125860858801</v>
      </c>
      <c r="D140" s="175">
        <f t="shared" ref="D140:D203" si="2">SQRT(($C$8-B140)^2+($C$9-C140)^2)</f>
        <v>8.3858959743754839E-3</v>
      </c>
      <c r="E140" s="200"/>
      <c r="L140" s="178"/>
      <c r="M140" s="179"/>
      <c r="N140" s="179"/>
    </row>
    <row r="141" spans="1:14" s="177" customFormat="1" ht="14">
      <c r="A141" s="186">
        <v>3609.5845407556926</v>
      </c>
      <c r="B141" s="175">
        <v>0.23308668651661005</v>
      </c>
      <c r="C141" s="175">
        <v>0.33938983873863243</v>
      </c>
      <c r="D141" s="175">
        <f t="shared" si="2"/>
        <v>9.3425604389470313E-3</v>
      </c>
      <c r="E141" s="200"/>
      <c r="L141" s="178"/>
      <c r="M141" s="179"/>
      <c r="N141" s="179"/>
    </row>
    <row r="142" spans="1:14" s="177" customFormat="1" ht="14">
      <c r="A142" s="186">
        <v>3645.6803861632498</v>
      </c>
      <c r="B142" s="175">
        <v>0.23226271356561451</v>
      </c>
      <c r="C142" s="175">
        <v>0.33891572093157446</v>
      </c>
      <c r="D142" s="175">
        <f t="shared" si="2"/>
        <v>1.0290656652035417E-2</v>
      </c>
      <c r="E142" s="200"/>
      <c r="L142" s="178"/>
      <c r="M142" s="179"/>
      <c r="N142" s="179"/>
    </row>
    <row r="143" spans="1:14" s="177" customFormat="1" ht="14">
      <c r="A143" s="186">
        <v>3682.1371900248823</v>
      </c>
      <c r="B143" s="175">
        <v>0.23144999735098257</v>
      </c>
      <c r="C143" s="175">
        <v>0.33843902079071109</v>
      </c>
      <c r="D143" s="175">
        <f t="shared" si="2"/>
        <v>1.1230232599184983E-2</v>
      </c>
      <c r="E143" s="200"/>
      <c r="L143" s="178"/>
      <c r="M143" s="179"/>
      <c r="N143" s="179"/>
    </row>
    <row r="144" spans="1:14" s="177" customFormat="1" ht="14">
      <c r="A144" s="186">
        <v>3718.9585619251311</v>
      </c>
      <c r="B144" s="175">
        <v>0.23064844093315642</v>
      </c>
      <c r="C144" s="175">
        <v>0.33795985376668364</v>
      </c>
      <c r="D144" s="175">
        <f t="shared" si="2"/>
        <v>1.216134482914707E-2</v>
      </c>
      <c r="E144" s="188"/>
      <c r="L144" s="178"/>
      <c r="M144" s="179"/>
      <c r="N144" s="179"/>
    </row>
    <row r="145" spans="1:14" s="177" customFormat="1" ht="14">
      <c r="A145" s="186">
        <v>3756.1481475443825</v>
      </c>
      <c r="B145" s="175">
        <v>0.22985794680551294</v>
      </c>
      <c r="C145" s="175">
        <v>0.33747833509589947</v>
      </c>
      <c r="D145" s="175">
        <f t="shared" si="2"/>
        <v>1.3084054902276479E-2</v>
      </c>
      <c r="E145" s="188"/>
      <c r="L145" s="178"/>
      <c r="M145" s="179"/>
      <c r="N145" s="179"/>
    </row>
    <row r="146" spans="1:14" s="177" customFormat="1" ht="14">
      <c r="A146" s="186">
        <v>3793.7096290198265</v>
      </c>
      <c r="B146" s="175">
        <v>0.22907841693249142</v>
      </c>
      <c r="C146" s="175">
        <v>0.33699457974031488</v>
      </c>
      <c r="D146" s="175">
        <f t="shared" si="2"/>
        <v>1.3998427315011714E-2</v>
      </c>
      <c r="E146" s="188"/>
      <c r="L146" s="178"/>
      <c r="M146" s="179"/>
      <c r="N146" s="179"/>
    </row>
    <row r="147" spans="1:14" s="177" customFormat="1" ht="14">
      <c r="A147" s="186">
        <v>3831.646725310025</v>
      </c>
      <c r="B147" s="175">
        <v>0.22830975278712118</v>
      </c>
      <c r="C147" s="175">
        <v>0.33650870232858837</v>
      </c>
      <c r="D147" s="175">
        <f t="shared" si="2"/>
        <v>1.4904528230421519E-2</v>
      </c>
      <c r="E147" s="188"/>
      <c r="L147" s="178"/>
      <c r="M147" s="179"/>
      <c r="N147" s="179"/>
    </row>
    <row r="148" spans="1:14" s="177" customFormat="1" ht="14">
      <c r="A148" s="186">
        <v>3869.9631925631252</v>
      </c>
      <c r="B148" s="175">
        <v>0.22755185538794553</v>
      </c>
      <c r="C148" s="175">
        <v>0.33602081709861625</v>
      </c>
      <c r="D148" s="175">
        <f t="shared" si="2"/>
        <v>1.5802424671540256E-2</v>
      </c>
      <c r="E148" s="188"/>
      <c r="L148" s="178"/>
      <c r="M148" s="179"/>
      <c r="N148" s="179"/>
    </row>
    <row r="149" spans="1:14" s="177" customFormat="1" ht="14">
      <c r="A149" s="186">
        <v>3908.6628244887565</v>
      </c>
      <c r="B149" s="175">
        <v>0.22680462533533285</v>
      </c>
      <c r="C149" s="175">
        <v>0.33553103784145377</v>
      </c>
      <c r="D149" s="175">
        <f t="shared" si="2"/>
        <v>1.6692183992008315E-2</v>
      </c>
      <c r="E149" s="188"/>
      <c r="L149" s="178"/>
      <c r="M149" s="179"/>
      <c r="N149" s="179"/>
    </row>
    <row r="150" spans="1:14" s="177" customFormat="1" ht="14">
      <c r="A150" s="186">
        <v>3947.7494527336439</v>
      </c>
      <c r="B150" s="175">
        <v>0.22606796284717712</v>
      </c>
      <c r="C150" s="175">
        <v>0.33503947784662869</v>
      </c>
      <c r="D150" s="175">
        <f t="shared" si="2"/>
        <v>1.7573873519141334E-2</v>
      </c>
      <c r="E150" s="188"/>
      <c r="L150" s="178"/>
      <c r="M150" s="179"/>
      <c r="N150" s="179"/>
    </row>
    <row r="151" spans="1:14" s="177" customFormat="1" ht="14">
      <c r="A151" s="186">
        <v>3987.2269472609805</v>
      </c>
      <c r="B151" s="175">
        <v>0.22534176779397583</v>
      </c>
      <c r="C151" s="175">
        <v>0.33454624984884906</v>
      </c>
      <c r="D151" s="175">
        <f t="shared" si="2"/>
        <v>1.8447560307789837E-2</v>
      </c>
      <c r="E151" s="188"/>
      <c r="L151" s="178"/>
      <c r="M151" s="179"/>
      <c r="N151" s="179"/>
    </row>
    <row r="152" spans="1:14" s="177" customFormat="1" ht="14">
      <c r="A152" s="186">
        <v>4027.0992167335903</v>
      </c>
      <c r="B152" s="175">
        <v>0.22462593973329761</v>
      </c>
      <c r="C152" s="175">
        <v>0.33405146597610469</v>
      </c>
      <c r="D152" s="175">
        <f t="shared" si="2"/>
        <v>1.9313310967484468E-2</v>
      </c>
      <c r="E152" s="188"/>
      <c r="L152" s="178"/>
      <c r="M152" s="179"/>
      <c r="N152" s="179"/>
    </row>
    <row r="153" spans="1:14" s="177" customFormat="1" ht="14">
      <c r="A153" s="186">
        <v>4067.3702089009262</v>
      </c>
      <c r="B153" s="175">
        <v>0.22392037794362865</v>
      </c>
      <c r="C153" s="175">
        <v>0.33355523769915957</v>
      </c>
      <c r="D153" s="175">
        <f t="shared" si="2"/>
        <v>2.0171191539379046E-2</v>
      </c>
      <c r="E153" s="188"/>
      <c r="L153" s="178"/>
      <c r="M153" s="179"/>
      <c r="N153" s="179"/>
    </row>
    <row r="154" spans="1:14" s="177" customFormat="1" ht="14">
      <c r="A154" s="186">
        <v>4108.0439109899353</v>
      </c>
      <c r="B154" s="175">
        <v>0.2232249814575997</v>
      </c>
      <c r="C154" s="175">
        <v>0.33305767578243656</v>
      </c>
      <c r="D154" s="175">
        <f t="shared" si="2"/>
        <v>2.1021267407862688E-2</v>
      </c>
      <c r="E154" s="188"/>
      <c r="L154" s="178"/>
      <c r="M154" s="179"/>
      <c r="N154" s="179"/>
    </row>
    <row r="155" spans="1:14" s="177" customFormat="1" ht="14">
      <c r="A155" s="186">
        <v>4149.1243500998344</v>
      </c>
      <c r="B155" s="175">
        <v>0.22253964909460774</v>
      </c>
      <c r="C155" s="175">
        <v>0.33255889023628382</v>
      </c>
      <c r="D155" s="175">
        <f t="shared" si="2"/>
        <v>2.1863603236858809E-2</v>
      </c>
      <c r="E155" s="188"/>
      <c r="L155" s="178"/>
      <c r="M155" s="179"/>
      <c r="N155" s="179"/>
    </row>
    <row r="156" spans="1:14" s="177" customFormat="1" ht="14">
      <c r="A156" s="186">
        <v>4190.6155936008327</v>
      </c>
      <c r="B156" s="175">
        <v>0.22186427949281951</v>
      </c>
      <c r="C156" s="175">
        <v>0.33205899027062247</v>
      </c>
      <c r="D156" s="175">
        <f t="shared" si="2"/>
        <v>2.2698262924098652E-2</v>
      </c>
      <c r="E156" s="188"/>
      <c r="L156" s="178"/>
      <c r="M156" s="179"/>
      <c r="N156" s="179"/>
    </row>
    <row r="157" spans="1:14" s="177" customFormat="1" ht="14">
      <c r="A157" s="186">
        <v>4232.5217495368406</v>
      </c>
      <c r="B157" s="175">
        <v>0.22119877114057335</v>
      </c>
      <c r="C157" s="175">
        <v>0.33155808424996469</v>
      </c>
      <c r="D157" s="175">
        <f t="shared" si="2"/>
        <v>2.3525309568735352E-2</v>
      </c>
      <c r="E157" s="188"/>
      <c r="L157" s="178"/>
      <c r="M157" s="179"/>
      <c r="N157" s="179"/>
    </row>
    <row r="158" spans="1:14" s="177" customFormat="1" ht="14">
      <c r="A158" s="186">
        <v>4274.8469670322092</v>
      </c>
      <c r="B158" s="175">
        <v>0.2205430224071776</v>
      </c>
      <c r="C158" s="175">
        <v>0.33105627964979845</v>
      </c>
      <c r="D158" s="175">
        <f t="shared" si="2"/>
        <v>2.4344805449060935E-2</v>
      </c>
      <c r="E158" s="188"/>
      <c r="L158" s="178"/>
      <c r="M158" s="179"/>
      <c r="N158" s="179"/>
    </row>
    <row r="159" spans="1:14" s="177" customFormat="1" ht="14">
      <c r="A159" s="205">
        <v>4317.5954367025315</v>
      </c>
      <c r="B159" s="206">
        <v>0.21989693157311643</v>
      </c>
      <c r="C159" s="206">
        <v>0.33055368301432508</v>
      </c>
      <c r="D159" s="206">
        <f t="shared" si="2"/>
        <v>2.5156812008010853E-2</v>
      </c>
      <c r="E159" s="207"/>
      <c r="L159" s="178"/>
      <c r="M159" s="179"/>
      <c r="N159" s="179"/>
    </row>
    <row r="160" spans="1:14" s="177" customFormat="1" ht="14">
      <c r="A160" s="205">
        <v>4360.7713910695566</v>
      </c>
      <c r="B160" s="206">
        <v>0.21926039685966278</v>
      </c>
      <c r="C160" s="206">
        <v>0.33005039991554663</v>
      </c>
      <c r="D160" s="206">
        <f t="shared" si="2"/>
        <v>2.5961389844780258E-2</v>
      </c>
      <c r="E160" s="207"/>
      <c r="L160" s="178"/>
      <c r="M160" s="179"/>
      <c r="N160" s="179"/>
    </row>
    <row r="161" spans="1:14" s="177" customFormat="1" ht="14">
      <c r="A161" s="205">
        <v>4404.3791049802521</v>
      </c>
      <c r="B161" s="206">
        <v>0.21863331645791387</v>
      </c>
      <c r="C161" s="206">
        <v>0.32954653491368868</v>
      </c>
      <c r="D161" s="206">
        <f t="shared" si="2"/>
        <v>2.6758598711308344E-2</v>
      </c>
      <c r="E161" s="207"/>
      <c r="L161" s="178"/>
      <c r="M161" s="179"/>
      <c r="N161" s="179"/>
    </row>
    <row r="162" spans="1:14" s="177" customFormat="1" ht="14">
      <c r="A162" s="205">
        <v>4448.4228960300543</v>
      </c>
      <c r="B162" s="206">
        <v>0.2180155885572487</v>
      </c>
      <c r="C162" s="206">
        <v>0.32904219151895059</v>
      </c>
      <c r="D162" s="206">
        <f t="shared" si="2"/>
        <v>2.7548497512708107E-2</v>
      </c>
      <c r="E162" s="207"/>
      <c r="L162" s="178"/>
      <c r="M162" s="179"/>
      <c r="N162" s="179"/>
    </row>
    <row r="163" spans="1:14" s="177" customFormat="1" ht="14">
      <c r="A163" s="205">
        <v>4492.9071249903545</v>
      </c>
      <c r="B163" s="206">
        <v>0.21740711137322241</v>
      </c>
      <c r="C163" s="206">
        <v>0.3285374721545728</v>
      </c>
      <c r="D163" s="206">
        <f t="shared" si="2"/>
        <v>2.8331144310927942E-2</v>
      </c>
      <c r="E163" s="207"/>
      <c r="L163" s="178"/>
      <c r="M163" s="179"/>
      <c r="N163" s="179"/>
    </row>
    <row r="164" spans="1:14" s="177" customFormat="1" ht="14">
      <c r="A164" s="186">
        <v>4537.8361962402578</v>
      </c>
      <c r="B164" s="175">
        <v>0.21680778317489877</v>
      </c>
      <c r="C164" s="175">
        <v>0.32803247812121061</v>
      </c>
      <c r="D164" s="175">
        <f t="shared" si="2"/>
        <v>2.9106596331103553E-2</v>
      </c>
      <c r="E164" s="188"/>
      <c r="L164" s="178"/>
      <c r="M164" s="179"/>
      <c r="N164" s="179"/>
    </row>
    <row r="165" spans="1:14" s="177" customFormat="1" ht="14">
      <c r="A165" s="186">
        <v>4583.2145582026606</v>
      </c>
      <c r="B165" s="175">
        <v>0.21621750231163533</v>
      </c>
      <c r="C165" s="175">
        <v>0.32752730956260306</v>
      </c>
      <c r="D165" s="175">
        <f t="shared" si="2"/>
        <v>2.9874909970164679E-2</v>
      </c>
      <c r="E165" s="188"/>
      <c r="L165" s="178"/>
      <c r="M165" s="179"/>
      <c r="N165" s="179"/>
    </row>
    <row r="166" spans="1:14" s="177" customFormat="1" ht="14">
      <c r="A166" s="186">
        <v>4629.0467037846875</v>
      </c>
      <c r="B166" s="175">
        <v>0.21563616723932311</v>
      </c>
      <c r="C166" s="175">
        <v>0.3270220654325291</v>
      </c>
      <c r="D166" s="175">
        <f t="shared" si="2"/>
        <v>3.063614080735683E-2</v>
      </c>
      <c r="E166" s="188"/>
      <c r="L166" s="178"/>
      <c r="M166" s="179"/>
      <c r="N166" s="179"/>
    </row>
    <row r="167" spans="1:14" s="177" customFormat="1" ht="14">
      <c r="A167" s="186">
        <v>4675.3371708225341</v>
      </c>
      <c r="B167" s="175">
        <v>0.21506367654609912</v>
      </c>
      <c r="C167" s="175">
        <v>0.32651684346303583</v>
      </c>
      <c r="D167" s="175">
        <f t="shared" si="2"/>
        <v>3.1390343616392709E-2</v>
      </c>
      <c r="E167" s="188"/>
      <c r="L167" s="178"/>
      <c r="M167" s="179"/>
      <c r="N167" s="179"/>
    </row>
    <row r="168" spans="1:14" s="177" customFormat="1" ht="14">
      <c r="A168" s="186">
        <v>4722.0905425307592</v>
      </c>
      <c r="B168" s="175">
        <v>0.2144999289775302</v>
      </c>
      <c r="C168" s="175">
        <v>0.32601174013393402</v>
      </c>
      <c r="D168" s="175">
        <f t="shared" si="2"/>
        <v>3.2137572379008938E-2</v>
      </c>
      <c r="E168" s="188"/>
      <c r="L168" s="178"/>
      <c r="M168" s="179"/>
      <c r="N168" s="179"/>
    </row>
    <row r="169" spans="1:14" s="177" customFormat="1" ht="14">
      <c r="A169" s="186">
        <v>4769.3114479560672</v>
      </c>
      <c r="B169" s="175">
        <v>0.21394482346127888</v>
      </c>
      <c r="C169" s="175">
        <v>0.32550685064354618</v>
      </c>
      <c r="D169" s="175">
        <f t="shared" si="2"/>
        <v>3.2877880299735047E-2</v>
      </c>
      <c r="E169" s="188"/>
      <c r="L169" s="178"/>
      <c r="M169" s="179"/>
      <c r="N169" s="179"/>
    </row>
    <row r="170" spans="1:14" s="177" customFormat="1" ht="14">
      <c r="A170" s="186">
        <v>4817.004562435628</v>
      </c>
      <c r="B170" s="175">
        <v>0.21339825913126687</v>
      </c>
      <c r="C170" s="175">
        <v>0.32500226888070033</v>
      </c>
      <c r="D170" s="175">
        <f t="shared" si="2"/>
        <v>3.3611319821703144E-2</v>
      </c>
      <c r="E170" s="188"/>
      <c r="L170" s="178"/>
      <c r="M170" s="179"/>
      <c r="N170" s="179"/>
    </row>
    <row r="171" spans="1:14" s="177" customFormat="1" ht="14">
      <c r="A171" s="186">
        <v>4865.1746080599842</v>
      </c>
      <c r="B171" s="175">
        <v>0.21286013535133447</v>
      </c>
      <c r="C171" s="175">
        <v>0.32449808739795788</v>
      </c>
      <c r="D171" s="175">
        <f t="shared" si="2"/>
        <v>3.4337942643365815E-2</v>
      </c>
      <c r="E171" s="188"/>
      <c r="L171" s="178"/>
      <c r="M171" s="179"/>
      <c r="N171" s="179"/>
    </row>
    <row r="172" spans="1:14" s="177" customFormat="1" ht="14">
      <c r="A172" s="186">
        <v>4913.826354140584</v>
      </c>
      <c r="B172" s="175">
        <v>0.21233035173841061</v>
      </c>
      <c r="C172" s="175">
        <v>0.3239943973860665</v>
      </c>
      <c r="D172" s="175">
        <f t="shared" si="2"/>
        <v>3.5057799735992413E-2</v>
      </c>
      <c r="E172" s="188"/>
      <c r="L172" s="178"/>
      <c r="M172" s="179"/>
      <c r="N172" s="179"/>
    </row>
    <row r="173" spans="1:14" s="177" customFormat="1" ht="14">
      <c r="A173" s="186">
        <v>4962.9646176819897</v>
      </c>
      <c r="B173" s="175">
        <v>0.21180880818519665</v>
      </c>
      <c r="C173" s="175">
        <v>0.32349128864963067</v>
      </c>
      <c r="D173" s="175">
        <f t="shared" si="2"/>
        <v>3.5770941361836721E-2</v>
      </c>
      <c r="E173" s="188"/>
      <c r="L173" s="178"/>
      <c r="M173" s="179"/>
      <c r="N173" s="179"/>
    </row>
    <row r="174" spans="1:14" s="177" customFormat="1" ht="14">
      <c r="A174" s="186">
        <v>5012.5942638588094</v>
      </c>
      <c r="B174" s="175">
        <v>0.21129540488237264</v>
      </c>
      <c r="C174" s="175">
        <v>0.32298884958398771</v>
      </c>
      <c r="D174" s="175">
        <f t="shared" si="2"/>
        <v>3.6477417092878286E-2</v>
      </c>
      <c r="E174" s="188"/>
      <c r="L174" s="178"/>
      <c r="M174" s="179"/>
      <c r="N174" s="179"/>
    </row>
    <row r="175" spans="1:14" s="177" customFormat="1" ht="14">
      <c r="A175" s="186">
        <v>5062.7202064973972</v>
      </c>
      <c r="B175" s="175">
        <v>0.21079004234033744</v>
      </c>
      <c r="C175" s="175">
        <v>0.32248716715328385</v>
      </c>
      <c r="D175" s="175">
        <f t="shared" si="2"/>
        <v>3.7177275830042961E-2</v>
      </c>
      <c r="E175" s="188"/>
      <c r="L175" s="178"/>
      <c r="M175" s="179"/>
      <c r="N175" s="179"/>
    </row>
    <row r="176" spans="1:14" s="177" customFormat="1" ht="14">
      <c r="A176" s="186">
        <v>5113.3474085623711</v>
      </c>
      <c r="B176" s="175">
        <v>0.21029262141047902</v>
      </c>
      <c r="C176" s="175">
        <v>0.32198632686973894</v>
      </c>
      <c r="D176" s="175">
        <f t="shared" si="2"/>
        <v>3.7870565822831458E-2</v>
      </c>
      <c r="E176" s="188"/>
      <c r="L176" s="178"/>
      <c r="M176" s="179"/>
      <c r="N176" s="179"/>
    </row>
    <row r="177" spans="1:14" s="177" customFormat="1" ht="14">
      <c r="A177" s="186">
        <v>5164.4808826479948</v>
      </c>
      <c r="B177" s="175">
        <v>0.20980304330599192</v>
      </c>
      <c r="C177" s="175">
        <v>0.32148641277409579</v>
      </c>
      <c r="D177" s="175">
        <f t="shared" si="2"/>
        <v>3.8557334689269813E-2</v>
      </c>
      <c r="E177" s="188"/>
      <c r="L177" s="178"/>
      <c r="M177" s="179"/>
      <c r="N177" s="179"/>
    </row>
    <row r="178" spans="1:14" s="177" customFormat="1" ht="14">
      <c r="A178" s="186">
        <v>5216.1256914744745</v>
      </c>
      <c r="B178" s="175">
        <v>0.20932120962223855</v>
      </c>
      <c r="C178" s="175">
        <v>0.32098750741724075</v>
      </c>
      <c r="D178" s="175">
        <f t="shared" si="2"/>
        <v>3.9237629436122801E-2</v>
      </c>
      <c r="E178" s="188"/>
      <c r="L178" s="178"/>
      <c r="M178" s="179"/>
      <c r="N178" s="179"/>
    </row>
    <row r="179" spans="1:14" s="177" customFormat="1" ht="14">
      <c r="A179" s="186">
        <v>5268.2869483892191</v>
      </c>
      <c r="B179" s="175">
        <v>0.2088470223566638</v>
      </c>
      <c r="C179" s="175">
        <v>0.32048969184299297</v>
      </c>
      <c r="D179" s="175">
        <f t="shared" si="2"/>
        <v>3.9911496479299403E-2</v>
      </c>
      <c r="E179" s="188"/>
      <c r="L179" s="178"/>
      <c r="M179" s="179"/>
      <c r="N179" s="179"/>
    </row>
    <row r="180" spans="1:14" s="177" customFormat="1" ht="14">
      <c r="A180" s="186">
        <v>5320.9698178731114</v>
      </c>
      <c r="B180" s="175">
        <v>0.2083803839282713</v>
      </c>
      <c r="C180" s="175">
        <v>0.31999304557205061</v>
      </c>
      <c r="D180" s="175">
        <f t="shared" si="2"/>
        <v>4.0578981664389217E-2</v>
      </c>
      <c r="E180" s="188"/>
      <c r="L180" s="178"/>
      <c r="M180" s="179"/>
      <c r="N180" s="179"/>
    </row>
    <row r="181" spans="1:14" s="177" customFormat="1" ht="14">
      <c r="A181" s="186">
        <v>5374.1795160518423</v>
      </c>
      <c r="B181" s="175">
        <v>0.20792119719665164</v>
      </c>
      <c r="C181" s="175">
        <v>0.31949764658709001</v>
      </c>
      <c r="D181" s="175">
        <f t="shared" si="2"/>
        <v>4.1240130287282288E-2</v>
      </c>
      <c r="E181" s="188"/>
      <c r="L181" s="178"/>
      <c r="M181" s="179"/>
      <c r="N181" s="179"/>
    </row>
    <row r="182" spans="1:14" s="177" customFormat="1" ht="14">
      <c r="A182" s="186">
        <v>5427.9213112123607</v>
      </c>
      <c r="B182" s="175">
        <v>0.20746936548058523</v>
      </c>
      <c r="C182" s="175">
        <v>0.31900357131900658</v>
      </c>
      <c r="D182" s="175">
        <f t="shared" si="2"/>
        <v>4.1894987114805986E-2</v>
      </c>
      <c r="E182" s="188"/>
      <c r="L182" s="178"/>
      <c r="M182" s="179"/>
      <c r="N182" s="179"/>
    </row>
    <row r="183" spans="1:14" s="177" customFormat="1" ht="14">
      <c r="A183" s="186">
        <v>5482.2005243244839</v>
      </c>
      <c r="B183" s="175">
        <v>0.20702479257620374</v>
      </c>
      <c r="C183" s="175">
        <v>0.31851089463429338</v>
      </c>
      <c r="D183" s="175">
        <f t="shared" si="2"/>
        <v>4.254359640534186E-2</v>
      </c>
      <c r="E183" s="188"/>
      <c r="L183" s="178"/>
      <c r="M183" s="179"/>
      <c r="N183" s="179"/>
    </row>
    <row r="184" spans="1:14" s="177" customFormat="1" ht="14">
      <c r="A184" s="186">
        <v>5537.0225295677292</v>
      </c>
      <c r="B184" s="175">
        <v>0.20658738277472974</v>
      </c>
      <c r="C184" s="175">
        <v>0.31801968982354745</v>
      </c>
      <c r="D184" s="175">
        <f t="shared" si="2"/>
        <v>4.3186001929363081E-2</v>
      </c>
      <c r="E184" s="188"/>
      <c r="L184" s="178"/>
      <c r="M184" s="179"/>
      <c r="N184" s="179"/>
    </row>
    <row r="185" spans="1:14" s="177" customFormat="1" ht="14">
      <c r="A185" s="186">
        <v>5592.3927548634065</v>
      </c>
      <c r="B185" s="175">
        <v>0.20615704087978406</v>
      </c>
      <c r="C185" s="175">
        <v>0.31753002859109669</v>
      </c>
      <c r="D185" s="175">
        <f t="shared" si="2"/>
        <v>4.3822246989857171E-2</v>
      </c>
      <c r="E185" s="188"/>
      <c r="L185" s="178"/>
      <c r="M185" s="179"/>
      <c r="N185" s="179"/>
    </row>
    <row r="186" spans="1:14" s="177" customFormat="1" ht="14">
      <c r="A186" s="186">
        <v>5648.3166824120408</v>
      </c>
      <c r="B186" s="175">
        <v>0.20573367222426678</v>
      </c>
      <c r="C186" s="175">
        <v>0.31704198104574077</v>
      </c>
      <c r="D186" s="175">
        <f t="shared" si="2"/>
        <v>4.4452374442587997E-2</v>
      </c>
      <c r="E186" s="188"/>
      <c r="L186" s="178"/>
      <c r="M186" s="179"/>
      <c r="N186" s="179"/>
    </row>
    <row r="187" spans="1:14" s="177" customFormat="1" ht="14">
      <c r="A187" s="186">
        <v>5704.7998492361612</v>
      </c>
      <c r="B187" s="175">
        <v>0.2053171826868164</v>
      </c>
      <c r="C187" s="175">
        <v>0.31655561569259599</v>
      </c>
      <c r="D187" s="175">
        <f t="shared" si="2"/>
        <v>4.5076426716155069E-2</v>
      </c>
      <c r="E187" s="188"/>
      <c r="L187" s="178"/>
      <c r="M187" s="179"/>
      <c r="N187" s="179"/>
    </row>
    <row r="188" spans="1:14" s="177" customFormat="1" ht="14">
      <c r="A188" s="186">
        <v>5761.8478477285225</v>
      </c>
      <c r="B188" s="175">
        <v>0.20490747870784154</v>
      </c>
      <c r="C188" s="175">
        <v>0.31607099942603728</v>
      </c>
      <c r="D188" s="175">
        <f t="shared" si="2"/>
        <v>4.5694445831817254E-2</v>
      </c>
      <c r="E188" s="188"/>
      <c r="L188" s="178"/>
      <c r="M188" s="179"/>
      <c r="N188" s="179"/>
    </row>
    <row r="189" spans="1:14" s="177" customFormat="1" ht="14">
      <c r="A189" s="186">
        <v>5819.4663262058075</v>
      </c>
      <c r="B189" s="175">
        <v>0.20450446730513139</v>
      </c>
      <c r="C189" s="175">
        <v>0.31558819752372769</v>
      </c>
      <c r="D189" s="175">
        <f t="shared" si="2"/>
        <v>4.6306473423041068E-2</v>
      </c>
      <c r="E189" s="188"/>
      <c r="L189" s="178"/>
      <c r="M189" s="179"/>
      <c r="N189" s="179"/>
    </row>
    <row r="190" spans="1:14" s="177" customFormat="1" ht="14">
      <c r="A190" s="186">
        <v>5877.6609894678659</v>
      </c>
      <c r="B190" s="175">
        <v>0.20410805608904267</v>
      </c>
      <c r="C190" s="175">
        <v>0.31510727364172686</v>
      </c>
      <c r="D190" s="175">
        <f t="shared" si="2"/>
        <v>4.6912550754741711E-2</v>
      </c>
      <c r="E190" s="188"/>
      <c r="L190" s="178"/>
      <c r="M190" s="179"/>
      <c r="N190" s="179"/>
    </row>
    <row r="191" spans="1:14" s="177" customFormat="1" ht="14">
      <c r="A191" s="186">
        <v>5936.4375993625445</v>
      </c>
      <c r="B191" s="175">
        <v>0.20371815327725787</v>
      </c>
      <c r="C191" s="175">
        <v>0.31462828981066959</v>
      </c>
      <c r="D191" s="175">
        <f t="shared" si="2"/>
        <v>4.7512718742189271E-2</v>
      </c>
      <c r="E191" s="188"/>
      <c r="L191" s="178"/>
      <c r="M191" s="179"/>
      <c r="N191" s="179"/>
    </row>
    <row r="192" spans="1:14" s="177" customFormat="1" ht="14">
      <c r="A192" s="186">
        <v>5995.8019753561703</v>
      </c>
      <c r="B192" s="175">
        <v>0.20333466770912681</v>
      </c>
      <c r="C192" s="175">
        <v>0.31415130643300215</v>
      </c>
      <c r="D192" s="175">
        <f t="shared" si="2"/>
        <v>4.8107017969542039E-2</v>
      </c>
      <c r="E192" s="188"/>
      <c r="L192" s="178"/>
      <c r="M192" s="179"/>
      <c r="N192" s="179"/>
    </row>
    <row r="193" spans="1:14" s="177" customFormat="1" ht="14">
      <c r="A193" s="186">
        <v>6055.7599951097318</v>
      </c>
      <c r="B193" s="175">
        <v>0.20295750885957578</v>
      </c>
      <c r="C193" s="175">
        <v>0.31367638228126965</v>
      </c>
      <c r="D193" s="175">
        <f t="shared" si="2"/>
        <v>4.8695488707989294E-2</v>
      </c>
      <c r="E193" s="188"/>
      <c r="L193" s="178"/>
      <c r="M193" s="179"/>
      <c r="N193" s="179"/>
    </row>
    <row r="194" spans="1:14" s="177" customFormat="1" ht="14">
      <c r="A194" s="186">
        <v>6116.3175950608293</v>
      </c>
      <c r="B194" s="175">
        <v>0.20258658685259159</v>
      </c>
      <c r="C194" s="175">
        <v>0.31320357449743913</v>
      </c>
      <c r="D194" s="175">
        <f t="shared" si="2"/>
        <v>4.9278170933473996E-2</v>
      </c>
      <c r="E194" s="188"/>
      <c r="L194" s="178"/>
      <c r="M194" s="179"/>
      <c r="N194" s="179"/>
    </row>
    <row r="195" spans="1:14" s="177" customFormat="1" ht="14">
      <c r="A195" s="186">
        <v>6177.4807710114374</v>
      </c>
      <c r="B195" s="175">
        <v>0.20222181247428284</v>
      </c>
      <c r="C195" s="175">
        <v>0.31273293859324997</v>
      </c>
      <c r="D195" s="175">
        <f t="shared" si="2"/>
        <v>4.9855104343967248E-2</v>
      </c>
      <c r="E195" s="188"/>
      <c r="L195" s="178"/>
      <c r="M195" s="179"/>
      <c r="N195" s="179"/>
    </row>
    <row r="196" spans="1:14" s="177" customFormat="1" ht="14">
      <c r="A196" s="186">
        <v>6239.2555787215515</v>
      </c>
      <c r="B196" s="175">
        <v>0.20186309718550355</v>
      </c>
      <c r="C196" s="175">
        <v>0.31226452845157882</v>
      </c>
      <c r="D196" s="175">
        <f t="shared" si="2"/>
        <v>5.0426328376283594E-2</v>
      </c>
      <c r="E196" s="188"/>
      <c r="L196" s="178"/>
      <c r="M196" s="179"/>
      <c r="N196" s="179"/>
    </row>
    <row r="197" spans="1:14" s="177" customFormat="1" ht="14">
      <c r="A197" s="186">
        <v>6301.6481345087668</v>
      </c>
      <c r="B197" s="175">
        <v>0.20151035313405341</v>
      </c>
      <c r="C197" s="175">
        <v>0.31179839632880318</v>
      </c>
      <c r="D197" s="175">
        <f t="shared" si="2"/>
        <v>5.0991882222407046E-2</v>
      </c>
      <c r="E197" s="188"/>
      <c r="L197" s="178"/>
      <c r="M197" s="179"/>
      <c r="N197" s="179"/>
    </row>
    <row r="198" spans="1:14" s="177" customFormat="1" ht="14">
      <c r="A198" s="186">
        <v>6364.6646158538542</v>
      </c>
      <c r="B198" s="175">
        <v>0.20116349316644058</v>
      </c>
      <c r="C198" s="175">
        <v>0.31133459285815501</v>
      </c>
      <c r="D198" s="175">
        <f t="shared" si="2"/>
        <v>5.1551804845316226E-2</v>
      </c>
      <c r="E198" s="188"/>
      <c r="L198" s="178"/>
      <c r="M198" s="179"/>
      <c r="N198" s="179"/>
    </row>
    <row r="199" spans="1:14" s="177" customFormat="1" ht="14">
      <c r="A199" s="186">
        <v>6428.3112620123929</v>
      </c>
      <c r="B199" s="175">
        <v>0.20082243083921444</v>
      </c>
      <c r="C199" s="175">
        <v>0.310873167054044</v>
      </c>
      <c r="D199" s="175">
        <f t="shared" si="2"/>
        <v>5.2106134994289163E-2</v>
      </c>
      <c r="E199" s="188"/>
      <c r="L199" s="178"/>
      <c r="M199" s="179"/>
      <c r="N199" s="179"/>
    </row>
    <row r="200" spans="1:14" s="177" customFormat="1" ht="14">
      <c r="A200" s="186">
        <v>6492.5943746325165</v>
      </c>
      <c r="B200" s="175">
        <v>0.20048708042985874</v>
      </c>
      <c r="C200" s="175">
        <v>0.31041416631734081</v>
      </c>
      <c r="D200" s="175">
        <f t="shared" si="2"/>
        <v>5.2654911219676082E-2</v>
      </c>
      <c r="E200" s="188"/>
      <c r="L200" s="178"/>
      <c r="M200" s="179"/>
      <c r="N200" s="179"/>
    </row>
    <row r="201" spans="1:14" s="177" customFormat="1" ht="14">
      <c r="A201" s="186">
        <v>6557.5203183788417</v>
      </c>
      <c r="B201" s="175">
        <v>0.20015735694725126</v>
      </c>
      <c r="C201" s="175">
        <v>0.30995763644160074</v>
      </c>
      <c r="D201" s="175">
        <f t="shared" si="2"/>
        <v>5.3198171887123738E-2</v>
      </c>
      <c r="E201" s="188"/>
      <c r="L201" s="178"/>
      <c r="M201" s="179"/>
      <c r="N201" s="179"/>
    </row>
    <row r="202" spans="1:14" s="177" customFormat="1" ht="14">
      <c r="A202" s="186">
        <v>6623.09552156263</v>
      </c>
      <c r="B202" s="175">
        <v>0.19983317614168122</v>
      </c>
      <c r="C202" s="175">
        <v>0.3095036216202115</v>
      </c>
      <c r="D202" s="175">
        <f t="shared" si="2"/>
        <v>5.3735955191245341E-2</v>
      </c>
      <c r="E202" s="188"/>
      <c r="L202" s="178"/>
      <c r="M202" s="179"/>
      <c r="N202" s="179"/>
    </row>
    <row r="203" spans="1:14" s="177" customFormat="1" ht="14">
      <c r="A203" s="186">
        <v>6689.3264767782566</v>
      </c>
      <c r="B203" s="175">
        <v>0.19951445451443034</v>
      </c>
      <c r="C203" s="175">
        <v>0.30905216445445016</v>
      </c>
      <c r="D203" s="175">
        <f t="shared" si="2"/>
        <v>5.4268299168719801E-2</v>
      </c>
      <c r="E203" s="188"/>
      <c r="L203" s="178"/>
      <c r="M203" s="179"/>
      <c r="N203" s="179"/>
    </row>
    <row r="204" spans="1:14" s="177" customFormat="1" ht="14">
      <c r="A204" s="186">
        <v>6756.2197415460396</v>
      </c>
      <c r="B204" s="175">
        <v>0.19920110932690899</v>
      </c>
      <c r="C204" s="175">
        <v>0.30860330596242708</v>
      </c>
      <c r="D204" s="175">
        <f t="shared" ref="D204:D267" si="3">SQRT(($C$8-B204)^2+($C$9-C204)^2)</f>
        <v>5.4795241710820106E-2</v>
      </c>
      <c r="E204" s="188"/>
      <c r="L204" s="178"/>
      <c r="M204" s="179"/>
      <c r="N204" s="179"/>
    </row>
    <row r="205" spans="1:14" s="177" customFormat="1" ht="14">
      <c r="A205" s="186">
        <v>6823.7819389614997</v>
      </c>
      <c r="B205" s="175">
        <v>0.19889305860935147</v>
      </c>
      <c r="C205" s="175">
        <v>0.30815708558890059</v>
      </c>
      <c r="D205" s="175">
        <f t="shared" si="3"/>
        <v>5.5316820575359187E-2</v>
      </c>
      <c r="E205" s="188"/>
      <c r="L205" s="178"/>
      <c r="M205" s="179"/>
      <c r="N205" s="179"/>
    </row>
    <row r="206" spans="1:14" s="177" customFormat="1" ht="14">
      <c r="A206" s="186">
        <v>6892.0197583511144</v>
      </c>
      <c r="B206" s="175">
        <v>0.19859022116906869</v>
      </c>
      <c r="C206" s="175">
        <v>0.3077135412159423</v>
      </c>
      <c r="D206" s="175">
        <f t="shared" si="3"/>
        <v>5.5833073398049188E-2</v>
      </c>
      <c r="E206" s="188"/>
      <c r="L206" s="178"/>
      <c r="M206" s="179"/>
      <c r="N206" s="179"/>
    </row>
    <row r="207" spans="1:14" s="177" customFormat="1" ht="14">
      <c r="A207" s="186">
        <v>6960.9399559346257</v>
      </c>
      <c r="B207" s="175">
        <v>0.1982925165982562</v>
      </c>
      <c r="C207" s="175">
        <v>0.30727270917442939</v>
      </c>
      <c r="D207" s="175">
        <f t="shared" si="3"/>
        <v>5.6344037703273946E-2</v>
      </c>
      <c r="E207" s="188"/>
      <c r="L207" s="178"/>
      <c r="M207" s="179"/>
      <c r="N207" s="179"/>
    </row>
    <row r="208" spans="1:14" s="177" customFormat="1" ht="14">
      <c r="A208" s="186">
        <v>7030.5493554939721</v>
      </c>
      <c r="B208" s="175">
        <v>0.19799986528135702</v>
      </c>
      <c r="C208" s="175">
        <v>0.30683462425634805</v>
      </c>
      <c r="D208" s="175">
        <f t="shared" si="3"/>
        <v>5.6849750914269505E-2</v>
      </c>
      <c r="E208" s="188"/>
      <c r="L208" s="178"/>
      <c r="M208" s="179"/>
      <c r="N208" s="179"/>
    </row>
    <row r="209" spans="1:14" s="177" customFormat="1" ht="14">
      <c r="A209" s="186">
        <v>7100.854849048912</v>
      </c>
      <c r="B209" s="175">
        <v>0.19771218840198196</v>
      </c>
      <c r="C209" s="175">
        <v>0.30639931972787998</v>
      </c>
      <c r="D209" s="175">
        <f t="shared" si="3"/>
        <v>5.7350250362713961E-2</v>
      </c>
      <c r="E209" s="188"/>
      <c r="L209" s="178"/>
      <c r="M209" s="179"/>
      <c r="N209" s="179"/>
    </row>
    <row r="210" spans="1:14" s="177" customFormat="1" ht="14">
      <c r="A210" s="186">
        <v>7171.8633975394014</v>
      </c>
      <c r="B210" s="175">
        <v>0.19742940794938513</v>
      </c>
      <c r="C210" s="175">
        <v>0.30596682734325376</v>
      </c>
      <c r="D210" s="175">
        <f t="shared" si="3"/>
        <v>5.784557329772648E-2</v>
      </c>
      <c r="E210" s="188"/>
      <c r="L210" s="178"/>
      <c r="M210" s="179"/>
      <c r="N210" s="179"/>
    </row>
    <row r="211" spans="1:14" s="177" customFormat="1" ht="14">
      <c r="A211" s="186">
        <v>7243.5820315147957</v>
      </c>
      <c r="B211" s="175">
        <v>0.19715144672449497</v>
      </c>
      <c r="C211" s="175">
        <v>0.30553717735933461</v>
      </c>
      <c r="D211" s="175">
        <f t="shared" si="3"/>
        <v>5.8335756894279937E-2</v>
      </c>
      <c r="E211" s="188"/>
      <c r="L211" s="178"/>
      <c r="M211" s="179"/>
      <c r="N211" s="179"/>
    </row>
    <row r="212" spans="1:14" s="177" customFormat="1" ht="14">
      <c r="A212" s="186">
        <v>7316.0178518299435</v>
      </c>
      <c r="B212" s="175">
        <v>0.19687822834550503</v>
      </c>
      <c r="C212" s="175">
        <v>0.30511039855093025</v>
      </c>
      <c r="D212" s="175">
        <f t="shared" si="3"/>
        <v>5.8820838261026936E-2</v>
      </c>
      <c r="E212" s="188"/>
      <c r="L212" s="178"/>
      <c r="M212" s="179"/>
      <c r="N212" s="179"/>
    </row>
    <row r="213" spans="1:14" s="177" customFormat="1" ht="14">
      <c r="A213" s="186">
        <v>7389.1780303482428</v>
      </c>
      <c r="B213" s="175">
        <v>0.19660967725302175</v>
      </c>
      <c r="C213" s="175">
        <v>0.30468651822678755</v>
      </c>
      <c r="D213" s="175">
        <f t="shared" si="3"/>
        <v>5.9300854447547173E-2</v>
      </c>
      <c r="E213" s="188"/>
      <c r="L213" s="178"/>
      <c r="M213" s="179"/>
      <c r="N213" s="179"/>
    </row>
    <row r="214" spans="1:14" s="177" customFormat="1" ht="14">
      <c r="A214" s="186">
        <v>7463.0698106517257</v>
      </c>
      <c r="B214" s="175">
        <v>0.19634571871477302</v>
      </c>
      <c r="C214" s="175">
        <v>0.30426556224625367</v>
      </c>
      <c r="D214" s="175">
        <f t="shared" si="3"/>
        <v>5.9775842451021265E-2</v>
      </c>
      <c r="E214" s="188"/>
      <c r="L214" s="178"/>
      <c r="M214" s="179"/>
      <c r="N214" s="179"/>
    </row>
    <row r="215" spans="1:14" s="177" customFormat="1" ht="14">
      <c r="A215" s="186">
        <v>7537.7005087582429</v>
      </c>
      <c r="B215" s="175">
        <v>0.19608627882987884</v>
      </c>
      <c r="C215" s="175">
        <v>0.30384755503657851</v>
      </c>
      <c r="D215" s="175">
        <f t="shared" si="3"/>
        <v>6.024583922233652E-2</v>
      </c>
      <c r="E215" s="188"/>
      <c r="L215" s="178"/>
      <c r="M215" s="179"/>
      <c r="N215" s="179"/>
    </row>
    <row r="216" spans="1:14" s="177" customFormat="1" ht="14">
      <c r="A216" s="186">
        <v>7613.0775138458257</v>
      </c>
      <c r="B216" s="175">
        <v>0.19583128453268969</v>
      </c>
      <c r="C216" s="175">
        <v>0.30343251961082851</v>
      </c>
      <c r="D216" s="175">
        <f t="shared" si="3"/>
        <v>6.0710881671632744E-2</v>
      </c>
      <c r="E216" s="188"/>
      <c r="L216" s="178"/>
      <c r="M216" s="179"/>
      <c r="N216" s="179"/>
    </row>
    <row r="217" spans="1:14" s="177" customFormat="1" ht="14">
      <c r="A217" s="186">
        <v>7689.2082889842841</v>
      </c>
      <c r="B217" s="175">
        <v>0.1955806635961887</v>
      </c>
      <c r="C217" s="175">
        <v>0.303020477586389</v>
      </c>
      <c r="D217" s="175">
        <f t="shared" si="3"/>
        <v>6.1171006673299506E-2</v>
      </c>
      <c r="E217" s="188"/>
      <c r="L217" s="178"/>
      <c r="M217" s="179"/>
      <c r="N217" s="179"/>
    </row>
    <row r="218" spans="1:14" s="177" customFormat="1" ht="14">
      <c r="A218" s="186">
        <v>7766.1003718741267</v>
      </c>
      <c r="B218" s="175">
        <v>0.1953343446349676</v>
      </c>
      <c r="C218" s="175">
        <v>0.30261144920402455</v>
      </c>
      <c r="D218" s="175">
        <f t="shared" si="3"/>
        <v>6.1626251070431681E-2</v>
      </c>
      <c r="E218" s="188"/>
      <c r="L218" s="178"/>
      <c r="M218" s="179"/>
      <c r="N218" s="179"/>
    </row>
    <row r="219" spans="1:14" s="177" customFormat="1" ht="14">
      <c r="A219" s="186">
        <v>7843.7613755928678</v>
      </c>
      <c r="B219" s="175">
        <v>0.19509225710777958</v>
      </c>
      <c r="C219" s="175">
        <v>0.30220545334747195</v>
      </c>
      <c r="D219" s="175">
        <f t="shared" si="3"/>
        <v>6.2076651678753335E-2</v>
      </c>
      <c r="E219" s="188"/>
      <c r="L219" s="178"/>
      <c r="M219" s="179"/>
      <c r="N219" s="179"/>
    </row>
    <row r="220" spans="1:14" s="177" customFormat="1" ht="14">
      <c r="A220" s="186">
        <v>7922.1989893487962</v>
      </c>
      <c r="B220" s="175">
        <v>0.19485433131966451</v>
      </c>
      <c r="C220" s="175">
        <v>0.30180250756353838</v>
      </c>
      <c r="D220" s="175">
        <f t="shared" si="3"/>
        <v>6.2522245290027353E-2</v>
      </c>
      <c r="E220" s="188"/>
      <c r="L220" s="178"/>
      <c r="M220" s="179"/>
      <c r="N220" s="179"/>
    </row>
    <row r="221" spans="1:14" s="177" customFormat="1" ht="14">
      <c r="A221" s="186">
        <v>8001.4209792422844</v>
      </c>
      <c r="B221" s="175">
        <v>0.19462049842366422</v>
      </c>
      <c r="C221" s="175">
        <v>0.30140262808267382</v>
      </c>
      <c r="D221" s="175">
        <f t="shared" si="3"/>
        <v>6.2963068674955297E-2</v>
      </c>
      <c r="E221" s="188"/>
      <c r="L221" s="178"/>
      <c r="M221" s="179"/>
      <c r="N221" s="179"/>
    </row>
    <row r="222" spans="1:14" s="177" customFormat="1" ht="14">
      <c r="A222" s="186">
        <v>8081.435189034707</v>
      </c>
      <c r="B222" s="175">
        <v>0.19439069042212487</v>
      </c>
      <c r="C222" s="175">
        <v>0.30100582983999419</v>
      </c>
      <c r="D222" s="175">
        <f t="shared" si="3"/>
        <v>6.339915858558326E-2</v>
      </c>
      <c r="E222" s="188"/>
      <c r="L222" s="178"/>
      <c r="M222" s="179"/>
      <c r="N222" s="179"/>
    </row>
    <row r="223" spans="1:14" s="177" customFormat="1" ht="14">
      <c r="A223" s="186">
        <v>8162.2495409250541</v>
      </c>
      <c r="B223" s="175">
        <v>0.19416484016758953</v>
      </c>
      <c r="C223" s="175">
        <v>0.30061212649672309</v>
      </c>
      <c r="D223" s="175">
        <f t="shared" si="3"/>
        <v>6.3830551757231194E-2</v>
      </c>
      <c r="E223" s="188"/>
      <c r="L223" s="178"/>
      <c r="M223" s="179"/>
      <c r="N223" s="179"/>
    </row>
    <row r="224" spans="1:14" s="177" customFormat="1" ht="14">
      <c r="A224" s="186">
        <v>8243.8720363343054</v>
      </c>
      <c r="B224" s="175">
        <v>0.19394288136329427</v>
      </c>
      <c r="C224" s="175">
        <v>0.30022153046202449</v>
      </c>
      <c r="D224" s="175">
        <f t="shared" si="3"/>
        <v>6.4257284909953888E-2</v>
      </c>
      <c r="E224" s="188"/>
      <c r="L224" s="178"/>
      <c r="M224" s="179"/>
      <c r="N224" s="179"/>
    </row>
    <row r="225" spans="1:14" s="177" customFormat="1" ht="14">
      <c r="A225" s="186">
        <v>8326.3107566976487</v>
      </c>
      <c r="B225" s="175">
        <v>0.19372474856326966</v>
      </c>
      <c r="C225" s="175">
        <v>0.29983405291519932</v>
      </c>
      <c r="D225" s="175">
        <f t="shared" si="3"/>
        <v>6.4679394749550395E-2</v>
      </c>
      <c r="E225" s="188"/>
      <c r="L225" s="178"/>
      <c r="M225" s="179"/>
      <c r="N225" s="179"/>
    </row>
    <row r="226" spans="1:14" s="177" customFormat="1" ht="14">
      <c r="A226" s="186">
        <v>8409.5738642646247</v>
      </c>
      <c r="B226" s="175">
        <v>0.19351037717204805</v>
      </c>
      <c r="C226" s="175">
        <v>0.29944970382821917</v>
      </c>
      <c r="D226" s="175">
        <f t="shared" si="3"/>
        <v>6.5096917968140336E-2</v>
      </c>
      <c r="E226" s="188"/>
      <c r="L226" s="178"/>
      <c r="M226" s="179"/>
      <c r="N226" s="179"/>
    </row>
    <row r="227" spans="1:14" s="177" customFormat="1" ht="14">
      <c r="A227" s="186">
        <v>8493.6696029072718</v>
      </c>
      <c r="B227" s="175">
        <v>0.19329970344400074</v>
      </c>
      <c r="C227" s="175">
        <v>0.29906849198856111</v>
      </c>
      <c r="D227" s="175">
        <f t="shared" si="3"/>
        <v>6.5509891244315013E-2</v>
      </c>
      <c r="E227" s="188"/>
      <c r="L227" s="178"/>
      <c r="M227" s="179"/>
      <c r="N227" s="179"/>
    </row>
    <row r="228" spans="1:14" s="179" customFormat="1" ht="14">
      <c r="A228" s="186">
        <v>8578.6062989363454</v>
      </c>
      <c r="B228" s="175">
        <v>0.19309266448228987</v>
      </c>
      <c r="C228" s="175">
        <v>0.29869042502232707</v>
      </c>
      <c r="D228" s="175">
        <f t="shared" si="3"/>
        <v>6.5918351242887807E-2</v>
      </c>
      <c r="E228" s="188"/>
      <c r="F228" s="177"/>
      <c r="G228" s="177"/>
      <c r="H228" s="177"/>
      <c r="I228" s="177"/>
      <c r="J228" s="177"/>
      <c r="K228" s="177"/>
      <c r="L228" s="178"/>
    </row>
    <row r="229" spans="1:14" s="179" customFormat="1" ht="14">
      <c r="A229" s="186">
        <v>8664.3923619257093</v>
      </c>
      <c r="B229" s="175">
        <v>0.19288919823746159</v>
      </c>
      <c r="C229" s="175">
        <v>0.29831550941760909</v>
      </c>
      <c r="D229" s="175">
        <f t="shared" si="3"/>
        <v>6.6322334614253187E-2</v>
      </c>
      <c r="E229" s="188"/>
      <c r="F229" s="177"/>
      <c r="G229" s="177"/>
      <c r="H229" s="177"/>
      <c r="I229" s="177"/>
      <c r="J229" s="177"/>
      <c r="K229" s="177"/>
      <c r="L229" s="208">
        <f>I32</f>
        <v>0</v>
      </c>
    </row>
    <row r="230" spans="1:14" s="179" customFormat="1" ht="14">
      <c r="A230" s="186">
        <v>8751.0362855449657</v>
      </c>
      <c r="B230" s="175">
        <v>0.19268924350567529</v>
      </c>
      <c r="C230" s="175">
        <v>0.29794375054808026</v>
      </c>
      <c r="D230" s="175">
        <f t="shared" si="3"/>
        <v>6.6721877993375242E-2</v>
      </c>
      <c r="E230" s="188"/>
      <c r="F230" s="177"/>
      <c r="G230" s="177"/>
      <c r="H230" s="177"/>
      <c r="I230" s="177"/>
      <c r="J230" s="177"/>
      <c r="K230" s="177"/>
      <c r="L230" s="178"/>
    </row>
    <row r="231" spans="1:14" s="179" customFormat="1" ht="14">
      <c r="A231" s="186">
        <v>8838.5466484004155</v>
      </c>
      <c r="B231" s="175">
        <v>0.19249273992658547</v>
      </c>
      <c r="C231" s="175">
        <v>0.29757515269677898</v>
      </c>
      <c r="D231" s="175">
        <f t="shared" si="3"/>
        <v>6.7117017998419126E-2</v>
      </c>
      <c r="E231" s="188"/>
      <c r="F231" s="177"/>
      <c r="G231" s="177"/>
      <c r="H231" s="177"/>
      <c r="I231" s="177"/>
      <c r="J231" s="177"/>
      <c r="K231" s="177"/>
      <c r="L231" s="178"/>
    </row>
    <row r="232" spans="1:14" s="179" customFormat="1" ht="14">
      <c r="A232" s="186">
        <v>8926.9321148844192</v>
      </c>
      <c r="B232" s="175">
        <v>0.19229962798088088</v>
      </c>
      <c r="C232" s="175">
        <v>0.29720971908006366</v>
      </c>
      <c r="D232" s="175">
        <f t="shared" si="3"/>
        <v>6.7507791229042366E-2</v>
      </c>
      <c r="E232" s="188"/>
      <c r="F232" s="177"/>
      <c r="G232" s="177"/>
      <c r="H232" s="177"/>
      <c r="I232" s="177"/>
      <c r="J232" s="177"/>
      <c r="K232" s="177"/>
      <c r="L232" s="178"/>
    </row>
    <row r="233" spans="1:14" s="179" customFormat="1" ht="14">
      <c r="A233" s="186">
        <v>9016.2014360332632</v>
      </c>
      <c r="B233" s="175">
        <v>0.19210984898748565</v>
      </c>
      <c r="C233" s="175">
        <v>0.29684745187170591</v>
      </c>
      <c r="D233" s="175">
        <f t="shared" si="3"/>
        <v>6.7894234264368983E-2</v>
      </c>
      <c r="E233" s="188"/>
      <c r="F233" s="177"/>
      <c r="G233" s="177"/>
      <c r="H233" s="177"/>
      <c r="I233" s="177"/>
      <c r="J233" s="177"/>
      <c r="K233" s="177"/>
      <c r="L233" s="178"/>
    </row>
    <row r="234" spans="1:14" s="179" customFormat="1" ht="14">
      <c r="A234" s="186">
        <v>9106.3634503935955</v>
      </c>
      <c r="B234" s="175">
        <v>0.19192334510044226</v>
      </c>
      <c r="C234" s="175">
        <v>0.29648835222710196</v>
      </c>
      <c r="D234" s="175">
        <f t="shared" si="3"/>
        <v>6.827638366065103E-2</v>
      </c>
      <c r="E234" s="188"/>
      <c r="F234" s="177"/>
      <c r="G234" s="177"/>
      <c r="H234" s="177"/>
      <c r="I234" s="177"/>
      <c r="J234" s="177"/>
      <c r="K234" s="177"/>
      <c r="L234" s="178"/>
    </row>
    <row r="235" spans="1:14" s="179" customFormat="1" ht="14">
      <c r="A235" s="186">
        <v>9197.427084897532</v>
      </c>
      <c r="B235" s="175">
        <v>0.19174005930547255</v>
      </c>
      <c r="C235" s="175">
        <v>0.29613242030757114</v>
      </c>
      <c r="D235" s="175">
        <f t="shared" si="3"/>
        <v>6.8654275948647828E-2</v>
      </c>
      <c r="E235" s="188"/>
      <c r="F235" s="177"/>
      <c r="G235" s="177"/>
      <c r="H235" s="177"/>
      <c r="I235" s="177"/>
      <c r="J235" s="177"/>
      <c r="K235" s="177"/>
      <c r="L235" s="178"/>
    </row>
    <row r="236" spans="1:14" s="179" customFormat="1" ht="14">
      <c r="A236" s="186">
        <v>9289.4013557465078</v>
      </c>
      <c r="B236" s="175">
        <v>0.19155993541623567</v>
      </c>
      <c r="C236" s="175">
        <v>0.29577965530471984</v>
      </c>
      <c r="D236" s="175">
        <f t="shared" si="3"/>
        <v>6.9027947630729586E-2</v>
      </c>
      <c r="E236" s="188"/>
      <c r="F236" s="177"/>
      <c r="G236" s="177"/>
      <c r="H236" s="177"/>
      <c r="I236" s="177"/>
      <c r="J236" s="177"/>
      <c r="K236" s="177"/>
      <c r="L236" s="178"/>
    </row>
    <row r="237" spans="1:14" s="179" customFormat="1" ht="14">
      <c r="A237" s="186">
        <v>9382.2953693039726</v>
      </c>
      <c r="B237" s="175">
        <v>0.19138291807028718</v>
      </c>
      <c r="C237" s="175">
        <v>0.29543005546484263</v>
      </c>
      <c r="D237" s="175">
        <f t="shared" si="3"/>
        <v>6.9397435177728839E-2</v>
      </c>
      <c r="E237" s="188"/>
      <c r="F237" s="177"/>
      <c r="G237" s="177"/>
      <c r="H237" s="177"/>
      <c r="I237" s="177"/>
      <c r="J237" s="177"/>
      <c r="K237" s="177"/>
      <c r="L237" s="178"/>
    </row>
    <row r="238" spans="1:14" s="179" customFormat="1" ht="14">
      <c r="A238" s="186">
        <v>9476.118322997012</v>
      </c>
      <c r="B238" s="175">
        <v>0.1912089527247498</v>
      </c>
      <c r="C238" s="175">
        <v>0.29508361811334083</v>
      </c>
      <c r="D238" s="175">
        <f t="shared" si="3"/>
        <v>6.9762775025552254E-2</v>
      </c>
      <c r="E238" s="188"/>
      <c r="F238" s="177"/>
      <c r="G238" s="177"/>
      <c r="H238" s="177"/>
      <c r="I238" s="177"/>
      <c r="J238" s="177"/>
      <c r="K238" s="177"/>
      <c r="L238" s="178"/>
    </row>
    <row r="239" spans="1:14" s="179" customFormat="1" ht="14">
      <c r="A239" s="186">
        <v>9570.8795062269819</v>
      </c>
      <c r="B239" s="175">
        <v>0.19103798565170907</v>
      </c>
      <c r="C239" s="175">
        <v>0.29474033967912844</v>
      </c>
      <c r="D239" s="175">
        <f t="shared" si="3"/>
        <v>7.0124003571571225E-2</v>
      </c>
      <c r="E239" s="188"/>
      <c r="F239" s="177"/>
      <c r="G239" s="177"/>
      <c r="H239" s="177"/>
      <c r="I239" s="177"/>
      <c r="J239" s="177"/>
      <c r="K239" s="177"/>
      <c r="L239" s="178"/>
    </row>
    <row r="240" spans="1:14" s="179" customFormat="1" ht="14">
      <c r="A240" s="186">
        <v>9666.5883012892518</v>
      </c>
      <c r="B240" s="175">
        <v>0.19086996393333749</v>
      </c>
      <c r="C240" s="175">
        <v>0.29440021571900998</v>
      </c>
      <c r="D240" s="175">
        <f t="shared" si="3"/>
        <v>7.048115717080701E-2</v>
      </c>
      <c r="E240" s="188"/>
      <c r="F240" s="177"/>
      <c r="G240" s="177"/>
      <c r="H240" s="177"/>
      <c r="I240" s="177"/>
      <c r="J240" s="177"/>
      <c r="K240" s="177"/>
      <c r="L240" s="178"/>
    </row>
    <row r="241" spans="1:14" s="179" customFormat="1" ht="14">
      <c r="A241" s="186">
        <v>9763.2541843021445</v>
      </c>
      <c r="B241" s="175">
        <v>0.19070483545676153</v>
      </c>
      <c r="C241" s="175">
        <v>0.29406324094200142</v>
      </c>
      <c r="D241" s="175">
        <f t="shared" si="3"/>
        <v>7.0834272131927528E-2</v>
      </c>
      <c r="E241" s="188"/>
      <c r="F241" s="177"/>
      <c r="G241" s="177"/>
      <c r="H241" s="177"/>
      <c r="I241" s="177"/>
      <c r="J241" s="177"/>
      <c r="K241" s="177"/>
      <c r="L241" s="178"/>
    </row>
    <row r="242" spans="1:14" s="179" customFormat="1" ht="14">
      <c r="A242" s="186">
        <v>9860.8867261451669</v>
      </c>
      <c r="B242" s="175">
        <v>0.190542548908682</v>
      </c>
      <c r="C242" s="175">
        <v>0.29372940923357443</v>
      </c>
      <c r="D242" s="175">
        <f t="shared" si="3"/>
        <v>7.1183384713070202E-2</v>
      </c>
      <c r="E242" s="188"/>
      <c r="F242" s="177"/>
      <c r="G242" s="177"/>
      <c r="H242" s="177"/>
      <c r="I242" s="177"/>
      <c r="J242" s="177"/>
      <c r="K242" s="177"/>
      <c r="L242" s="178"/>
    </row>
    <row r="243" spans="1:14" s="179" customFormat="1" ht="14">
      <c r="A243" s="186">
        <v>9959.4955934066184</v>
      </c>
      <c r="B243" s="175">
        <v>0.19038305376975373</v>
      </c>
      <c r="C243" s="175">
        <v>0.29339871367980591</v>
      </c>
      <c r="D243" s="175">
        <f t="shared" si="3"/>
        <v>7.152853111750701E-2</v>
      </c>
      <c r="E243" s="188"/>
      <c r="F243" s="177"/>
      <c r="G243" s="177"/>
      <c r="H243" s="177"/>
      <c r="I243" s="177"/>
      <c r="J243" s="177"/>
      <c r="K243" s="177"/>
      <c r="L243" s="178"/>
    </row>
    <row r="244" spans="1:14" s="177" customFormat="1" ht="14">
      <c r="A244" s="186">
        <v>10059.090549340684</v>
      </c>
      <c r="B244" s="175">
        <v>0.19022630030873822</v>
      </c>
      <c r="C244" s="175">
        <v>0.29307114659140759</v>
      </c>
      <c r="D244" s="175">
        <f t="shared" si="3"/>
        <v>7.1869747489168356E-2</v>
      </c>
      <c r="E244" s="188"/>
      <c r="L244" s="178"/>
      <c r="M244" s="179"/>
      <c r="N244" s="179"/>
    </row>
    <row r="245" spans="1:14" s="177" customFormat="1" ht="14">
      <c r="A245" s="186">
        <v>10159.681454834092</v>
      </c>
      <c r="B245" s="175">
        <v>0.19007223957643929</v>
      </c>
      <c r="C245" s="175">
        <v>0.29274669952761934</v>
      </c>
      <c r="D245" s="175">
        <f t="shared" si="3"/>
        <v>7.220706990803806E-2</v>
      </c>
      <c r="E245" s="188"/>
      <c r="L245" s="178"/>
      <c r="M245" s="179"/>
      <c r="N245" s="179"/>
    </row>
    <row r="246" spans="1:14" s="177" customFormat="1" ht="14">
      <c r="A246" s="186">
        <v>10261.278269382432</v>
      </c>
      <c r="B246" s="175">
        <v>0.18992082339942801</v>
      </c>
      <c r="C246" s="175">
        <v>0.29242536331994629</v>
      </c>
      <c r="D246" s="175">
        <f t="shared" si="3"/>
        <v>7.2540534385437852E-2</v>
      </c>
      <c r="E246" s="188"/>
      <c r="L246" s="178"/>
      <c r="M246" s="179"/>
      <c r="N246" s="179"/>
    </row>
    <row r="247" spans="1:14" s="177" customFormat="1" ht="14">
      <c r="A247" s="186">
        <v>10363.891052076257</v>
      </c>
      <c r="B247" s="175">
        <v>0.18977200437357336</v>
      </c>
      <c r="C247" s="175">
        <v>0.29210712809572159</v>
      </c>
      <c r="D247" s="175">
        <f t="shared" si="3"/>
        <v>7.2870176859211211E-2</v>
      </c>
      <c r="E247" s="188"/>
      <c r="L247" s="178"/>
      <c r="M247" s="179"/>
      <c r="N247" s="179"/>
    </row>
    <row r="248" spans="1:14" s="177" customFormat="1" ht="14">
      <c r="A248" s="186">
        <v>10467.529962597018</v>
      </c>
      <c r="B248" s="175">
        <v>0.18962573585738179</v>
      </c>
      <c r="C248" s="175">
        <v>0.29179198330147793</v>
      </c>
      <c r="D248" s="175">
        <f t="shared" si="3"/>
        <v>7.3196033188824838E-2</v>
      </c>
      <c r="E248" s="188"/>
      <c r="L248" s="178"/>
      <c r="M248" s="179"/>
      <c r="N248" s="179"/>
    </row>
    <row r="249" spans="1:14" s="177" customFormat="1" ht="14">
      <c r="A249" s="186">
        <v>10572.205262222989</v>
      </c>
      <c r="B249" s="175">
        <v>0.1894819719651604</v>
      </c>
      <c r="C249" s="175">
        <v>0.29147991772611104</v>
      </c>
      <c r="D249" s="175">
        <f t="shared" si="3"/>
        <v>7.3518139150398176E-2</v>
      </c>
      <c r="E249" s="188"/>
      <c r="L249" s="178"/>
      <c r="M249" s="179"/>
      <c r="N249" s="179"/>
    </row>
    <row r="250" spans="1:14" s="177" customFormat="1" ht="14">
      <c r="A250" s="186">
        <v>10677.927314845219</v>
      </c>
      <c r="B250" s="175">
        <v>0.18934066756001372</v>
      </c>
      <c r="C250" s="175">
        <v>0.2911709195238194</v>
      </c>
      <c r="D250" s="175">
        <f t="shared" si="3"/>
        <v>7.3836530431673972E-2</v>
      </c>
      <c r="E250" s="188"/>
      <c r="L250" s="178"/>
      <c r="M250" s="179"/>
      <c r="N250" s="179"/>
    </row>
    <row r="251" spans="1:14" s="177" customFormat="1" ht="14">
      <c r="A251" s="186">
        <v>10784.706587993671</v>
      </c>
      <c r="B251" s="175">
        <v>0.18920177824667714</v>
      </c>
      <c r="C251" s="175">
        <v>0.29086497623680374</v>
      </c>
      <c r="D251" s="175">
        <f t="shared" si="3"/>
        <v>7.415124262694868E-2</v>
      </c>
      <c r="E251" s="188"/>
      <c r="L251" s="178"/>
      <c r="M251" s="179"/>
      <c r="N251" s="179"/>
    </row>
    <row r="252" spans="1:14" s="177" customFormat="1" ht="14">
      <c r="A252" s="186">
        <v>10892.553653873607</v>
      </c>
      <c r="B252" s="175">
        <v>0.18906526036420998</v>
      </c>
      <c r="C252" s="175">
        <v>0.29056207481771584</v>
      </c>
      <c r="D252" s="175">
        <f t="shared" si="3"/>
        <v>7.4462311231962189E-2</v>
      </c>
      <c r="E252" s="188"/>
      <c r="L252" s="178"/>
      <c r="M252" s="179"/>
      <c r="N252" s="179"/>
    </row>
    <row r="253" spans="1:14" s="177" customFormat="1" ht="14">
      <c r="A253" s="186">
        <v>11001.479190412343</v>
      </c>
      <c r="B253" s="175">
        <v>0.18893107097854123</v>
      </c>
      <c r="C253" s="175">
        <v>0.2902622016518398</v>
      </c>
      <c r="D253" s="175">
        <f t="shared" si="3"/>
        <v>7.4769771638773769E-2</v>
      </c>
      <c r="E253" s="188"/>
      <c r="L253" s="178"/>
      <c r="M253" s="179"/>
      <c r="N253" s="179"/>
    </row>
    <row r="254" spans="1:14" s="177" customFormat="1" ht="14">
      <c r="A254" s="186">
        <v>11111.493982316466</v>
      </c>
      <c r="B254" s="175">
        <v>0.18879916787489404</v>
      </c>
      <c r="C254" s="175">
        <v>0.28996534257899342</v>
      </c>
      <c r="D254" s="175">
        <f t="shared" si="3"/>
        <v>7.5073659130622875E-2</v>
      </c>
      <c r="E254" s="188"/>
      <c r="L254" s="178"/>
      <c r="M254" s="179"/>
      <c r="N254" s="179"/>
    </row>
    <row r="255" spans="1:14" s="177" customFormat="1" ht="14">
      <c r="A255" s="186">
        <v>11222.608922139631</v>
      </c>
      <c r="B255" s="175">
        <v>0.18866950955008263</v>
      </c>
      <c r="C255" s="175">
        <v>0.28967148291513983</v>
      </c>
      <c r="D255" s="175">
        <f t="shared" si="3"/>
        <v>7.5374008876795781E-2</v>
      </c>
      <c r="E255" s="188"/>
      <c r="L255" s="178"/>
      <c r="M255" s="179"/>
      <c r="N255" s="179"/>
    </row>
    <row r="256" spans="1:14" s="177" customFormat="1" ht="14">
      <c r="A256" s="186">
        <v>11334.835011361027</v>
      </c>
      <c r="B256" s="175">
        <v>0.18854205520470368</v>
      </c>
      <c r="C256" s="175">
        <v>0.28938060747369698</v>
      </c>
      <c r="D256" s="175">
        <f t="shared" si="3"/>
        <v>7.5670855927500127E-2</v>
      </c>
      <c r="E256" s="188"/>
      <c r="L256" s="178"/>
      <c r="M256" s="179"/>
      <c r="N256" s="179"/>
    </row>
    <row r="257" spans="1:14" s="177" customFormat="1" ht="14">
      <c r="A257" s="186">
        <v>11448.183361474637</v>
      </c>
      <c r="B257" s="175">
        <v>0.18841676473522553</v>
      </c>
      <c r="C257" s="175">
        <v>0.28909270058653447</v>
      </c>
      <c r="D257" s="175">
        <f t="shared" si="3"/>
        <v>7.5964235208761555E-2</v>
      </c>
      <c r="E257" s="188"/>
      <c r="L257" s="178"/>
      <c r="M257" s="179"/>
      <c r="N257" s="179"/>
    </row>
    <row r="258" spans="1:14" s="177" customFormat="1" ht="14">
      <c r="A258" s="186">
        <v>11562.665195089385</v>
      </c>
      <c r="B258" s="175">
        <v>0.18829359872598189</v>
      </c>
      <c r="C258" s="175">
        <v>0.28880774612464821</v>
      </c>
      <c r="D258" s="175">
        <f t="shared" si="3"/>
        <v>7.6254181517353428E-2</v>
      </c>
      <c r="E258" s="188"/>
      <c r="L258" s="178"/>
      <c r="M258" s="179"/>
      <c r="N258" s="179"/>
    </row>
    <row r="259" spans="1:14" s="177" customFormat="1" ht="14">
      <c r="A259" s="186">
        <v>11678.291847040278</v>
      </c>
      <c r="B259" s="175">
        <v>0.18817251844108271</v>
      </c>
      <c r="C259" s="175">
        <v>0.28852572751850625</v>
      </c>
      <c r="D259" s="175">
        <f t="shared" si="3"/>
        <v>7.6540729515764322E-2</v>
      </c>
      <c r="E259" s="188"/>
      <c r="L259" s="178"/>
      <c r="M259" s="179"/>
      <c r="N259" s="179"/>
    </row>
    <row r="260" spans="1:14" s="177" customFormat="1" ht="14">
      <c r="A260" s="186">
        <v>11795.074765510681</v>
      </c>
      <c r="B260" s="175">
        <v>0.18805348581625145</v>
      </c>
      <c r="C260" s="175">
        <v>0.28824662777805271</v>
      </c>
      <c r="D260" s="175">
        <f t="shared" si="3"/>
        <v>7.6823913727214727E-2</v>
      </c>
      <c r="E260" s="188"/>
      <c r="L260" s="178"/>
      <c r="M260" s="179"/>
      <c r="N260" s="179"/>
    </row>
    <row r="261" spans="1:14" s="177" customFormat="1" ht="14">
      <c r="A261" s="186">
        <v>11913.025513165787</v>
      </c>
      <c r="B261" s="175">
        <v>0.18793646345059214</v>
      </c>
      <c r="C261" s="175">
        <v>0.28797042951236884</v>
      </c>
      <c r="D261" s="175">
        <f t="shared" si="3"/>
        <v>7.7103768530730324E-2</v>
      </c>
      <c r="E261" s="188"/>
      <c r="L261" s="178"/>
      <c r="M261" s="179"/>
      <c r="N261" s="179"/>
    </row>
    <row r="262" spans="1:14" s="177" customFormat="1" ht="14">
      <c r="A262" s="186">
        <v>12032.155768297445</v>
      </c>
      <c r="B262" s="175">
        <v>0.1878214145982976</v>
      </c>
      <c r="C262" s="175">
        <v>0.28769711494897915</v>
      </c>
      <c r="D262" s="175">
        <f t="shared" si="3"/>
        <v>7.738032815628039E-2</v>
      </c>
      <c r="E262" s="188"/>
      <c r="L262" s="178"/>
      <c r="M262" s="179"/>
      <c r="N262" s="179"/>
    </row>
    <row r="263" spans="1:14" s="177" customFormat="1" ht="14">
      <c r="A263" s="186">
        <v>12152.477325980421</v>
      </c>
      <c r="B263" s="175">
        <v>0.18770830316030723</v>
      </c>
      <c r="C263" s="175">
        <v>0.28742666595280042</v>
      </c>
      <c r="D263" s="175">
        <f t="shared" si="3"/>
        <v>7.7653626679986168E-2</v>
      </c>
      <c r="E263" s="188"/>
      <c r="L263" s="178"/>
      <c r="M263" s="179"/>
      <c r="N263" s="179"/>
    </row>
    <row r="264" spans="1:14" s="177" customFormat="1" ht="14">
      <c r="A264" s="186">
        <v>12274.002099240224</v>
      </c>
      <c r="B264" s="175">
        <v>0.18759709367592226</v>
      </c>
      <c r="C264" s="175">
        <v>0.28715906404472541</v>
      </c>
      <c r="D264" s="175">
        <f t="shared" si="3"/>
        <v>7.7923698019407239E-2</v>
      </c>
      <c r="E264" s="188"/>
      <c r="L264" s="178"/>
      <c r="M264" s="179"/>
      <c r="N264" s="179"/>
    </row>
    <row r="265" spans="1:14" s="177" customFormat="1" ht="14">
      <c r="A265" s="186">
        <v>12396.742120232626</v>
      </c>
      <c r="B265" s="175">
        <v>0.18748775131438025</v>
      </c>
      <c r="C265" s="175">
        <v>0.28689429041983816</v>
      </c>
      <c r="D265" s="175">
        <f t="shared" si="3"/>
        <v>7.8190575928915443E-2</v>
      </c>
      <c r="E265" s="188"/>
      <c r="L265" s="178"/>
      <c r="M265" s="179"/>
      <c r="N265" s="179"/>
    </row>
    <row r="266" spans="1:14" s="177" customFormat="1" ht="14">
      <c r="A266" s="186">
        <v>12520.709541434951</v>
      </c>
      <c r="B266" s="175">
        <v>0.18738024186640803</v>
      </c>
      <c r="C266" s="175">
        <v>0.28663232596525784</v>
      </c>
      <c r="D266" s="175">
        <f t="shared" si="3"/>
        <v>7.8454293995152913E-2</v>
      </c>
      <c r="E266" s="188"/>
      <c r="L266" s="178"/>
      <c r="M266" s="179"/>
      <c r="N266" s="179"/>
    </row>
    <row r="267" spans="1:14" s="177" customFormat="1" ht="14">
      <c r="A267" s="186">
        <v>12645.916636849301</v>
      </c>
      <c r="B267" s="175">
        <v>0.18727453173574288</v>
      </c>
      <c r="C267" s="175">
        <v>0.2863731512776051</v>
      </c>
      <c r="D267" s="175">
        <f t="shared" si="3"/>
        <v>7.871488563259367E-2</v>
      </c>
      <c r="E267" s="188"/>
      <c r="L267" s="178"/>
      <c r="M267" s="179"/>
      <c r="N267" s="179"/>
    </row>
    <row r="268" spans="1:14" s="177" customFormat="1" ht="14">
      <c r="A268" s="186">
        <v>12772.375803217794</v>
      </c>
      <c r="B268" s="175">
        <v>0.18717058793065039</v>
      </c>
      <c r="C268" s="175">
        <v>0.28611674668009063</v>
      </c>
      <c r="D268" s="175">
        <f t="shared" ref="D268:D314" si="4">SQRT(($C$8-B268)^2+($C$9-C268)^2)</f>
        <v>7.8972384079196933E-2</v>
      </c>
      <c r="E268" s="188"/>
      <c r="L268" s="178"/>
      <c r="M268" s="179"/>
      <c r="N268" s="179"/>
    </row>
    <row r="269" spans="1:14" s="177" customFormat="1" ht="14">
      <c r="A269" s="186">
        <v>12900.099561249972</v>
      </c>
      <c r="B269" s="175">
        <v>0.18706837805542054</v>
      </c>
      <c r="C269" s="175">
        <v>0.28586309223922235</v>
      </c>
      <c r="D269" s="175">
        <f t="shared" si="4"/>
        <v>7.9226822392174975E-2</v>
      </c>
      <c r="E269" s="188"/>
      <c r="L269" s="178"/>
      <c r="M269" s="179"/>
      <c r="N269" s="179"/>
    </row>
    <row r="270" spans="1:14" s="177" customFormat="1" ht="14">
      <c r="A270" s="186">
        <v>13029.100556862471</v>
      </c>
      <c r="B270" s="175">
        <v>0.18696787030187398</v>
      </c>
      <c r="C270" s="175">
        <v>0.28561216778113052</v>
      </c>
      <c r="D270" s="175">
        <f t="shared" si="4"/>
        <v>7.9478233443861457E-2</v>
      </c>
      <c r="E270" s="188"/>
      <c r="L270" s="178"/>
      <c r="M270" s="179"/>
      <c r="N270" s="179"/>
    </row>
    <row r="271" spans="1:14" s="177" customFormat="1" ht="14">
      <c r="A271" s="186">
        <v>13159.391562431096</v>
      </c>
      <c r="B271" s="175">
        <v>0.18686903344086331</v>
      </c>
      <c r="C271" s="175">
        <v>0.28536395290750788</v>
      </c>
      <c r="D271" s="175">
        <f t="shared" si="4"/>
        <v>7.9726649917699802E-2</v>
      </c>
      <c r="E271" s="188"/>
      <c r="L271" s="178"/>
      <c r="M271" s="179"/>
      <c r="N271" s="179"/>
    </row>
    <row r="272" spans="1:14" s="177" customFormat="1" ht="14">
      <c r="A272" s="186">
        <v>13290.985478055407</v>
      </c>
      <c r="B272" s="175">
        <v>0.18677183681378795</v>
      </c>
      <c r="C272" s="175">
        <v>0.28511842701116719</v>
      </c>
      <c r="D272" s="175">
        <f t="shared" si="4"/>
        <v>7.9972104304344441E-2</v>
      </c>
      <c r="E272" s="188"/>
      <c r="L272" s="178"/>
      <c r="M272" s="179"/>
      <c r="N272" s="179"/>
    </row>
    <row r="273" spans="1:14" s="177" customFormat="1" ht="14">
      <c r="A273" s="186">
        <v>13423.89533283596</v>
      </c>
      <c r="B273" s="175">
        <v>0.18667625032412363</v>
      </c>
      <c r="C273" s="175">
        <v>0.28487556929121327</v>
      </c>
      <c r="D273" s="175">
        <f t="shared" si="4"/>
        <v>8.0214628897882764E-2</v>
      </c>
      <c r="E273" s="188"/>
      <c r="L273" s="178"/>
      <c r="M273" s="179"/>
      <c r="N273" s="179"/>
    </row>
    <row r="274" spans="1:14" s="177" customFormat="1" ht="14">
      <c r="A274" s="186">
        <v>13558.134286164321</v>
      </c>
      <c r="B274" s="175">
        <v>0.186582244428974</v>
      </c>
      <c r="C274" s="175">
        <v>0.28463535876783125</v>
      </c>
      <c r="D274" s="175">
        <f t="shared" si="4"/>
        <v>8.0454255792178658E-2</v>
      </c>
      <c r="E274" s="188"/>
      <c r="L274" s="178"/>
      <c r="M274" s="179"/>
      <c r="N274" s="179"/>
    </row>
    <row r="275" spans="1:14" s="177" customFormat="1" ht="14">
      <c r="A275" s="186">
        <v>13693.715629025965</v>
      </c>
      <c r="B275" s="175">
        <v>0.18648979013064426</v>
      </c>
      <c r="C275" s="175">
        <v>0.28439777429669222</v>
      </c>
      <c r="D275" s="175">
        <f t="shared" si="4"/>
        <v>8.0691016877342717E-2</v>
      </c>
      <c r="E275" s="188"/>
      <c r="L275" s="178"/>
      <c r="M275" s="179"/>
      <c r="N275" s="179"/>
    </row>
    <row r="276" spans="1:14" s="177" customFormat="1" ht="14">
      <c r="A276" s="186">
        <v>13830.652785316224</v>
      </c>
      <c r="B276" s="175">
        <v>0.18639885896824995</v>
      </c>
      <c r="C276" s="175">
        <v>0.28416279458297633</v>
      </c>
      <c r="D276" s="175">
        <f t="shared" si="4"/>
        <v>8.0924943836326896E-2</v>
      </c>
      <c r="E276" s="188"/>
      <c r="L276" s="178"/>
      <c r="M276" s="179"/>
      <c r="N276" s="179"/>
    </row>
    <row r="277" spans="1:14" s="177" customFormat="1" ht="14">
      <c r="A277" s="186">
        <v>13968.959313169387</v>
      </c>
      <c r="B277" s="175">
        <v>0.18630942300936046</v>
      </c>
      <c r="C277" s="175">
        <v>0.28393039819501636</v>
      </c>
      <c r="D277" s="175">
        <f t="shared" si="4"/>
        <v>8.1156068141647733E-2</v>
      </c>
      <c r="E277" s="188"/>
      <c r="L277" s="178"/>
      <c r="M277" s="179"/>
      <c r="N277" s="179"/>
    </row>
    <row r="278" spans="1:14" s="177" customFormat="1" ht="14">
      <c r="A278" s="186">
        <v>14108.648906301081</v>
      </c>
      <c r="B278" s="175">
        <v>0.18622145484167943</v>
      </c>
      <c r="C278" s="175">
        <v>0.28370056357756307</v>
      </c>
      <c r="D278" s="175">
        <f t="shared" si="4"/>
        <v>8.1384421052241709E-2</v>
      </c>
      <c r="E278" s="188"/>
      <c r="L278" s="178"/>
      <c r="M278" s="179"/>
      <c r="N278" s="179"/>
    </row>
    <row r="279" spans="1:14" s="177" customFormat="1" ht="14">
      <c r="A279" s="186">
        <v>14249.735395364092</v>
      </c>
      <c r="B279" s="175">
        <v>0.1861349275647752</v>
      </c>
      <c r="C279" s="175">
        <v>0.2834732690646744</v>
      </c>
      <c r="D279" s="175">
        <f t="shared" si="4"/>
        <v>8.161003361044801E-2</v>
      </c>
      <c r="E279" s="188"/>
      <c r="L279" s="178"/>
      <c r="M279" s="179"/>
      <c r="N279" s="179"/>
    </row>
    <row r="280" spans="1:14" s="177" customFormat="1" ht="14">
      <c r="A280" s="186">
        <v>14392.232749317733</v>
      </c>
      <c r="B280" s="175">
        <v>0.18604981478185373</v>
      </c>
      <c r="C280" s="175">
        <v>0.28324849289223297</v>
      </c>
      <c r="D280" s="175">
        <f t="shared" si="4"/>
        <v>8.1832936639126441E-2</v>
      </c>
      <c r="E280" s="188"/>
      <c r="L280" s="178"/>
      <c r="M280" s="179"/>
      <c r="N280" s="179"/>
    </row>
    <row r="281" spans="1:14" s="177" customFormat="1" ht="14">
      <c r="A281" s="186">
        <v>14536.15507681091</v>
      </c>
      <c r="B281" s="175">
        <v>0.18596609059159025</v>
      </c>
      <c r="C281" s="175">
        <v>0.28302621321009291</v>
      </c>
      <c r="D281" s="175">
        <f t="shared" si="4"/>
        <v>8.2053160738903855E-2</v>
      </c>
      <c r="E281" s="188"/>
      <c r="L281" s="178"/>
      <c r="M281" s="179"/>
      <c r="N281" s="179"/>
    </row>
    <row r="282" spans="1:14" s="177" customFormat="1" ht="14">
      <c r="A282" s="186">
        <v>14681.51662757902</v>
      </c>
      <c r="B282" s="175">
        <v>0.18588372958001068</v>
      </c>
      <c r="C282" s="175">
        <v>0.28280640809386087</v>
      </c>
      <c r="D282" s="175">
        <f t="shared" si="4"/>
        <v>8.2270736285557353E-2</v>
      </c>
      <c r="E282" s="188"/>
      <c r="L282" s="178"/>
      <c r="M282" s="179"/>
      <c r="N282" s="179"/>
    </row>
    <row r="283" spans="1:14" s="177" customFormat="1" ht="14">
      <c r="A283" s="186">
        <v>14828.33179385481</v>
      </c>
      <c r="B283" s="175">
        <v>0.18580270681243702</v>
      </c>
      <c r="C283" s="175">
        <v>0.28258905555631514</v>
      </c>
      <c r="D283" s="175">
        <f t="shared" si="4"/>
        <v>8.2485693427526457E-2</v>
      </c>
      <c r="E283" s="188"/>
      <c r="L283" s="178"/>
      <c r="M283" s="179"/>
      <c r="N283" s="179"/>
    </row>
    <row r="284" spans="1:14" s="177" customFormat="1" ht="14">
      <c r="A284" s="186">
        <v>14976.615111793359</v>
      </c>
      <c r="B284" s="175">
        <v>0.18572299782549367</v>
      </c>
      <c r="C284" s="175">
        <v>0.28237413355846491</v>
      </c>
      <c r="D284" s="175">
        <f t="shared" si="4"/>
        <v>8.269806208356012E-2</v>
      </c>
      <c r="E284" s="188"/>
      <c r="L284" s="178"/>
      <c r="M284" s="179"/>
      <c r="N284" s="179"/>
    </row>
    <row r="285" spans="1:14" s="177" customFormat="1" ht="14">
      <c r="A285" s="186">
        <v>15126.381262911293</v>
      </c>
      <c r="B285" s="175">
        <v>0.18564457861918143</v>
      </c>
      <c r="C285" s="175">
        <v>0.28216162002025769</v>
      </c>
      <c r="D285" s="175">
        <f t="shared" si="4"/>
        <v>8.2907871940492719E-2</v>
      </c>
      <c r="E285" s="188"/>
      <c r="L285" s="178"/>
      <c r="M285" s="179"/>
      <c r="N285" s="179"/>
    </row>
    <row r="286" spans="1:14" s="177" customFormat="1" ht="14">
      <c r="A286" s="186">
        <v>15277.645075540406</v>
      </c>
      <c r="B286" s="175">
        <v>0.18556742564901604</v>
      </c>
      <c r="C286" s="175">
        <v>0.28195149283093413</v>
      </c>
      <c r="D286" s="175">
        <f t="shared" si="4"/>
        <v>8.3115152451156415E-2</v>
      </c>
      <c r="E286" s="188"/>
      <c r="L286" s="178"/>
      <c r="M286" s="179"/>
      <c r="N286" s="179"/>
    </row>
    <row r="287" spans="1:14" s="177" customFormat="1" ht="14">
      <c r="A287" s="186">
        <v>15430.42152629581</v>
      </c>
      <c r="B287" s="175">
        <v>0.18549151581824339</v>
      </c>
      <c r="C287" s="175">
        <v>0.2817437298590395</v>
      </c>
      <c r="D287" s="175">
        <f t="shared" si="4"/>
        <v>8.3319932832419438E-2</v>
      </c>
      <c r="E287" s="188"/>
      <c r="L287" s="178"/>
      <c r="M287" s="179"/>
      <c r="N287" s="179"/>
    </row>
    <row r="288" spans="1:14" s="177" customFormat="1" ht="14">
      <c r="A288" s="186">
        <v>15584.725741558768</v>
      </c>
      <c r="B288" s="175">
        <v>0.18541682647012375</v>
      </c>
      <c r="C288" s="175">
        <v>0.28153830896209703</v>
      </c>
      <c r="D288" s="175">
        <f t="shared" si="4"/>
        <v>8.3522242063355859E-2</v>
      </c>
      <c r="E288" s="188"/>
      <c r="L288" s="178"/>
      <c r="M288" s="179"/>
      <c r="N288" s="179"/>
    </row>
    <row r="289" spans="1:14" s="177" customFormat="1" ht="14">
      <c r="A289" s="186">
        <v>15740.572998974356</v>
      </c>
      <c r="B289" s="175">
        <v>0.18534333538029732</v>
      </c>
      <c r="C289" s="175">
        <v>0.28133520799594092</v>
      </c>
      <c r="D289" s="175">
        <f t="shared" si="4"/>
        <v>8.3722108883544311E-2</v>
      </c>
      <c r="E289" s="188"/>
      <c r="L289" s="178"/>
      <c r="M289" s="179"/>
      <c r="N289" s="179"/>
    </row>
    <row r="290" spans="1:14" s="177" customFormat="1" ht="14">
      <c r="A290" s="186">
        <v>15897.978728964099</v>
      </c>
      <c r="B290" s="175">
        <v>0.18527102074922278</v>
      </c>
      <c r="C290" s="175">
        <v>0.28113440482372631</v>
      </c>
      <c r="D290" s="175">
        <f t="shared" si="4"/>
        <v>8.3919561791492653E-2</v>
      </c>
      <c r="E290" s="188"/>
      <c r="L290" s="178"/>
      <c r="M290" s="179"/>
      <c r="N290" s="179"/>
    </row>
    <row r="291" spans="1:14" s="177" customFormat="1" ht="14">
      <c r="A291" s="186">
        <v>16056.958516253741</v>
      </c>
      <c r="B291" s="175">
        <v>0.18519986119470025</v>
      </c>
      <c r="C291" s="175">
        <v>0.28093587732460901</v>
      </c>
      <c r="D291" s="175">
        <f t="shared" si="4"/>
        <v>8.4114629043189948E-2</v>
      </c>
      <c r="E291" s="188"/>
      <c r="L291" s="178"/>
      <c r="M291" s="179"/>
      <c r="N291" s="179"/>
    </row>
    <row r="292" spans="1:14" s="177" customFormat="1" ht="14">
      <c r="A292" s="186">
        <v>16217.528101416277</v>
      </c>
      <c r="B292" s="175">
        <v>0.18512983574447348</v>
      </c>
      <c r="C292" s="175">
        <v>0.28073960340211157</v>
      </c>
      <c r="D292" s="175">
        <f t="shared" si="4"/>
        <v>8.43073386507808E-2</v>
      </c>
      <c r="E292" s="188"/>
      <c r="L292" s="178"/>
      <c r="M292" s="179"/>
      <c r="N292" s="179"/>
    </row>
    <row r="293" spans="1:14" s="177" customFormat="1" ht="14">
      <c r="A293" s="186">
        <v>16379.70338243044</v>
      </c>
      <c r="B293" s="175">
        <v>0.18506092382891981</v>
      </c>
      <c r="C293" s="175">
        <v>0.28054556099217159</v>
      </c>
      <c r="D293" s="175">
        <f t="shared" si="4"/>
        <v>8.4497718381362927E-2</v>
      </c>
      <c r="E293" s="188"/>
      <c r="L293" s="178"/>
      <c r="M293" s="179"/>
      <c r="N293" s="179"/>
    </row>
    <row r="294" spans="1:14" s="177" customFormat="1" ht="14">
      <c r="A294" s="186">
        <v>16543.500416254745</v>
      </c>
      <c r="B294" s="175">
        <v>0.18499310527381979</v>
      </c>
      <c r="C294" s="175">
        <v>0.28035372807088699</v>
      </c>
      <c r="D294" s="175">
        <f t="shared" si="4"/>
        <v>8.4685795755905818E-2</v>
      </c>
      <c r="E294" s="188"/>
      <c r="L294" s="178"/>
      <c r="M294" s="179"/>
      <c r="N294" s="179"/>
    </row>
    <row r="295" spans="1:14" s="177" customFormat="1" ht="14">
      <c r="A295" s="186">
        <v>16708.935420417292</v>
      </c>
      <c r="B295" s="175">
        <v>0.18492636029321907</v>
      </c>
      <c r="C295" s="175">
        <v>0.28016408266195697</v>
      </c>
      <c r="D295" s="175">
        <f t="shared" si="4"/>
        <v>8.4871598048286423E-2</v>
      </c>
      <c r="E295" s="188"/>
      <c r="L295" s="178"/>
      <c r="M295" s="179"/>
      <c r="N295" s="179"/>
    </row>
    <row r="296" spans="1:14" s="177" customFormat="1" ht="14">
      <c r="A296" s="186">
        <v>16876.024774621466</v>
      </c>
      <c r="B296" s="175">
        <v>0.18486066948237437</v>
      </c>
      <c r="C296" s="175">
        <v>0.27997660284382847</v>
      </c>
      <c r="D296" s="175">
        <f t="shared" si="4"/>
        <v>8.5055152284443214E-2</v>
      </c>
      <c r="E296" s="188"/>
      <c r="L296" s="178"/>
      <c r="M296" s="179"/>
      <c r="N296" s="179"/>
    </row>
    <row r="297" spans="1:14" s="177" customFormat="1" ht="14">
      <c r="A297" s="186">
        <v>17044.78502236768</v>
      </c>
      <c r="B297" s="175">
        <v>0.18479601381079139</v>
      </c>
      <c r="C297" s="175">
        <v>0.27979126675655386</v>
      </c>
      <c r="D297" s="175">
        <f t="shared" si="4"/>
        <v>8.5236485241642082E-2</v>
      </c>
      <c r="E297" s="188"/>
      <c r="L297" s="178"/>
      <c r="M297" s="179"/>
      <c r="N297" s="179"/>
    </row>
    <row r="298" spans="1:14" s="177" customFormat="1" ht="14">
      <c r="A298" s="186">
        <v>17215.232872591358</v>
      </c>
      <c r="B298" s="175">
        <v>0.1847323746153498</v>
      </c>
      <c r="C298" s="175">
        <v>0.27960805260836352</v>
      </c>
      <c r="D298" s="175">
        <f t="shared" si="4"/>
        <v>8.5415623447857525E-2</v>
      </c>
      <c r="E298" s="188"/>
      <c r="L298" s="178"/>
      <c r="M298" s="179"/>
      <c r="N298" s="179"/>
    </row>
    <row r="299" spans="1:14" s="177" customFormat="1" ht="14">
      <c r="A299" s="186">
        <v>17387.385201317273</v>
      </c>
      <c r="B299" s="175">
        <v>0.18466973359352107</v>
      </c>
      <c r="C299" s="175">
        <v>0.27942693868196317</v>
      </c>
      <c r="D299" s="175">
        <f t="shared" si="4"/>
        <v>8.5592593181260931E-2</v>
      </c>
      <c r="E299" s="188"/>
      <c r="L299" s="178"/>
      <c r="M299" s="179"/>
      <c r="N299" s="179"/>
    </row>
    <row r="300" spans="1:14" s="177" customFormat="1" ht="14">
      <c r="A300" s="186">
        <v>17561.259053330446</v>
      </c>
      <c r="B300" s="175">
        <v>0.18460807279667713</v>
      </c>
      <c r="C300" s="175">
        <v>0.2792479033405586</v>
      </c>
      <c r="D300" s="175">
        <f t="shared" si="4"/>
        <v>8.5767420469817571E-2</v>
      </c>
      <c r="E300" s="188"/>
      <c r="L300" s="178"/>
      <c r="M300" s="179"/>
      <c r="N300" s="179"/>
    </row>
    <row r="301" spans="1:14" s="177" customFormat="1" ht="14">
      <c r="A301" s="186">
        <v>17736.871643863749</v>
      </c>
      <c r="B301" s="175">
        <v>0.18454737462349133</v>
      </c>
      <c r="C301" s="175">
        <v>0.27907092503361564</v>
      </c>
      <c r="D301" s="175">
        <f t="shared" si="4"/>
        <v>8.5940131090988553E-2</v>
      </c>
      <c r="E301" s="188"/>
      <c r="L301" s="178"/>
      <c r="M301" s="179"/>
      <c r="N301" s="179"/>
    </row>
    <row r="302" spans="1:14" s="177" customFormat="1" ht="14">
      <c r="A302" s="186">
        <v>17914.240360302389</v>
      </c>
      <c r="B302" s="175">
        <v>0.18448762181343278</v>
      </c>
      <c r="C302" s="175">
        <v>0.27889598230236173</v>
      </c>
      <c r="D302" s="175">
        <f t="shared" si="4"/>
        <v>8.6110750571534264E-2</v>
      </c>
      <c r="E302" s="188"/>
      <c r="L302" s="178"/>
      <c r="M302" s="179"/>
      <c r="N302" s="179"/>
    </row>
    <row r="303" spans="1:14" s="177" customFormat="1" ht="14">
      <c r="A303" s="186">
        <v>18093.382763905414</v>
      </c>
      <c r="B303" s="175">
        <v>0.18442879744035034</v>
      </c>
      <c r="C303" s="175">
        <v>0.27872305378503492</v>
      </c>
      <c r="D303" s="175">
        <f t="shared" si="4"/>
        <v>8.6279304187420219E-2</v>
      </c>
      <c r="E303" s="188"/>
      <c r="L303" s="178"/>
      <c r="M303" s="179"/>
      <c r="N303" s="179"/>
    </row>
    <row r="304" spans="1:14" s="177" customFormat="1" ht="14">
      <c r="A304" s="186">
        <v>18274.31659154447</v>
      </c>
      <c r="B304" s="175">
        <v>0.1843708849061543</v>
      </c>
      <c r="C304" s="175">
        <v>0.2785521182218858</v>
      </c>
      <c r="D304" s="175">
        <f t="shared" si="4"/>
        <v>8.6445816963817534E-2</v>
      </c>
      <c r="E304" s="188"/>
      <c r="L304" s="178"/>
      <c r="M304" s="179"/>
      <c r="N304" s="179"/>
    </row>
    <row r="305" spans="1:14" s="177" customFormat="1" ht="14">
      <c r="A305" s="186">
        <v>18457.059757459916</v>
      </c>
      <c r="B305" s="175">
        <v>0.1843138679345907</v>
      </c>
      <c r="C305" s="175">
        <v>0.278383154459939</v>
      </c>
      <c r="D305" s="175">
        <f t="shared" si="4"/>
        <v>8.6610313675199113E-2</v>
      </c>
      <c r="E305" s="188"/>
      <c r="L305" s="178"/>
      <c r="M305" s="179"/>
      <c r="N305" s="179"/>
    </row>
    <row r="306" spans="1:14" s="177" customFormat="1" ht="14">
      <c r="A306" s="186">
        <v>18641.630355034515</v>
      </c>
      <c r="B306" s="175">
        <v>0.184257730565105</v>
      </c>
      <c r="C306" s="175">
        <v>0.27821614145752144</v>
      </c>
      <c r="D306" s="175">
        <f t="shared" si="4"/>
        <v>8.6772818845530036E-2</v>
      </c>
      <c r="E306" s="188"/>
      <c r="L306" s="178"/>
      <c r="M306" s="179"/>
      <c r="N306" s="179"/>
    </row>
    <row r="307" spans="1:14" s="177" customFormat="1" ht="14">
      <c r="A307" s="186">
        <v>18828.046658584859</v>
      </c>
      <c r="B307" s="175">
        <v>0.1842024571468043</v>
      </c>
      <c r="C307" s="175">
        <v>0.27805105828856186</v>
      </c>
      <c r="D307" s="175">
        <f t="shared" si="4"/>
        <v>8.6933356748544674E-2</v>
      </c>
      <c r="E307" s="188"/>
      <c r="J307" s="175"/>
      <c r="K307" s="175"/>
      <c r="L307" s="175"/>
      <c r="M307" s="179"/>
      <c r="N307" s="179"/>
    </row>
    <row r="308" spans="1:14" s="177" customFormat="1" ht="14">
      <c r="A308" s="186">
        <v>19016.327125170708</v>
      </c>
      <c r="B308" s="175">
        <v>0.18414803233250993</v>
      </c>
      <c r="C308" s="175">
        <v>0.27788788414666798</v>
      </c>
      <c r="D308" s="175">
        <f t="shared" si="4"/>
        <v>8.7091951408113114E-2</v>
      </c>
      <c r="E308" s="188"/>
      <c r="J308" s="175"/>
      <c r="K308" s="175"/>
      <c r="L308" s="175"/>
      <c r="M308" s="179"/>
      <c r="N308" s="179"/>
    </row>
    <row r="309" spans="1:14" s="177" customFormat="1" ht="14">
      <c r="A309" s="186">
        <v>19206.490396422414</v>
      </c>
      <c r="B309" s="175">
        <v>0.18409444107290621</v>
      </c>
      <c r="C309" s="175">
        <v>0.27772659834898794</v>
      </c>
      <c r="D309" s="175">
        <f t="shared" si="4"/>
        <v>8.7248626598689663E-2</v>
      </c>
      <c r="E309" s="188"/>
      <c r="J309" s="175"/>
      <c r="K309" s="175"/>
      <c r="L309" s="175"/>
      <c r="M309" s="179"/>
      <c r="N309" s="179"/>
    </row>
    <row r="310" spans="1:14" s="177" customFormat="1" ht="14">
      <c r="A310" s="186">
        <v>19398.555300386637</v>
      </c>
      <c r="B310" s="175">
        <v>0.18404166861077778</v>
      </c>
      <c r="C310" s="175">
        <v>0.27756718033986227</v>
      </c>
      <c r="D310" s="175">
        <f t="shared" si="4"/>
        <v>8.7403405845845675E-2</v>
      </c>
      <c r="E310" s="188"/>
      <c r="J310" s="175"/>
      <c r="K310" s="175"/>
      <c r="L310" s="175"/>
      <c r="M310" s="179"/>
      <c r="N310" s="179"/>
    </row>
    <row r="311" spans="1:14" s="177" customFormat="1" ht="14">
      <c r="A311" s="186">
        <v>19592.540853390503</v>
      </c>
      <c r="B311" s="175">
        <v>0.18398970047534435</v>
      </c>
      <c r="C311" s="175">
        <v>0.27740960969427025</v>
      </c>
      <c r="D311" s="175">
        <f t="shared" si="4"/>
        <v>8.7556312426879238E-2</v>
      </c>
      <c r="E311" s="188"/>
      <c r="J311" s="175"/>
      <c r="K311" s="175"/>
      <c r="L311" s="175"/>
      <c r="M311" s="179"/>
      <c r="N311" s="179"/>
    </row>
    <row r="312" spans="1:14" s="177" customFormat="1" ht="14">
      <c r="A312" s="186">
        <v>19788.466261924408</v>
      </c>
      <c r="B312" s="175">
        <v>0.18393852247668613</v>
      </c>
      <c r="C312" s="175">
        <v>0.27725386612107961</v>
      </c>
      <c r="D312" s="175">
        <f t="shared" si="4"/>
        <v>8.7707369371501226E-2</v>
      </c>
      <c r="E312" s="188"/>
      <c r="J312" s="175"/>
      <c r="K312" s="175"/>
      <c r="L312" s="175"/>
      <c r="M312" s="179"/>
      <c r="N312" s="179"/>
    </row>
    <row r="313" spans="1:14" s="177" customFormat="1" ht="14">
      <c r="A313" s="186">
        <v>19986.350924543651</v>
      </c>
      <c r="B313" s="175">
        <v>0.18388812070025878</v>
      </c>
      <c r="C313" s="175">
        <v>0.27709992946610185</v>
      </c>
      <c r="D313" s="175">
        <f t="shared" si="4"/>
        <v>8.7856599462597995E-2</v>
      </c>
      <c r="E313" s="188"/>
      <c r="J313" s="175"/>
      <c r="K313" s="175"/>
      <c r="L313" s="175"/>
      <c r="M313" s="179"/>
      <c r="N313" s="179"/>
    </row>
    <row r="314" spans="1:14" s="177" customFormat="1" ht="14">
      <c r="A314" s="186">
        <v>20186.214433789086</v>
      </c>
      <c r="B314" s="175">
        <v>0.18383848150150325</v>
      </c>
      <c r="C314" s="175">
        <v>0.27694777971496243</v>
      </c>
      <c r="D314" s="175">
        <f t="shared" si="4"/>
        <v>8.8004025237061786E-2</v>
      </c>
      <c r="E314" s="188"/>
      <c r="J314" s="175"/>
      <c r="K314" s="175"/>
      <c r="L314" s="175"/>
      <c r="M314" s="179"/>
      <c r="N314" s="179"/>
    </row>
    <row r="315" spans="1:14">
      <c r="J315" s="175"/>
      <c r="K315" s="175"/>
      <c r="L315" s="175"/>
    </row>
    <row r="316" spans="1:14">
      <c r="J316" s="175"/>
      <c r="K316" s="175"/>
      <c r="L316" s="175"/>
    </row>
    <row r="317" spans="1:14">
      <c r="J317" s="175"/>
      <c r="K317" s="175"/>
      <c r="L317" s="175"/>
    </row>
    <row r="318" spans="1:14">
      <c r="J318" s="175"/>
      <c r="K318" s="175"/>
      <c r="L318" s="175"/>
    </row>
    <row r="319" spans="1:14">
      <c r="J319" s="175"/>
      <c r="K319" s="175"/>
      <c r="L319" s="175"/>
    </row>
    <row r="320" spans="1:14">
      <c r="J320" s="175"/>
      <c r="K320" s="175"/>
      <c r="L320" s="175"/>
    </row>
    <row r="321" spans="10:12">
      <c r="J321" s="175"/>
      <c r="K321" s="175"/>
      <c r="L321" s="175"/>
    </row>
    <row r="322" spans="10:12">
      <c r="J322" s="175"/>
      <c r="K322" s="175"/>
      <c r="L322" s="175"/>
    </row>
    <row r="323" spans="10:12">
      <c r="J323" s="175"/>
      <c r="K323" s="175"/>
      <c r="L323" s="175"/>
    </row>
    <row r="324" spans="10:12">
      <c r="J324" s="175"/>
      <c r="K324" s="175"/>
      <c r="L324" s="175"/>
    </row>
    <row r="325" spans="10:12">
      <c r="J325" s="175"/>
      <c r="K325" s="175"/>
      <c r="L325" s="175"/>
    </row>
    <row r="326" spans="10:12">
      <c r="J326" s="175"/>
      <c r="K326" s="175"/>
      <c r="L326" s="175"/>
    </row>
    <row r="327" spans="10:12">
      <c r="J327" s="175"/>
      <c r="K327" s="175"/>
      <c r="L327" s="175"/>
    </row>
    <row r="328" spans="10:12">
      <c r="J328" s="175"/>
      <c r="K328" s="175"/>
      <c r="L328" s="175"/>
    </row>
    <row r="329" spans="10:12">
      <c r="J329" s="175"/>
      <c r="K329" s="175"/>
      <c r="L329" s="175"/>
    </row>
    <row r="330" spans="10:12">
      <c r="J330" s="175"/>
      <c r="K330" s="175"/>
      <c r="L330" s="175"/>
    </row>
    <row r="331" spans="10:12">
      <c r="J331" s="175"/>
      <c r="K331" s="175"/>
      <c r="L331" s="175"/>
    </row>
    <row r="332" spans="10:12">
      <c r="J332" s="175"/>
      <c r="K332" s="175"/>
      <c r="L332" s="175"/>
    </row>
    <row r="333" spans="10:12">
      <c r="J333" s="175"/>
      <c r="K333" s="175"/>
      <c r="L333" s="175"/>
    </row>
    <row r="334" spans="10:12">
      <c r="J334" s="175"/>
      <c r="K334" s="175"/>
      <c r="L334" s="175"/>
    </row>
    <row r="335" spans="10:12">
      <c r="J335" s="175"/>
      <c r="K335" s="175"/>
      <c r="L335" s="175"/>
    </row>
    <row r="336" spans="10:12">
      <c r="J336" s="175"/>
      <c r="K336" s="175"/>
      <c r="L336" s="175"/>
    </row>
    <row r="337" spans="1:12">
      <c r="J337" s="175"/>
      <c r="K337" s="175"/>
      <c r="L337" s="175"/>
    </row>
    <row r="338" spans="1:12">
      <c r="J338" s="175"/>
      <c r="K338" s="175"/>
      <c r="L338" s="175"/>
    </row>
    <row r="339" spans="1:12">
      <c r="J339" s="175"/>
      <c r="K339" s="175"/>
      <c r="L339" s="175"/>
    </row>
    <row r="340" spans="1:12">
      <c r="J340" s="175"/>
      <c r="K340" s="175"/>
      <c r="L340" s="175"/>
    </row>
    <row r="341" spans="1:12">
      <c r="J341" s="175"/>
      <c r="K341" s="175"/>
      <c r="L341" s="175"/>
    </row>
    <row r="342" spans="1:12">
      <c r="J342" s="175"/>
      <c r="K342" s="175"/>
      <c r="L342" s="175"/>
    </row>
    <row r="343" spans="1:12">
      <c r="J343" s="175"/>
      <c r="K343" s="175"/>
      <c r="L343" s="175"/>
    </row>
    <row r="344" spans="1:12">
      <c r="J344" s="175"/>
      <c r="K344" s="175"/>
      <c r="L344" s="175"/>
    </row>
    <row r="345" spans="1:12">
      <c r="J345" s="175"/>
      <c r="K345" s="175"/>
      <c r="L345" s="175"/>
    </row>
    <row r="346" spans="1:12">
      <c r="J346" s="175"/>
      <c r="K346" s="175"/>
      <c r="L346" s="175"/>
    </row>
    <row r="347" spans="1:12" s="179" customFormat="1" ht="14">
      <c r="A347" s="186"/>
      <c r="B347" s="175"/>
      <c r="C347" s="175"/>
      <c r="D347" s="175"/>
      <c r="E347" s="176"/>
      <c r="F347" s="177"/>
      <c r="G347" s="177"/>
      <c r="H347" s="177"/>
      <c r="I347" s="177"/>
      <c r="J347" s="175"/>
      <c r="K347" s="175"/>
      <c r="L347" s="175" t="str">
        <f>I37</f>
        <v xml:space="preserve">   </v>
      </c>
    </row>
    <row r="348" spans="1:12">
      <c r="J348" s="175"/>
      <c r="K348" s="175"/>
      <c r="L348" s="175"/>
    </row>
    <row r="349" spans="1:12">
      <c r="J349" s="175"/>
      <c r="K349" s="175"/>
      <c r="L349" s="175"/>
    </row>
    <row r="350" spans="1:12">
      <c r="J350" s="175"/>
      <c r="K350" s="175"/>
      <c r="L350" s="175"/>
    </row>
    <row r="351" spans="1:12">
      <c r="J351" s="175"/>
      <c r="K351" s="175"/>
      <c r="L351" s="175"/>
    </row>
    <row r="352" spans="1:12">
      <c r="J352" s="175"/>
      <c r="K352" s="175"/>
      <c r="L352" s="175"/>
    </row>
    <row r="353" spans="10:12">
      <c r="J353" s="175"/>
      <c r="K353" s="175"/>
      <c r="L353" s="175"/>
    </row>
    <row r="354" spans="10:12">
      <c r="J354" s="175"/>
      <c r="K354" s="175"/>
      <c r="L354" s="175"/>
    </row>
    <row r="355" spans="10:12">
      <c r="J355" s="175"/>
      <c r="K355" s="175"/>
      <c r="L355" s="175"/>
    </row>
    <row r="356" spans="10:12">
      <c r="J356" s="175"/>
      <c r="K356" s="175"/>
      <c r="L356" s="175"/>
    </row>
    <row r="357" spans="10:12">
      <c r="J357" s="175"/>
      <c r="K357" s="175"/>
      <c r="L357" s="175"/>
    </row>
    <row r="358" spans="10:12">
      <c r="J358" s="175"/>
      <c r="K358" s="175"/>
      <c r="L358" s="175"/>
    </row>
    <row r="359" spans="10:12">
      <c r="J359" s="175"/>
      <c r="K359" s="175"/>
      <c r="L359" s="175"/>
    </row>
    <row r="360" spans="10:12">
      <c r="J360" s="175"/>
      <c r="K360" s="175"/>
      <c r="L360" s="175"/>
    </row>
    <row r="361" spans="10:12">
      <c r="J361" s="175"/>
      <c r="K361" s="175"/>
      <c r="L361" s="175"/>
    </row>
    <row r="362" spans="10:12">
      <c r="J362" s="175"/>
      <c r="K362" s="175"/>
      <c r="L362" s="175"/>
    </row>
    <row r="363" spans="10:12">
      <c r="J363" s="175"/>
      <c r="K363" s="175"/>
      <c r="L363" s="175"/>
    </row>
    <row r="364" spans="10:12">
      <c r="J364" s="175"/>
      <c r="K364" s="175"/>
      <c r="L364" s="175"/>
    </row>
    <row r="365" spans="10:12">
      <c r="J365" s="175"/>
      <c r="K365" s="175"/>
      <c r="L365" s="175"/>
    </row>
    <row r="366" spans="10:12">
      <c r="J366" s="175"/>
      <c r="K366" s="175"/>
      <c r="L366" s="175"/>
    </row>
    <row r="367" spans="10:12">
      <c r="J367" s="175"/>
      <c r="K367" s="175"/>
      <c r="L367" s="175"/>
    </row>
    <row r="368" spans="10:12">
      <c r="J368" s="175"/>
      <c r="K368" s="175"/>
      <c r="L368" s="175"/>
    </row>
    <row r="369" spans="10:12">
      <c r="J369" s="175"/>
      <c r="K369" s="175"/>
      <c r="L369" s="175"/>
    </row>
    <row r="370" spans="10:12">
      <c r="J370" s="175"/>
      <c r="K370" s="175"/>
      <c r="L370" s="175"/>
    </row>
    <row r="371" spans="10:12">
      <c r="J371" s="175"/>
      <c r="K371" s="175"/>
      <c r="L371" s="175"/>
    </row>
    <row r="372" spans="10:12">
      <c r="J372" s="175"/>
      <c r="K372" s="175"/>
      <c r="L372" s="175"/>
    </row>
    <row r="373" spans="10:12">
      <c r="J373" s="175"/>
      <c r="K373" s="175"/>
      <c r="L373" s="175"/>
    </row>
    <row r="374" spans="10:12">
      <c r="J374" s="175"/>
      <c r="K374" s="175"/>
      <c r="L374" s="175"/>
    </row>
    <row r="375" spans="10:12">
      <c r="J375" s="175"/>
      <c r="K375" s="175"/>
      <c r="L375" s="175"/>
    </row>
    <row r="376" spans="10:12">
      <c r="J376" s="175"/>
      <c r="K376" s="175"/>
      <c r="L376" s="175"/>
    </row>
    <row r="377" spans="10:12">
      <c r="J377" s="175"/>
      <c r="K377" s="175"/>
      <c r="L377" s="175"/>
    </row>
    <row r="378" spans="10:12">
      <c r="J378" s="175"/>
      <c r="K378" s="175"/>
      <c r="L378" s="175"/>
    </row>
    <row r="379" spans="10:12">
      <c r="J379" s="175"/>
      <c r="K379" s="175"/>
      <c r="L379" s="175"/>
    </row>
    <row r="380" spans="10:12">
      <c r="J380" s="175"/>
      <c r="K380" s="175"/>
      <c r="L380" s="175"/>
    </row>
    <row r="381" spans="10:12">
      <c r="J381" s="175"/>
      <c r="K381" s="175"/>
      <c r="L381" s="175"/>
    </row>
    <row r="382" spans="10:12">
      <c r="J382" s="175"/>
      <c r="K382" s="175"/>
      <c r="L382" s="175"/>
    </row>
    <row r="383" spans="10:12">
      <c r="J383" s="175"/>
      <c r="K383" s="175"/>
      <c r="L383" s="175"/>
    </row>
    <row r="384" spans="10:12">
      <c r="J384" s="175"/>
      <c r="K384" s="175"/>
      <c r="L384" s="175"/>
    </row>
    <row r="385" spans="10:12">
      <c r="J385" s="175"/>
      <c r="K385" s="175"/>
      <c r="L385" s="175"/>
    </row>
    <row r="386" spans="10:12">
      <c r="J386" s="175"/>
      <c r="K386" s="175"/>
      <c r="L386" s="175"/>
    </row>
    <row r="387" spans="10:12">
      <c r="J387" s="175"/>
      <c r="K387" s="175"/>
      <c r="L387" s="175"/>
    </row>
    <row r="388" spans="10:12">
      <c r="J388" s="175"/>
      <c r="K388" s="175"/>
      <c r="L388" s="175"/>
    </row>
    <row r="389" spans="10:12">
      <c r="J389" s="175"/>
      <c r="K389" s="175"/>
      <c r="L389" s="175"/>
    </row>
    <row r="390" spans="10:12">
      <c r="J390" s="175"/>
      <c r="K390" s="175"/>
      <c r="L390" s="175"/>
    </row>
    <row r="391" spans="10:12">
      <c r="J391" s="175"/>
      <c r="K391" s="175"/>
      <c r="L391" s="175"/>
    </row>
    <row r="392" spans="10:12">
      <c r="J392" s="175"/>
      <c r="K392" s="175"/>
      <c r="L392" s="175"/>
    </row>
    <row r="393" spans="10:12">
      <c r="J393" s="175"/>
      <c r="K393" s="175"/>
      <c r="L393" s="175"/>
    </row>
    <row r="394" spans="10:12">
      <c r="J394" s="175"/>
      <c r="K394" s="175"/>
      <c r="L394" s="175"/>
    </row>
    <row r="395" spans="10:12">
      <c r="J395" s="175"/>
      <c r="K395" s="175"/>
      <c r="L395" s="175"/>
    </row>
    <row r="396" spans="10:12">
      <c r="J396" s="175"/>
      <c r="K396" s="175"/>
      <c r="L396" s="175"/>
    </row>
    <row r="397" spans="10:12">
      <c r="J397" s="175"/>
      <c r="K397" s="175"/>
      <c r="L397" s="175"/>
    </row>
    <row r="398" spans="10:12">
      <c r="J398" s="175"/>
      <c r="K398" s="175"/>
      <c r="L398" s="175"/>
    </row>
    <row r="399" spans="10:12">
      <c r="J399" s="175"/>
      <c r="K399" s="175"/>
      <c r="L399" s="175"/>
    </row>
    <row r="400" spans="10:12">
      <c r="J400" s="175"/>
      <c r="K400" s="175"/>
      <c r="L400" s="175"/>
    </row>
    <row r="401" spans="10:12">
      <c r="J401" s="175"/>
      <c r="K401" s="175"/>
      <c r="L401" s="175"/>
    </row>
    <row r="402" spans="10:12">
      <c r="J402" s="175"/>
      <c r="K402" s="175"/>
      <c r="L402" s="175"/>
    </row>
    <row r="403" spans="10:12">
      <c r="J403" s="175"/>
      <c r="K403" s="175"/>
      <c r="L403" s="175"/>
    </row>
    <row r="404" spans="10:12">
      <c r="J404" s="175"/>
      <c r="K404" s="175"/>
      <c r="L404" s="175"/>
    </row>
    <row r="405" spans="10:12">
      <c r="J405" s="175"/>
      <c r="K405" s="175"/>
      <c r="L405" s="175"/>
    </row>
    <row r="406" spans="10:12">
      <c r="J406" s="175"/>
      <c r="K406" s="175"/>
      <c r="L406" s="175"/>
    </row>
    <row r="407" spans="10:12">
      <c r="J407" s="175"/>
      <c r="K407" s="175"/>
      <c r="L407" s="175"/>
    </row>
    <row r="408" spans="10:12">
      <c r="J408" s="175"/>
      <c r="K408" s="175"/>
      <c r="L408" s="175"/>
    </row>
    <row r="409" spans="10:12">
      <c r="J409" s="175"/>
      <c r="K409" s="175"/>
      <c r="L409" s="175"/>
    </row>
    <row r="410" spans="10:12">
      <c r="J410" s="175"/>
      <c r="K410" s="175"/>
      <c r="L410" s="175"/>
    </row>
    <row r="411" spans="10:12">
      <c r="J411" s="175"/>
      <c r="K411" s="175"/>
      <c r="L411" s="175"/>
    </row>
    <row r="412" spans="10:12">
      <c r="J412" s="175"/>
      <c r="K412" s="175"/>
      <c r="L412" s="175"/>
    </row>
    <row r="413" spans="10:12">
      <c r="J413" s="175"/>
      <c r="K413" s="175"/>
      <c r="L413" s="175"/>
    </row>
    <row r="414" spans="10:12">
      <c r="J414" s="175"/>
      <c r="K414" s="175"/>
      <c r="L414" s="175"/>
    </row>
    <row r="415" spans="10:12">
      <c r="J415" s="175"/>
      <c r="K415" s="175"/>
      <c r="L415" s="175"/>
    </row>
    <row r="416" spans="10:12">
      <c r="J416" s="175"/>
      <c r="K416" s="175"/>
      <c r="L416" s="175"/>
    </row>
    <row r="417" spans="10:12">
      <c r="J417" s="175"/>
      <c r="K417" s="175"/>
      <c r="L417" s="175"/>
    </row>
    <row r="418" spans="10:12">
      <c r="J418" s="175"/>
      <c r="K418" s="175"/>
      <c r="L418" s="175"/>
    </row>
    <row r="419" spans="10:12">
      <c r="J419" s="175"/>
      <c r="K419" s="175"/>
      <c r="L419" s="175"/>
    </row>
    <row r="420" spans="10:12">
      <c r="J420" s="175"/>
      <c r="K420" s="175"/>
      <c r="L420" s="175"/>
    </row>
    <row r="421" spans="10:12">
      <c r="J421" s="175"/>
      <c r="K421" s="175"/>
      <c r="L421" s="175"/>
    </row>
    <row r="422" spans="10:12">
      <c r="J422" s="175"/>
      <c r="K422" s="175"/>
      <c r="L422" s="175"/>
    </row>
    <row r="423" spans="10:12">
      <c r="J423" s="175"/>
      <c r="K423" s="175"/>
      <c r="L423" s="175"/>
    </row>
    <row r="424" spans="10:12">
      <c r="J424" s="175"/>
      <c r="K424" s="175"/>
      <c r="L424" s="175"/>
    </row>
    <row r="425" spans="10:12">
      <c r="J425" s="175"/>
      <c r="K425" s="175"/>
      <c r="L425" s="175"/>
    </row>
    <row r="426" spans="10:12">
      <c r="J426" s="175"/>
      <c r="K426" s="175"/>
      <c r="L426" s="175"/>
    </row>
    <row r="427" spans="10:12">
      <c r="J427" s="175"/>
      <c r="K427" s="175"/>
      <c r="L427" s="175"/>
    </row>
    <row r="428" spans="10:12">
      <c r="J428" s="175"/>
      <c r="K428" s="175"/>
      <c r="L428" s="175"/>
    </row>
    <row r="429" spans="10:12">
      <c r="J429" s="175"/>
      <c r="K429" s="175"/>
      <c r="L429" s="175"/>
    </row>
    <row r="430" spans="10:12">
      <c r="J430" s="175"/>
      <c r="K430" s="175"/>
      <c r="L430" s="175"/>
    </row>
    <row r="431" spans="10:12">
      <c r="J431" s="175"/>
      <c r="K431" s="175"/>
      <c r="L431" s="175"/>
    </row>
    <row r="432" spans="10:12">
      <c r="J432" s="175"/>
      <c r="K432" s="175"/>
      <c r="L432" s="175"/>
    </row>
    <row r="433" spans="10:12">
      <c r="J433" s="175"/>
      <c r="K433" s="175"/>
      <c r="L433" s="175"/>
    </row>
    <row r="434" spans="10:12">
      <c r="J434" s="175"/>
      <c r="K434" s="175"/>
      <c r="L434" s="175"/>
    </row>
    <row r="435" spans="10:12">
      <c r="J435" s="175"/>
      <c r="K435" s="175"/>
      <c r="L435" s="175"/>
    </row>
    <row r="436" spans="10:12">
      <c r="J436" s="175"/>
      <c r="K436" s="175"/>
      <c r="L436" s="175"/>
    </row>
    <row r="437" spans="10:12">
      <c r="J437" s="175"/>
      <c r="K437" s="175"/>
      <c r="L437" s="175"/>
    </row>
    <row r="438" spans="10:12">
      <c r="J438" s="175"/>
      <c r="K438" s="175"/>
      <c r="L438" s="175"/>
    </row>
    <row r="439" spans="10:12">
      <c r="J439" s="175"/>
      <c r="K439" s="175"/>
      <c r="L439" s="175"/>
    </row>
    <row r="440" spans="10:12">
      <c r="J440" s="175"/>
      <c r="K440" s="175"/>
      <c r="L440" s="175"/>
    </row>
    <row r="441" spans="10:12">
      <c r="J441" s="175"/>
      <c r="K441" s="175"/>
      <c r="L441" s="175"/>
    </row>
    <row r="442" spans="10:12">
      <c r="J442" s="175"/>
      <c r="K442" s="175"/>
      <c r="L442" s="175"/>
    </row>
    <row r="443" spans="10:12">
      <c r="J443" s="175"/>
      <c r="K443" s="175"/>
      <c r="L443" s="175"/>
    </row>
    <row r="444" spans="10:12">
      <c r="J444" s="175"/>
      <c r="K444" s="175"/>
      <c r="L444" s="175"/>
    </row>
    <row r="445" spans="10:12">
      <c r="J445" s="175"/>
      <c r="K445" s="175"/>
      <c r="L445" s="175"/>
    </row>
    <row r="446" spans="10:12">
      <c r="J446" s="175"/>
      <c r="K446" s="175"/>
      <c r="L446" s="175"/>
    </row>
    <row r="447" spans="10:12">
      <c r="J447" s="175"/>
      <c r="K447" s="175"/>
      <c r="L447" s="175"/>
    </row>
    <row r="448" spans="10:12">
      <c r="J448" s="175"/>
      <c r="K448" s="175"/>
      <c r="L448" s="175"/>
    </row>
    <row r="449" spans="10:12">
      <c r="J449" s="175"/>
      <c r="K449" s="175"/>
      <c r="L449" s="175"/>
    </row>
    <row r="450" spans="10:12">
      <c r="J450" s="175"/>
      <c r="K450" s="175"/>
      <c r="L450" s="175"/>
    </row>
    <row r="451" spans="10:12">
      <c r="J451" s="175"/>
      <c r="K451" s="175"/>
      <c r="L451" s="175"/>
    </row>
    <row r="452" spans="10:12">
      <c r="J452" s="175"/>
      <c r="K452" s="175"/>
      <c r="L452" s="175"/>
    </row>
    <row r="453" spans="10:12">
      <c r="J453" s="175"/>
      <c r="K453" s="175"/>
      <c r="L453" s="175"/>
    </row>
    <row r="454" spans="10:12">
      <c r="J454" s="206"/>
      <c r="K454" s="206"/>
      <c r="L454" s="206"/>
    </row>
    <row r="455" spans="10:12">
      <c r="J455" s="206"/>
      <c r="K455" s="206"/>
      <c r="L455" s="206"/>
    </row>
    <row r="456" spans="10:12">
      <c r="J456" s="206"/>
      <c r="K456" s="206"/>
      <c r="L456" s="206"/>
    </row>
    <row r="457" spans="10:12">
      <c r="J457" s="206"/>
      <c r="K457" s="206"/>
      <c r="L457" s="206"/>
    </row>
    <row r="458" spans="10:12">
      <c r="J458" s="206"/>
      <c r="K458" s="206"/>
      <c r="L458" s="206"/>
    </row>
    <row r="459" spans="10:12">
      <c r="J459" s="175"/>
      <c r="K459" s="175"/>
      <c r="L459" s="175"/>
    </row>
    <row r="460" spans="10:12">
      <c r="J460" s="175"/>
      <c r="K460" s="175"/>
      <c r="L460" s="175"/>
    </row>
    <row r="461" spans="10:12">
      <c r="J461" s="175"/>
      <c r="K461" s="175"/>
      <c r="L461" s="175"/>
    </row>
    <row r="462" spans="10:12">
      <c r="J462" s="175"/>
      <c r="K462" s="175"/>
      <c r="L462" s="175"/>
    </row>
    <row r="463" spans="10:12">
      <c r="J463" s="175"/>
      <c r="K463" s="175"/>
      <c r="L463" s="175"/>
    </row>
    <row r="464" spans="10:12">
      <c r="J464" s="175"/>
      <c r="K464" s="175"/>
      <c r="L464" s="175"/>
    </row>
    <row r="465" spans="1:14" s="179" customFormat="1" ht="14">
      <c r="A465" s="186"/>
      <c r="B465" s="175"/>
      <c r="C465" s="175"/>
      <c r="D465" s="175"/>
      <c r="E465" s="176"/>
      <c r="F465" s="177"/>
      <c r="G465" s="177"/>
      <c r="H465" s="177"/>
      <c r="I465" s="177"/>
      <c r="J465" s="175"/>
      <c r="K465" s="175"/>
      <c r="L465" s="175"/>
    </row>
    <row r="466" spans="1:14">
      <c r="J466" s="175"/>
      <c r="K466" s="175"/>
      <c r="L466" s="175"/>
    </row>
    <row r="467" spans="1:14">
      <c r="J467" s="175"/>
      <c r="K467" s="175"/>
      <c r="L467" s="175"/>
    </row>
    <row r="468" spans="1:14">
      <c r="J468" s="175"/>
      <c r="K468" s="175"/>
      <c r="L468" s="175"/>
    </row>
    <row r="469" spans="1:14">
      <c r="J469" s="175"/>
      <c r="K469" s="175"/>
      <c r="L469" s="175"/>
    </row>
    <row r="470" spans="1:14">
      <c r="J470" s="175"/>
      <c r="K470" s="175"/>
      <c r="L470" s="175"/>
    </row>
    <row r="471" spans="1:14">
      <c r="J471" s="175"/>
      <c r="K471" s="175"/>
      <c r="L471" s="175"/>
    </row>
    <row r="472" spans="1:14">
      <c r="J472" s="175"/>
      <c r="K472" s="175"/>
      <c r="L472" s="175"/>
    </row>
    <row r="473" spans="1:14">
      <c r="J473" s="175"/>
      <c r="K473" s="175"/>
      <c r="L473" s="175"/>
    </row>
    <row r="474" spans="1:14">
      <c r="J474" s="175"/>
      <c r="K474" s="175"/>
      <c r="L474" s="175"/>
    </row>
    <row r="475" spans="1:14">
      <c r="J475" s="175"/>
      <c r="K475" s="175"/>
      <c r="L475" s="175"/>
    </row>
    <row r="476" spans="1:14">
      <c r="J476" s="175"/>
      <c r="K476" s="175"/>
      <c r="L476" s="175"/>
    </row>
    <row r="477" spans="1:14">
      <c r="J477" s="175"/>
      <c r="K477" s="175"/>
      <c r="L477" s="175"/>
    </row>
    <row r="478" spans="1:14" s="177" customFormat="1" ht="14">
      <c r="A478" s="186"/>
      <c r="B478" s="175"/>
      <c r="C478" s="175"/>
      <c r="D478" s="175"/>
      <c r="E478" s="176"/>
      <c r="J478" s="175"/>
      <c r="K478" s="175"/>
      <c r="L478" s="175"/>
      <c r="M478" s="179"/>
      <c r="N478" s="179"/>
    </row>
    <row r="479" spans="1:14">
      <c r="J479" s="175"/>
      <c r="K479" s="175"/>
      <c r="L479" s="175"/>
    </row>
    <row r="480" spans="1:14">
      <c r="J480" s="175"/>
      <c r="K480" s="175"/>
      <c r="L480" s="175"/>
    </row>
    <row r="481" spans="10:12">
      <c r="J481" s="175"/>
      <c r="K481" s="175"/>
      <c r="L481" s="175"/>
    </row>
    <row r="482" spans="10:12">
      <c r="J482" s="175"/>
      <c r="K482" s="175"/>
      <c r="L482" s="175"/>
    </row>
    <row r="483" spans="10:12">
      <c r="J483" s="175"/>
      <c r="K483" s="175"/>
      <c r="L483" s="175"/>
    </row>
    <row r="484" spans="10:12">
      <c r="J484" s="175"/>
      <c r="K484" s="175"/>
      <c r="L484" s="175"/>
    </row>
    <row r="485" spans="10:12">
      <c r="J485" s="175"/>
      <c r="K485" s="175"/>
      <c r="L485" s="175"/>
    </row>
    <row r="486" spans="10:12">
      <c r="J486" s="175"/>
      <c r="K486" s="175"/>
      <c r="L486" s="175"/>
    </row>
    <row r="487" spans="10:12">
      <c r="J487" s="175"/>
      <c r="K487" s="175"/>
      <c r="L487" s="175"/>
    </row>
    <row r="488" spans="10:12">
      <c r="J488" s="175"/>
      <c r="K488" s="175"/>
      <c r="L488" s="175"/>
    </row>
    <row r="489" spans="10:12">
      <c r="J489" s="175"/>
      <c r="K489" s="175"/>
      <c r="L489" s="175"/>
    </row>
    <row r="490" spans="10:12">
      <c r="J490" s="175"/>
      <c r="K490" s="175"/>
      <c r="L490" s="175"/>
    </row>
    <row r="491" spans="10:12">
      <c r="J491" s="175"/>
      <c r="K491" s="175"/>
      <c r="L491" s="175"/>
    </row>
    <row r="492" spans="10:12">
      <c r="J492" s="175"/>
      <c r="K492" s="175"/>
      <c r="L492" s="175"/>
    </row>
    <row r="493" spans="10:12">
      <c r="J493" s="175"/>
      <c r="K493" s="175"/>
      <c r="L493" s="175"/>
    </row>
    <row r="494" spans="10:12">
      <c r="J494" s="175"/>
      <c r="K494" s="175"/>
      <c r="L494" s="175"/>
    </row>
    <row r="495" spans="10:12">
      <c r="J495" s="175"/>
      <c r="K495" s="175"/>
      <c r="L495" s="175"/>
    </row>
    <row r="496" spans="10:12">
      <c r="J496" s="175"/>
      <c r="K496" s="175"/>
      <c r="L496" s="175"/>
    </row>
    <row r="497" spans="10:12">
      <c r="J497" s="175"/>
      <c r="K497" s="175"/>
      <c r="L497" s="175"/>
    </row>
    <row r="498" spans="10:12">
      <c r="J498" s="175"/>
      <c r="K498" s="175"/>
      <c r="L498" s="175"/>
    </row>
    <row r="499" spans="10:12">
      <c r="J499" s="175"/>
      <c r="K499" s="175"/>
      <c r="L499" s="175"/>
    </row>
    <row r="500" spans="10:12">
      <c r="J500" s="175"/>
      <c r="K500" s="175"/>
      <c r="L500" s="175"/>
    </row>
    <row r="501" spans="10:12">
      <c r="J501" s="175"/>
      <c r="K501" s="175"/>
      <c r="L501" s="175"/>
    </row>
    <row r="502" spans="10:12">
      <c r="J502" s="175"/>
      <c r="K502" s="175"/>
      <c r="L502" s="175"/>
    </row>
    <row r="503" spans="10:12">
      <c r="J503" s="175"/>
      <c r="K503" s="175"/>
      <c r="L503" s="175"/>
    </row>
    <row r="504" spans="10:12">
      <c r="J504" s="175"/>
      <c r="K504" s="175"/>
      <c r="L504" s="175"/>
    </row>
    <row r="505" spans="10:12">
      <c r="J505" s="175"/>
      <c r="K505" s="175"/>
      <c r="L505" s="175"/>
    </row>
    <row r="506" spans="10:12">
      <c r="J506" s="175"/>
      <c r="K506" s="175"/>
      <c r="L506" s="175"/>
    </row>
    <row r="507" spans="10:12">
      <c r="J507" s="175"/>
      <c r="K507" s="175"/>
      <c r="L507" s="175"/>
    </row>
    <row r="508" spans="10:12">
      <c r="J508" s="175"/>
      <c r="K508" s="175"/>
      <c r="L508" s="175"/>
    </row>
    <row r="509" spans="10:12">
      <c r="J509" s="175"/>
      <c r="K509" s="175"/>
      <c r="L509" s="175"/>
    </row>
    <row r="510" spans="10:12">
      <c r="J510" s="175"/>
      <c r="K510" s="175"/>
      <c r="L510" s="175"/>
    </row>
    <row r="511" spans="10:12">
      <c r="J511" s="175"/>
      <c r="K511" s="175"/>
      <c r="L511" s="175"/>
    </row>
    <row r="512" spans="10:12">
      <c r="J512" s="175"/>
      <c r="K512" s="175"/>
      <c r="L512" s="175"/>
    </row>
    <row r="513" spans="10:12">
      <c r="J513" s="175"/>
      <c r="K513" s="175"/>
      <c r="L513" s="175"/>
    </row>
    <row r="514" spans="10:12">
      <c r="J514" s="175"/>
      <c r="K514" s="175"/>
      <c r="L514" s="175"/>
    </row>
    <row r="515" spans="10:12">
      <c r="J515" s="175"/>
      <c r="K515" s="175"/>
      <c r="L515" s="175"/>
    </row>
    <row r="516" spans="10:12">
      <c r="J516" s="175"/>
      <c r="K516" s="175"/>
      <c r="L516" s="175"/>
    </row>
    <row r="517" spans="10:12">
      <c r="J517" s="175"/>
      <c r="K517" s="175"/>
      <c r="L517" s="175"/>
    </row>
    <row r="518" spans="10:12">
      <c r="J518" s="175"/>
      <c r="K518" s="175"/>
      <c r="L518" s="175"/>
    </row>
    <row r="519" spans="10:12">
      <c r="J519" s="175"/>
      <c r="K519" s="175"/>
      <c r="L519" s="175"/>
    </row>
    <row r="520" spans="10:12">
      <c r="J520" s="175"/>
      <c r="K520" s="175"/>
      <c r="L520" s="175"/>
    </row>
    <row r="521" spans="10:12">
      <c r="J521" s="175"/>
      <c r="K521" s="175"/>
      <c r="L521" s="175"/>
    </row>
    <row r="522" spans="10:12">
      <c r="J522" s="175"/>
      <c r="K522" s="175"/>
      <c r="L522" s="175"/>
    </row>
    <row r="523" spans="10:12">
      <c r="J523" s="175"/>
      <c r="K523" s="175"/>
      <c r="L523" s="175"/>
    </row>
    <row r="524" spans="10:12">
      <c r="J524" s="175"/>
      <c r="K524" s="175"/>
      <c r="L524" s="175"/>
    </row>
    <row r="525" spans="10:12">
      <c r="J525" s="175"/>
      <c r="K525" s="175"/>
      <c r="L525" s="175"/>
    </row>
    <row r="526" spans="10:12">
      <c r="J526" s="175"/>
      <c r="K526" s="175"/>
      <c r="L526" s="175"/>
    </row>
    <row r="527" spans="10:12">
      <c r="J527" s="175"/>
      <c r="K527" s="175"/>
      <c r="L527" s="175"/>
    </row>
    <row r="528" spans="10:12">
      <c r="J528" s="175"/>
      <c r="K528" s="175"/>
      <c r="L528" s="175"/>
    </row>
    <row r="529" spans="10:12">
      <c r="J529" s="175"/>
      <c r="K529" s="175"/>
      <c r="L529" s="175"/>
    </row>
    <row r="530" spans="10:12">
      <c r="J530" s="175"/>
      <c r="K530" s="175"/>
      <c r="L530" s="175"/>
    </row>
    <row r="531" spans="10:12">
      <c r="J531" s="175"/>
      <c r="K531" s="175"/>
      <c r="L531" s="175"/>
    </row>
    <row r="532" spans="10:12">
      <c r="J532" s="175"/>
      <c r="K532" s="175"/>
      <c r="L532" s="175"/>
    </row>
    <row r="533" spans="10:12">
      <c r="J533" s="175"/>
      <c r="K533" s="175"/>
      <c r="L533" s="175"/>
    </row>
    <row r="534" spans="10:12">
      <c r="J534" s="175"/>
      <c r="K534" s="175"/>
      <c r="L534" s="175"/>
    </row>
    <row r="535" spans="10:12">
      <c r="J535" s="175"/>
      <c r="K535" s="175"/>
      <c r="L535" s="175"/>
    </row>
    <row r="536" spans="10:12">
      <c r="J536" s="175"/>
      <c r="K536" s="175"/>
      <c r="L536" s="175"/>
    </row>
    <row r="537" spans="10:12">
      <c r="J537" s="175"/>
      <c r="K537" s="175"/>
      <c r="L537" s="175"/>
    </row>
    <row r="538" spans="10:12">
      <c r="J538" s="175"/>
      <c r="K538" s="175"/>
      <c r="L538" s="175"/>
    </row>
    <row r="539" spans="10:12">
      <c r="J539" s="175"/>
      <c r="K539" s="175"/>
      <c r="L539" s="175"/>
    </row>
    <row r="540" spans="10:12">
      <c r="J540" s="175"/>
      <c r="K540" s="175"/>
      <c r="L540" s="175"/>
    </row>
    <row r="541" spans="10:12">
      <c r="J541" s="175"/>
      <c r="K541" s="175"/>
      <c r="L541" s="175"/>
    </row>
    <row r="542" spans="10:12">
      <c r="J542" s="175"/>
      <c r="K542" s="175"/>
      <c r="L542" s="175"/>
    </row>
    <row r="543" spans="10:12">
      <c r="J543" s="175"/>
      <c r="K543" s="175"/>
      <c r="L543" s="175"/>
    </row>
    <row r="544" spans="10:12">
      <c r="J544" s="175"/>
      <c r="K544" s="175"/>
      <c r="L544" s="175"/>
    </row>
    <row r="545" spans="10:12">
      <c r="J545" s="175"/>
      <c r="K545" s="175"/>
      <c r="L545" s="175"/>
    </row>
    <row r="546" spans="10:12">
      <c r="J546" s="175"/>
      <c r="K546" s="175"/>
      <c r="L546" s="175"/>
    </row>
    <row r="547" spans="10:12">
      <c r="J547" s="175"/>
      <c r="K547" s="175"/>
      <c r="L547" s="175"/>
    </row>
    <row r="548" spans="10:12">
      <c r="J548" s="175"/>
      <c r="K548" s="175"/>
      <c r="L548" s="175"/>
    </row>
    <row r="549" spans="10:12">
      <c r="J549" s="175"/>
      <c r="K549" s="175"/>
      <c r="L549" s="175"/>
    </row>
    <row r="550" spans="10:12">
      <c r="J550" s="175"/>
      <c r="K550" s="175"/>
      <c r="L550" s="175"/>
    </row>
    <row r="551" spans="10:12">
      <c r="J551" s="175"/>
      <c r="K551" s="175"/>
      <c r="L551" s="175"/>
    </row>
    <row r="552" spans="10:12">
      <c r="J552" s="175"/>
      <c r="K552" s="175"/>
      <c r="L552" s="175"/>
    </row>
    <row r="553" spans="10:12">
      <c r="J553" s="175"/>
      <c r="K553" s="175"/>
      <c r="L553" s="175"/>
    </row>
    <row r="554" spans="10:12">
      <c r="J554" s="175"/>
      <c r="K554" s="175"/>
      <c r="L554" s="175"/>
    </row>
    <row r="555" spans="10:12">
      <c r="J555" s="175"/>
      <c r="K555" s="175"/>
      <c r="L555" s="175"/>
    </row>
    <row r="556" spans="10:12">
      <c r="J556" s="175"/>
      <c r="K556" s="175"/>
      <c r="L556" s="175"/>
    </row>
    <row r="557" spans="10:12">
      <c r="J557" s="175"/>
      <c r="K557" s="175"/>
      <c r="L557" s="175"/>
    </row>
    <row r="558" spans="10:12">
      <c r="J558" s="175"/>
      <c r="K558" s="175"/>
      <c r="L558" s="175"/>
    </row>
    <row r="559" spans="10:12">
      <c r="J559" s="175"/>
      <c r="K559" s="175"/>
      <c r="L559" s="175"/>
    </row>
    <row r="560" spans="10:12">
      <c r="J560" s="175"/>
      <c r="K560" s="175"/>
      <c r="L560" s="175"/>
    </row>
    <row r="561" spans="10:12">
      <c r="J561" s="175"/>
      <c r="K561" s="175"/>
      <c r="L561" s="175"/>
    </row>
    <row r="562" spans="10:12">
      <c r="J562" s="175"/>
      <c r="K562" s="175"/>
      <c r="L562" s="175"/>
    </row>
    <row r="563" spans="10:12">
      <c r="J563" s="175"/>
      <c r="K563" s="175"/>
      <c r="L563" s="175"/>
    </row>
    <row r="564" spans="10:12">
      <c r="J564" s="175"/>
      <c r="K564" s="175"/>
      <c r="L564" s="175"/>
    </row>
    <row r="565" spans="10:12">
      <c r="J565" s="175"/>
      <c r="K565" s="175"/>
      <c r="L565" s="175"/>
    </row>
    <row r="566" spans="10:12">
      <c r="J566" s="175"/>
      <c r="K566" s="175"/>
      <c r="L566" s="175"/>
    </row>
    <row r="567" spans="10:12">
      <c r="J567" s="175"/>
      <c r="K567" s="175"/>
      <c r="L567" s="175"/>
    </row>
    <row r="568" spans="10:12">
      <c r="J568" s="175"/>
      <c r="K568" s="175"/>
      <c r="L568" s="175"/>
    </row>
    <row r="569" spans="10:12">
      <c r="J569" s="175"/>
      <c r="K569" s="175"/>
      <c r="L569" s="175"/>
    </row>
    <row r="570" spans="10:12">
      <c r="J570" s="175"/>
      <c r="K570" s="175"/>
      <c r="L570" s="175"/>
    </row>
    <row r="571" spans="10:12">
      <c r="J571" s="175"/>
      <c r="K571" s="175"/>
      <c r="L571" s="175"/>
    </row>
    <row r="572" spans="10:12">
      <c r="J572" s="175"/>
      <c r="K572" s="175"/>
      <c r="L572" s="175"/>
    </row>
    <row r="573" spans="10:12">
      <c r="J573" s="175"/>
      <c r="K573" s="175"/>
      <c r="L573" s="175"/>
    </row>
    <row r="574" spans="10:12">
      <c r="J574" s="175"/>
      <c r="K574" s="175"/>
      <c r="L574" s="175"/>
    </row>
    <row r="575" spans="10:12">
      <c r="J575" s="175"/>
      <c r="K575" s="175"/>
      <c r="L575" s="175"/>
    </row>
    <row r="576" spans="10:12">
      <c r="J576" s="175"/>
      <c r="K576" s="175"/>
      <c r="L576" s="175"/>
    </row>
    <row r="577" spans="10:12">
      <c r="J577" s="175"/>
      <c r="K577" s="175"/>
      <c r="L577" s="175"/>
    </row>
    <row r="578" spans="10:12">
      <c r="J578" s="175"/>
      <c r="K578" s="175"/>
      <c r="L578" s="175"/>
    </row>
    <row r="579" spans="10:12">
      <c r="J579" s="175"/>
      <c r="K579" s="175"/>
      <c r="L579" s="175"/>
    </row>
    <row r="580" spans="10:12">
      <c r="J580" s="175"/>
      <c r="K580" s="175"/>
      <c r="L580" s="175"/>
    </row>
    <row r="581" spans="10:12">
      <c r="J581" s="175"/>
      <c r="K581" s="175"/>
      <c r="L581" s="175"/>
    </row>
    <row r="582" spans="10:12">
      <c r="J582" s="175"/>
      <c r="K582" s="175"/>
      <c r="L582" s="175"/>
    </row>
    <row r="583" spans="10:12">
      <c r="J583" s="175"/>
      <c r="K583" s="175"/>
      <c r="L583" s="175"/>
    </row>
    <row r="584" spans="10:12">
      <c r="J584" s="175"/>
      <c r="K584" s="175"/>
      <c r="L584" s="175"/>
    </row>
    <row r="585" spans="10:12">
      <c r="J585" s="175"/>
      <c r="K585" s="175"/>
      <c r="L585" s="175"/>
    </row>
    <row r="586" spans="10:12">
      <c r="J586" s="175"/>
      <c r="K586" s="175"/>
      <c r="L586" s="175"/>
    </row>
    <row r="587" spans="10:12">
      <c r="J587" s="175"/>
      <c r="K587" s="175"/>
      <c r="L587" s="175"/>
    </row>
    <row r="588" spans="10:12">
      <c r="J588" s="175"/>
      <c r="K588" s="175"/>
      <c r="L588" s="175"/>
    </row>
    <row r="589" spans="10:12">
      <c r="J589" s="175"/>
      <c r="K589" s="175"/>
      <c r="L589" s="175"/>
    </row>
    <row r="590" spans="10:12">
      <c r="J590" s="175"/>
      <c r="K590" s="175"/>
      <c r="L590" s="175"/>
    </row>
    <row r="591" spans="10:12">
      <c r="J591" s="175"/>
      <c r="K591" s="175"/>
      <c r="L591" s="175"/>
    </row>
    <row r="592" spans="10:12">
      <c r="J592" s="175"/>
      <c r="K592" s="175"/>
      <c r="L592" s="175"/>
    </row>
    <row r="593" spans="10:12">
      <c r="J593" s="175"/>
      <c r="K593" s="175"/>
      <c r="L593" s="175"/>
    </row>
    <row r="594" spans="10:12">
      <c r="J594" s="175"/>
      <c r="K594" s="175"/>
      <c r="L594" s="175"/>
    </row>
    <row r="595" spans="10:12">
      <c r="J595" s="175"/>
      <c r="K595" s="175"/>
      <c r="L595" s="175"/>
    </row>
    <row r="596" spans="10:12">
      <c r="J596" s="175"/>
      <c r="K596" s="175"/>
      <c r="L596" s="175"/>
    </row>
    <row r="597" spans="10:12">
      <c r="J597" s="175"/>
      <c r="K597" s="175"/>
      <c r="L597" s="175"/>
    </row>
    <row r="598" spans="10:12">
      <c r="J598" s="175"/>
      <c r="K598" s="175"/>
      <c r="L598" s="175"/>
    </row>
    <row r="599" spans="10:12">
      <c r="J599" s="175"/>
      <c r="K599" s="175"/>
      <c r="L599" s="175"/>
    </row>
    <row r="600" spans="10:12">
      <c r="J600" s="175"/>
      <c r="K600" s="175"/>
      <c r="L600" s="175"/>
    </row>
    <row r="601" spans="10:12">
      <c r="J601" s="175"/>
      <c r="K601" s="175"/>
      <c r="L601" s="175"/>
    </row>
    <row r="602" spans="10:12">
      <c r="J602" s="175"/>
      <c r="K602" s="175"/>
      <c r="L602" s="175"/>
    </row>
    <row r="603" spans="10:12">
      <c r="J603" s="175"/>
      <c r="K603" s="175"/>
      <c r="L603" s="175"/>
    </row>
    <row r="604" spans="10:12">
      <c r="J604" s="175"/>
      <c r="K604" s="175"/>
      <c r="L604" s="175"/>
    </row>
    <row r="605" spans="10:12">
      <c r="J605" s="175"/>
      <c r="K605" s="175"/>
      <c r="L605" s="175"/>
    </row>
    <row r="606" spans="10:12">
      <c r="J606" s="175"/>
      <c r="K606" s="175"/>
      <c r="L606" s="175"/>
    </row>
    <row r="607" spans="10:12">
      <c r="J607" s="175"/>
      <c r="K607" s="175"/>
      <c r="L607" s="175"/>
    </row>
    <row r="608" spans="10:12">
      <c r="J608" s="175"/>
      <c r="K608" s="175"/>
      <c r="L608" s="175"/>
    </row>
    <row r="609" spans="10:12">
      <c r="J609" s="175"/>
      <c r="K609" s="175"/>
      <c r="L609" s="17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Color metric</vt:lpstr>
      <vt:lpstr>Calculator</vt:lpstr>
      <vt:lpstr>CMFs</vt:lpstr>
      <vt:lpstr>99set</vt:lpstr>
      <vt:lpstr>Reference</vt:lpstr>
      <vt:lpstr>CCT_calc</vt:lpstr>
    </vt:vector>
  </TitlesOfParts>
  <Company>KaHo St Lieven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Smet</dc:creator>
  <cp:lastModifiedBy>Kevin Smet</cp:lastModifiedBy>
  <dcterms:created xsi:type="dcterms:W3CDTF">2015-11-30T14:03:59Z</dcterms:created>
  <dcterms:modified xsi:type="dcterms:W3CDTF">2019-08-31T20:54:15Z</dcterms:modified>
</cp:coreProperties>
</file>